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1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39548-2019</t>
        </is>
      </c>
      <c r="B2" s="1" t="n">
        <v>43691</v>
      </c>
      <c r="C2" s="1" t="n">
        <v>45626</v>
      </c>
      <c r="D2" t="inlineStr">
        <is>
          <t>JÖNKÖPINGS LÄN</t>
        </is>
      </c>
      <c r="E2" t="inlineStr">
        <is>
          <t>SÄVSJÖ</t>
        </is>
      </c>
      <c r="G2" t="n">
        <v>4.1</v>
      </c>
      <c r="H2" t="n">
        <v>0</v>
      </c>
      <c r="I2" t="n">
        <v>4</v>
      </c>
      <c r="J2" t="n">
        <v>2</v>
      </c>
      <c r="K2" t="n">
        <v>0</v>
      </c>
      <c r="L2" t="n">
        <v>0</v>
      </c>
      <c r="M2" t="n">
        <v>1</v>
      </c>
      <c r="N2" t="n">
        <v>0</v>
      </c>
      <c r="O2" t="n">
        <v>3</v>
      </c>
      <c r="P2" t="n">
        <v>1</v>
      </c>
      <c r="Q2" t="n">
        <v>7</v>
      </c>
      <c r="R2" s="2" t="inlineStr">
        <is>
          <t>Snabelsporlav
Kvadratmott
Lunglav
Havstulpanlav
Korallblylav
Rostfläck
Skinnlav</t>
        </is>
      </c>
      <c r="S2">
        <f>HYPERLINK("https://klasma.github.io/Logging_0684/artfynd/A 39548-2019 artfynd.xlsx", "A 39548-2019")</f>
        <v/>
      </c>
      <c r="T2">
        <f>HYPERLINK("https://klasma.github.io/Logging_0684/kartor/A 39548-2019 karta.png", "A 39548-2019")</f>
        <v/>
      </c>
      <c r="V2">
        <f>HYPERLINK("https://klasma.github.io/Logging_0684/klagomål/A 39548-2019 FSC-klagomål.docx", "A 39548-2019")</f>
        <v/>
      </c>
      <c r="W2">
        <f>HYPERLINK("https://klasma.github.io/Logging_0684/klagomålsmail/A 39548-2019 FSC-klagomål mail.docx", "A 39548-2019")</f>
        <v/>
      </c>
      <c r="X2">
        <f>HYPERLINK("https://klasma.github.io/Logging_0684/tillsyn/A 39548-2019 tillsynsbegäran.docx", "A 39548-2019")</f>
        <v/>
      </c>
      <c r="Y2">
        <f>HYPERLINK("https://klasma.github.io/Logging_0684/tillsynsmail/A 39548-2019 tillsynsbegäran mail.docx", "A 39548-2019")</f>
        <v/>
      </c>
    </row>
    <row r="3" ht="15" customHeight="1">
      <c r="A3" t="inlineStr">
        <is>
          <t>A 1861-2024</t>
        </is>
      </c>
      <c r="B3" s="1" t="n">
        <v>45307</v>
      </c>
      <c r="C3" s="1" t="n">
        <v>45626</v>
      </c>
      <c r="D3" t="inlineStr">
        <is>
          <t>JÖNKÖPINGS LÄN</t>
        </is>
      </c>
      <c r="E3" t="inlineStr">
        <is>
          <t>SÄVSJÖ</t>
        </is>
      </c>
      <c r="G3" t="n">
        <v>1.6</v>
      </c>
      <c r="H3" t="n">
        <v>1</v>
      </c>
      <c r="I3" t="n">
        <v>3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6</v>
      </c>
      <c r="R3" s="2" t="inlineStr">
        <is>
          <t>Grynig filtlav
Grönsångare
Lunglav
Dvärgtufs
Korallblylav
Lönnlav</t>
        </is>
      </c>
      <c r="S3">
        <f>HYPERLINK("https://klasma.github.io/Logging_0684/artfynd/A 1861-2024 artfynd.xlsx", "A 1861-2024")</f>
        <v/>
      </c>
      <c r="T3">
        <f>HYPERLINK("https://klasma.github.io/Logging_0684/kartor/A 1861-2024 karta.png", "A 1861-2024")</f>
        <v/>
      </c>
      <c r="V3">
        <f>HYPERLINK("https://klasma.github.io/Logging_0684/klagomål/A 1861-2024 FSC-klagomål.docx", "A 1861-2024")</f>
        <v/>
      </c>
      <c r="W3">
        <f>HYPERLINK("https://klasma.github.io/Logging_0684/klagomålsmail/A 1861-2024 FSC-klagomål mail.docx", "A 1861-2024")</f>
        <v/>
      </c>
      <c r="X3">
        <f>HYPERLINK("https://klasma.github.io/Logging_0684/tillsyn/A 1861-2024 tillsynsbegäran.docx", "A 1861-2024")</f>
        <v/>
      </c>
      <c r="Y3">
        <f>HYPERLINK("https://klasma.github.io/Logging_0684/tillsynsmail/A 1861-2024 tillsynsbegäran mail.docx", "A 1861-2024")</f>
        <v/>
      </c>
      <c r="Z3">
        <f>HYPERLINK("https://klasma.github.io/Logging_0684/fåglar/A 1861-2024 prioriterade fågelarter.docx", "A 1861-2024")</f>
        <v/>
      </c>
    </row>
    <row r="4" ht="15" customHeight="1">
      <c r="A4" t="inlineStr">
        <is>
          <t>A 36920-2019</t>
        </is>
      </c>
      <c r="B4" s="1" t="n">
        <v>43675</v>
      </c>
      <c r="C4" s="1" t="n">
        <v>45626</v>
      </c>
      <c r="D4" t="inlineStr">
        <is>
          <t>JÖNKÖPINGS LÄN</t>
        </is>
      </c>
      <c r="E4" t="inlineStr">
        <is>
          <t>SÄVSJÖ</t>
        </is>
      </c>
      <c r="F4" t="inlineStr">
        <is>
          <t>Kyrkan</t>
        </is>
      </c>
      <c r="G4" t="n">
        <v>6.2</v>
      </c>
      <c r="H4" t="n">
        <v>1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Björksplintborre
Vanlig padda</t>
        </is>
      </c>
      <c r="S4">
        <f>HYPERLINK("https://klasma.github.io/Logging_0684/artfynd/A 36920-2019 artfynd.xlsx", "A 36920-2019")</f>
        <v/>
      </c>
      <c r="T4">
        <f>HYPERLINK("https://klasma.github.io/Logging_0684/kartor/A 36920-2019 karta.png", "A 36920-2019")</f>
        <v/>
      </c>
      <c r="V4">
        <f>HYPERLINK("https://klasma.github.io/Logging_0684/klagomål/A 36920-2019 FSC-klagomål.docx", "A 36920-2019")</f>
        <v/>
      </c>
      <c r="W4">
        <f>HYPERLINK("https://klasma.github.io/Logging_0684/klagomålsmail/A 36920-2019 FSC-klagomål mail.docx", "A 36920-2019")</f>
        <v/>
      </c>
      <c r="X4">
        <f>HYPERLINK("https://klasma.github.io/Logging_0684/tillsyn/A 36920-2019 tillsynsbegäran.docx", "A 36920-2019")</f>
        <v/>
      </c>
      <c r="Y4">
        <f>HYPERLINK("https://klasma.github.io/Logging_0684/tillsynsmail/A 36920-2019 tillsynsbegäran mail.docx", "A 36920-2019")</f>
        <v/>
      </c>
    </row>
    <row r="5" ht="15" customHeight="1">
      <c r="A5" t="inlineStr">
        <is>
          <t>A 48327-2019</t>
        </is>
      </c>
      <c r="B5" s="1" t="n">
        <v>43726</v>
      </c>
      <c r="C5" s="1" t="n">
        <v>45626</v>
      </c>
      <c r="D5" t="inlineStr">
        <is>
          <t>JÖNKÖPINGS LÄN</t>
        </is>
      </c>
      <c r="E5" t="inlineStr">
        <is>
          <t>SÄVSJÖ</t>
        </is>
      </c>
      <c r="G5" t="n">
        <v>1.7</v>
      </c>
      <c r="H5" t="n">
        <v>0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Garnlav
Björksplintborre</t>
        </is>
      </c>
      <c r="S5">
        <f>HYPERLINK("https://klasma.github.io/Logging_0684/artfynd/A 48327-2019 artfynd.xlsx", "A 48327-2019")</f>
        <v/>
      </c>
      <c r="T5">
        <f>HYPERLINK("https://klasma.github.io/Logging_0684/kartor/A 48327-2019 karta.png", "A 48327-2019")</f>
        <v/>
      </c>
      <c r="V5">
        <f>HYPERLINK("https://klasma.github.io/Logging_0684/klagomål/A 48327-2019 FSC-klagomål.docx", "A 48327-2019")</f>
        <v/>
      </c>
      <c r="W5">
        <f>HYPERLINK("https://klasma.github.io/Logging_0684/klagomålsmail/A 48327-2019 FSC-klagomål mail.docx", "A 48327-2019")</f>
        <v/>
      </c>
      <c r="X5">
        <f>HYPERLINK("https://klasma.github.io/Logging_0684/tillsyn/A 48327-2019 tillsynsbegäran.docx", "A 48327-2019")</f>
        <v/>
      </c>
      <c r="Y5">
        <f>HYPERLINK("https://klasma.github.io/Logging_0684/tillsynsmail/A 48327-2019 tillsynsbegäran mail.docx", "A 48327-2019")</f>
        <v/>
      </c>
    </row>
    <row r="6" ht="15" customHeight="1">
      <c r="A6" t="inlineStr">
        <is>
          <t>A 22662-2020</t>
        </is>
      </c>
      <c r="B6" s="1" t="n">
        <v>43963</v>
      </c>
      <c r="C6" s="1" t="n">
        <v>45626</v>
      </c>
      <c r="D6" t="inlineStr">
        <is>
          <t>JÖNKÖPINGS LÄN</t>
        </is>
      </c>
      <c r="E6" t="inlineStr">
        <is>
          <t>SÄVSJÖ</t>
        </is>
      </c>
      <c r="G6" t="n">
        <v>2.4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1</v>
      </c>
      <c r="O6" t="n">
        <v>1</v>
      </c>
      <c r="P6" t="n">
        <v>0</v>
      </c>
      <c r="Q6" t="n">
        <v>2</v>
      </c>
      <c r="R6" s="2" t="inlineStr">
        <is>
          <t>Pimpinellros
Murgröna</t>
        </is>
      </c>
      <c r="S6">
        <f>HYPERLINK("https://klasma.github.io/Logging_0684/artfynd/A 22662-2020 artfynd.xlsx", "A 22662-2020")</f>
        <v/>
      </c>
      <c r="T6">
        <f>HYPERLINK("https://klasma.github.io/Logging_0684/kartor/A 22662-2020 karta.png", "A 22662-2020")</f>
        <v/>
      </c>
      <c r="V6">
        <f>HYPERLINK("https://klasma.github.io/Logging_0684/klagomål/A 22662-2020 FSC-klagomål.docx", "A 22662-2020")</f>
        <v/>
      </c>
      <c r="W6">
        <f>HYPERLINK("https://klasma.github.io/Logging_0684/klagomålsmail/A 22662-2020 FSC-klagomål mail.docx", "A 22662-2020")</f>
        <v/>
      </c>
      <c r="X6">
        <f>HYPERLINK("https://klasma.github.io/Logging_0684/tillsyn/A 22662-2020 tillsynsbegäran.docx", "A 22662-2020")</f>
        <v/>
      </c>
      <c r="Y6">
        <f>HYPERLINK("https://klasma.github.io/Logging_0684/tillsynsmail/A 22662-2020 tillsynsbegäran mail.docx", "A 22662-2020")</f>
        <v/>
      </c>
    </row>
    <row r="7" ht="15" customHeight="1">
      <c r="A7" t="inlineStr">
        <is>
          <t>A 22660-2020</t>
        </is>
      </c>
      <c r="B7" s="1" t="n">
        <v>43963</v>
      </c>
      <c r="C7" s="1" t="n">
        <v>45626</v>
      </c>
      <c r="D7" t="inlineStr">
        <is>
          <t>JÖNKÖPINGS LÄN</t>
        </is>
      </c>
      <c r="E7" t="inlineStr">
        <is>
          <t>SÄVSJÖ</t>
        </is>
      </c>
      <c r="G7" t="n">
        <v>2.4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1</v>
      </c>
      <c r="O7" t="n">
        <v>1</v>
      </c>
      <c r="P7" t="n">
        <v>0</v>
      </c>
      <c r="Q7" t="n">
        <v>2</v>
      </c>
      <c r="R7" s="2" t="inlineStr">
        <is>
          <t>Pimpinellros
Murgröna</t>
        </is>
      </c>
      <c r="S7">
        <f>HYPERLINK("https://klasma.github.io/Logging_0684/artfynd/A 22660-2020 artfynd.xlsx", "A 22660-2020")</f>
        <v/>
      </c>
      <c r="T7">
        <f>HYPERLINK("https://klasma.github.io/Logging_0684/kartor/A 22660-2020 karta.png", "A 22660-2020")</f>
        <v/>
      </c>
      <c r="V7">
        <f>HYPERLINK("https://klasma.github.io/Logging_0684/klagomål/A 22660-2020 FSC-klagomål.docx", "A 22660-2020")</f>
        <v/>
      </c>
      <c r="W7">
        <f>HYPERLINK("https://klasma.github.io/Logging_0684/klagomålsmail/A 22660-2020 FSC-klagomål mail.docx", "A 22660-2020")</f>
        <v/>
      </c>
      <c r="X7">
        <f>HYPERLINK("https://klasma.github.io/Logging_0684/tillsyn/A 22660-2020 tillsynsbegäran.docx", "A 22660-2020")</f>
        <v/>
      </c>
      <c r="Y7">
        <f>HYPERLINK("https://klasma.github.io/Logging_0684/tillsynsmail/A 22660-2020 tillsynsbegäran mail.docx", "A 22660-2020")</f>
        <v/>
      </c>
    </row>
    <row r="8" ht="15" customHeight="1">
      <c r="A8" t="inlineStr">
        <is>
          <t>A 46272-2022</t>
        </is>
      </c>
      <c r="B8" s="1" t="n">
        <v>44847</v>
      </c>
      <c r="C8" s="1" t="n">
        <v>45626</v>
      </c>
      <c r="D8" t="inlineStr">
        <is>
          <t>JÖNKÖPINGS LÄN</t>
        </is>
      </c>
      <c r="E8" t="inlineStr">
        <is>
          <t>SÄVSJÖ</t>
        </is>
      </c>
      <c r="G8" t="n">
        <v>6</v>
      </c>
      <c r="H8" t="n">
        <v>1</v>
      </c>
      <c r="I8" t="n">
        <v>0</v>
      </c>
      <c r="J8" t="n">
        <v>0</v>
      </c>
      <c r="K8" t="n">
        <v>1</v>
      </c>
      <c r="L8" t="n">
        <v>1</v>
      </c>
      <c r="M8" t="n">
        <v>0</v>
      </c>
      <c r="N8" t="n">
        <v>0</v>
      </c>
      <c r="O8" t="n">
        <v>2</v>
      </c>
      <c r="P8" t="n">
        <v>2</v>
      </c>
      <c r="Q8" t="n">
        <v>2</v>
      </c>
      <c r="R8" s="2" t="inlineStr">
        <is>
          <t>Mosippa
Slåttergubbe</t>
        </is>
      </c>
      <c r="S8">
        <f>HYPERLINK("https://klasma.github.io/Logging_0684/artfynd/A 46272-2022 artfynd.xlsx", "A 46272-2022")</f>
        <v/>
      </c>
      <c r="T8">
        <f>HYPERLINK("https://klasma.github.io/Logging_0684/kartor/A 46272-2022 karta.png", "A 46272-2022")</f>
        <v/>
      </c>
      <c r="V8">
        <f>HYPERLINK("https://klasma.github.io/Logging_0684/klagomål/A 46272-2022 FSC-klagomål.docx", "A 46272-2022")</f>
        <v/>
      </c>
      <c r="W8">
        <f>HYPERLINK("https://klasma.github.io/Logging_0684/klagomålsmail/A 46272-2022 FSC-klagomål mail.docx", "A 46272-2022")</f>
        <v/>
      </c>
      <c r="X8">
        <f>HYPERLINK("https://klasma.github.io/Logging_0684/tillsyn/A 46272-2022 tillsynsbegäran.docx", "A 46272-2022")</f>
        <v/>
      </c>
      <c r="Y8">
        <f>HYPERLINK("https://klasma.github.io/Logging_0684/tillsynsmail/A 46272-2022 tillsynsbegäran mail.docx", "A 46272-2022")</f>
        <v/>
      </c>
    </row>
    <row r="9" ht="15" customHeight="1">
      <c r="A9" t="inlineStr">
        <is>
          <t>A 58101-2022</t>
        </is>
      </c>
      <c r="B9" s="1" t="n">
        <v>44900</v>
      </c>
      <c r="C9" s="1" t="n">
        <v>45626</v>
      </c>
      <c r="D9" t="inlineStr">
        <is>
          <t>JÖNKÖPINGS LÄN</t>
        </is>
      </c>
      <c r="E9" t="inlineStr">
        <is>
          <t>SÄVSJÖ</t>
        </is>
      </c>
      <c r="G9" t="n">
        <v>1.2</v>
      </c>
      <c r="H9" t="n">
        <v>1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Ask
Grönvit nattviol</t>
        </is>
      </c>
      <c r="S9">
        <f>HYPERLINK("https://klasma.github.io/Logging_0684/artfynd/A 58101-2022 artfynd.xlsx", "A 58101-2022")</f>
        <v/>
      </c>
      <c r="T9">
        <f>HYPERLINK("https://klasma.github.io/Logging_0684/kartor/A 58101-2022 karta.png", "A 58101-2022")</f>
        <v/>
      </c>
      <c r="V9">
        <f>HYPERLINK("https://klasma.github.io/Logging_0684/klagomål/A 58101-2022 FSC-klagomål.docx", "A 58101-2022")</f>
        <v/>
      </c>
      <c r="W9">
        <f>HYPERLINK("https://klasma.github.io/Logging_0684/klagomålsmail/A 58101-2022 FSC-klagomål mail.docx", "A 58101-2022")</f>
        <v/>
      </c>
      <c r="X9">
        <f>HYPERLINK("https://klasma.github.io/Logging_0684/tillsyn/A 58101-2022 tillsynsbegäran.docx", "A 58101-2022")</f>
        <v/>
      </c>
      <c r="Y9">
        <f>HYPERLINK("https://klasma.github.io/Logging_0684/tillsynsmail/A 58101-2022 tillsynsbegäran mail.docx", "A 58101-2022")</f>
        <v/>
      </c>
    </row>
    <row r="10" ht="15" customHeight="1">
      <c r="A10" t="inlineStr">
        <is>
          <t>A 22167-2023</t>
        </is>
      </c>
      <c r="B10" s="1" t="n">
        <v>45069</v>
      </c>
      <c r="C10" s="1" t="n">
        <v>45626</v>
      </c>
      <c r="D10" t="inlineStr">
        <is>
          <t>JÖNKÖPINGS LÄN</t>
        </is>
      </c>
      <c r="E10" t="inlineStr">
        <is>
          <t>SÄVSJÖ</t>
        </is>
      </c>
      <c r="G10" t="n">
        <v>3.2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Aprikosfingersvamp
Ängsfingersvamp</t>
        </is>
      </c>
      <c r="S10">
        <f>HYPERLINK("https://klasma.github.io/Logging_0684/artfynd/A 22167-2023 artfynd.xlsx", "A 22167-2023")</f>
        <v/>
      </c>
      <c r="T10">
        <f>HYPERLINK("https://klasma.github.io/Logging_0684/kartor/A 22167-2023 karta.png", "A 22167-2023")</f>
        <v/>
      </c>
      <c r="V10">
        <f>HYPERLINK("https://klasma.github.io/Logging_0684/klagomål/A 22167-2023 FSC-klagomål.docx", "A 22167-2023")</f>
        <v/>
      </c>
      <c r="W10">
        <f>HYPERLINK("https://klasma.github.io/Logging_0684/klagomålsmail/A 22167-2023 FSC-klagomål mail.docx", "A 22167-2023")</f>
        <v/>
      </c>
      <c r="X10">
        <f>HYPERLINK("https://klasma.github.io/Logging_0684/tillsyn/A 22167-2023 tillsynsbegäran.docx", "A 22167-2023")</f>
        <v/>
      </c>
      <c r="Y10">
        <f>HYPERLINK("https://klasma.github.io/Logging_0684/tillsynsmail/A 22167-2023 tillsynsbegäran mail.docx", "A 22167-2023")</f>
        <v/>
      </c>
    </row>
    <row r="11" ht="15" customHeight="1">
      <c r="A11" t="inlineStr">
        <is>
          <t>A 1304-2022</t>
        </is>
      </c>
      <c r="B11" s="1" t="n">
        <v>44572</v>
      </c>
      <c r="C11" s="1" t="n">
        <v>45626</v>
      </c>
      <c r="D11" t="inlineStr">
        <is>
          <t>JÖNKÖPINGS LÄN</t>
        </is>
      </c>
      <c r="E11" t="inlineStr">
        <is>
          <t>SÄVSJÖ</t>
        </is>
      </c>
      <c r="G11" t="n">
        <v>3.6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Fjällvråk</t>
        </is>
      </c>
      <c r="S11">
        <f>HYPERLINK("https://klasma.github.io/Logging_0684/artfynd/A 1304-2022 artfynd.xlsx", "A 1304-2022")</f>
        <v/>
      </c>
      <c r="T11">
        <f>HYPERLINK("https://klasma.github.io/Logging_0684/kartor/A 1304-2022 karta.png", "A 1304-2022")</f>
        <v/>
      </c>
      <c r="V11">
        <f>HYPERLINK("https://klasma.github.io/Logging_0684/klagomål/A 1304-2022 FSC-klagomål.docx", "A 1304-2022")</f>
        <v/>
      </c>
      <c r="W11">
        <f>HYPERLINK("https://klasma.github.io/Logging_0684/klagomålsmail/A 1304-2022 FSC-klagomål mail.docx", "A 1304-2022")</f>
        <v/>
      </c>
      <c r="X11">
        <f>HYPERLINK("https://klasma.github.io/Logging_0684/tillsyn/A 1304-2022 tillsynsbegäran.docx", "A 1304-2022")</f>
        <v/>
      </c>
      <c r="Y11">
        <f>HYPERLINK("https://klasma.github.io/Logging_0684/tillsynsmail/A 1304-2022 tillsynsbegäran mail.docx", "A 1304-2022")</f>
        <v/>
      </c>
      <c r="Z11">
        <f>HYPERLINK("https://klasma.github.io/Logging_0684/fåglar/A 1304-2022 prioriterade fågelarter.docx", "A 1304-2022")</f>
        <v/>
      </c>
    </row>
    <row r="12" ht="15" customHeight="1">
      <c r="A12" t="inlineStr">
        <is>
          <t>A 40075-2023</t>
        </is>
      </c>
      <c r="B12" s="1" t="n">
        <v>45168</v>
      </c>
      <c r="C12" s="1" t="n">
        <v>45626</v>
      </c>
      <c r="D12" t="inlineStr">
        <is>
          <t>JÖNKÖPINGS LÄN</t>
        </is>
      </c>
      <c r="E12" t="inlineStr">
        <is>
          <t>SÄVSJÖ</t>
        </is>
      </c>
      <c r="G12" t="n">
        <v>1.5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Solvända</t>
        </is>
      </c>
      <c r="S12">
        <f>HYPERLINK("https://klasma.github.io/Logging_0684/artfynd/A 40075-2023 artfynd.xlsx", "A 40075-2023")</f>
        <v/>
      </c>
      <c r="T12">
        <f>HYPERLINK("https://klasma.github.io/Logging_0684/kartor/A 40075-2023 karta.png", "A 40075-2023")</f>
        <v/>
      </c>
      <c r="V12">
        <f>HYPERLINK("https://klasma.github.io/Logging_0684/klagomål/A 40075-2023 FSC-klagomål.docx", "A 40075-2023")</f>
        <v/>
      </c>
      <c r="W12">
        <f>HYPERLINK("https://klasma.github.io/Logging_0684/klagomålsmail/A 40075-2023 FSC-klagomål mail.docx", "A 40075-2023")</f>
        <v/>
      </c>
      <c r="X12">
        <f>HYPERLINK("https://klasma.github.io/Logging_0684/tillsyn/A 40075-2023 tillsynsbegäran.docx", "A 40075-2023")</f>
        <v/>
      </c>
      <c r="Y12">
        <f>HYPERLINK("https://klasma.github.io/Logging_0684/tillsynsmail/A 40075-2023 tillsynsbegäran mail.docx", "A 40075-2023")</f>
        <v/>
      </c>
    </row>
    <row r="13" ht="15" customHeight="1">
      <c r="A13" t="inlineStr">
        <is>
          <t>A 40543-2023</t>
        </is>
      </c>
      <c r="B13" s="1" t="n">
        <v>45170</v>
      </c>
      <c r="C13" s="1" t="n">
        <v>45626</v>
      </c>
      <c r="D13" t="inlineStr">
        <is>
          <t>JÖNKÖPINGS LÄN</t>
        </is>
      </c>
      <c r="E13" t="inlineStr">
        <is>
          <t>SÄVSJÖ</t>
        </is>
      </c>
      <c r="G13" t="n">
        <v>2.8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Sommarfibbla</t>
        </is>
      </c>
      <c r="S13">
        <f>HYPERLINK("https://klasma.github.io/Logging_0684/artfynd/A 40543-2023 artfynd.xlsx", "A 40543-2023")</f>
        <v/>
      </c>
      <c r="T13">
        <f>HYPERLINK("https://klasma.github.io/Logging_0684/kartor/A 40543-2023 karta.png", "A 40543-2023")</f>
        <v/>
      </c>
      <c r="V13">
        <f>HYPERLINK("https://klasma.github.io/Logging_0684/klagomål/A 40543-2023 FSC-klagomål.docx", "A 40543-2023")</f>
        <v/>
      </c>
      <c r="W13">
        <f>HYPERLINK("https://klasma.github.io/Logging_0684/klagomålsmail/A 40543-2023 FSC-klagomål mail.docx", "A 40543-2023")</f>
        <v/>
      </c>
      <c r="X13">
        <f>HYPERLINK("https://klasma.github.io/Logging_0684/tillsyn/A 40543-2023 tillsynsbegäran.docx", "A 40543-2023")</f>
        <v/>
      </c>
      <c r="Y13">
        <f>HYPERLINK("https://klasma.github.io/Logging_0684/tillsynsmail/A 40543-2023 tillsynsbegäran mail.docx", "A 40543-2023")</f>
        <v/>
      </c>
    </row>
    <row r="14" ht="15" customHeight="1">
      <c r="A14" t="inlineStr">
        <is>
          <t>A 50816-2023</t>
        </is>
      </c>
      <c r="B14" s="1" t="n">
        <v>45217</v>
      </c>
      <c r="C14" s="1" t="n">
        <v>45626</v>
      </c>
      <c r="D14" t="inlineStr">
        <is>
          <t>JÖNKÖPINGS LÄN</t>
        </is>
      </c>
      <c r="E14" t="inlineStr">
        <is>
          <t>SÄVSJÖ</t>
        </is>
      </c>
      <c r="G14" t="n">
        <v>4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Sommarfibbla</t>
        </is>
      </c>
      <c r="S14">
        <f>HYPERLINK("https://klasma.github.io/Logging_0684/artfynd/A 50816-2023 artfynd.xlsx", "A 50816-2023")</f>
        <v/>
      </c>
      <c r="T14">
        <f>HYPERLINK("https://klasma.github.io/Logging_0684/kartor/A 50816-2023 karta.png", "A 50816-2023")</f>
        <v/>
      </c>
      <c r="V14">
        <f>HYPERLINK("https://klasma.github.io/Logging_0684/klagomål/A 50816-2023 FSC-klagomål.docx", "A 50816-2023")</f>
        <v/>
      </c>
      <c r="W14">
        <f>HYPERLINK("https://klasma.github.io/Logging_0684/klagomålsmail/A 50816-2023 FSC-klagomål mail.docx", "A 50816-2023")</f>
        <v/>
      </c>
      <c r="X14">
        <f>HYPERLINK("https://klasma.github.io/Logging_0684/tillsyn/A 50816-2023 tillsynsbegäran.docx", "A 50816-2023")</f>
        <v/>
      </c>
      <c r="Y14">
        <f>HYPERLINK("https://klasma.github.io/Logging_0684/tillsynsmail/A 50816-2023 tillsynsbegäran mail.docx", "A 50816-2023")</f>
        <v/>
      </c>
    </row>
    <row r="15" ht="15" customHeight="1">
      <c r="A15" t="inlineStr">
        <is>
          <t>A 51095-2023</t>
        </is>
      </c>
      <c r="B15" s="1" t="n">
        <v>45218</v>
      </c>
      <c r="C15" s="1" t="n">
        <v>45626</v>
      </c>
      <c r="D15" t="inlineStr">
        <is>
          <t>JÖNKÖPINGS LÄN</t>
        </is>
      </c>
      <c r="E15" t="inlineStr">
        <is>
          <t>SÄVSJÖ</t>
        </is>
      </c>
      <c r="G15" t="n">
        <v>3.6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Korallrot</t>
        </is>
      </c>
      <c r="S15">
        <f>HYPERLINK("https://klasma.github.io/Logging_0684/artfynd/A 51095-2023 artfynd.xlsx", "A 51095-2023")</f>
        <v/>
      </c>
      <c r="T15">
        <f>HYPERLINK("https://klasma.github.io/Logging_0684/kartor/A 51095-2023 karta.png", "A 51095-2023")</f>
        <v/>
      </c>
      <c r="V15">
        <f>HYPERLINK("https://klasma.github.io/Logging_0684/klagomål/A 51095-2023 FSC-klagomål.docx", "A 51095-2023")</f>
        <v/>
      </c>
      <c r="W15">
        <f>HYPERLINK("https://klasma.github.io/Logging_0684/klagomålsmail/A 51095-2023 FSC-klagomål mail.docx", "A 51095-2023")</f>
        <v/>
      </c>
      <c r="X15">
        <f>HYPERLINK("https://klasma.github.io/Logging_0684/tillsyn/A 51095-2023 tillsynsbegäran.docx", "A 51095-2023")</f>
        <v/>
      </c>
      <c r="Y15">
        <f>HYPERLINK("https://klasma.github.io/Logging_0684/tillsynsmail/A 51095-2023 tillsynsbegäran mail.docx", "A 51095-2023")</f>
        <v/>
      </c>
    </row>
    <row r="16" ht="15" customHeight="1">
      <c r="A16" t="inlineStr">
        <is>
          <t>A 8198-2024</t>
        </is>
      </c>
      <c r="B16" s="1" t="n">
        <v>45351</v>
      </c>
      <c r="C16" s="1" t="n">
        <v>45626</v>
      </c>
      <c r="D16" t="inlineStr">
        <is>
          <t>JÖNKÖPINGS LÄN</t>
        </is>
      </c>
      <c r="E16" t="inlineStr">
        <is>
          <t>SÄVSJÖ</t>
        </is>
      </c>
      <c r="G16" t="n">
        <v>0.7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Småfruktigt blågryn</t>
        </is>
      </c>
      <c r="S16">
        <f>HYPERLINK("https://klasma.github.io/Logging_0684/artfynd/A 8198-2024 artfynd.xlsx", "A 8198-2024")</f>
        <v/>
      </c>
      <c r="T16">
        <f>HYPERLINK("https://klasma.github.io/Logging_0684/kartor/A 8198-2024 karta.png", "A 8198-2024")</f>
        <v/>
      </c>
      <c r="V16">
        <f>HYPERLINK("https://klasma.github.io/Logging_0684/klagomål/A 8198-2024 FSC-klagomål.docx", "A 8198-2024")</f>
        <v/>
      </c>
      <c r="W16">
        <f>HYPERLINK("https://klasma.github.io/Logging_0684/klagomålsmail/A 8198-2024 FSC-klagomål mail.docx", "A 8198-2024")</f>
        <v/>
      </c>
      <c r="X16">
        <f>HYPERLINK("https://klasma.github.io/Logging_0684/tillsyn/A 8198-2024 tillsynsbegäran.docx", "A 8198-2024")</f>
        <v/>
      </c>
      <c r="Y16">
        <f>HYPERLINK("https://klasma.github.io/Logging_0684/tillsynsmail/A 8198-2024 tillsynsbegäran mail.docx", "A 8198-2024")</f>
        <v/>
      </c>
    </row>
    <row r="17" ht="15" customHeight="1">
      <c r="A17" t="inlineStr">
        <is>
          <t>A 9351-2024</t>
        </is>
      </c>
      <c r="B17" s="1" t="n">
        <v>45359</v>
      </c>
      <c r="C17" s="1" t="n">
        <v>45626</v>
      </c>
      <c r="D17" t="inlineStr">
        <is>
          <t>JÖNKÖPINGS LÄN</t>
        </is>
      </c>
      <c r="E17" t="inlineStr">
        <is>
          <t>SÄVSJÖ</t>
        </is>
      </c>
      <c r="G17" t="n">
        <v>4.8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Barkkornlav</t>
        </is>
      </c>
      <c r="S17">
        <f>HYPERLINK("https://klasma.github.io/Logging_0684/artfynd/A 9351-2024 artfynd.xlsx", "A 9351-2024")</f>
        <v/>
      </c>
      <c r="T17">
        <f>HYPERLINK("https://klasma.github.io/Logging_0684/kartor/A 9351-2024 karta.png", "A 9351-2024")</f>
        <v/>
      </c>
      <c r="V17">
        <f>HYPERLINK("https://klasma.github.io/Logging_0684/klagomål/A 9351-2024 FSC-klagomål.docx", "A 9351-2024")</f>
        <v/>
      </c>
      <c r="W17">
        <f>HYPERLINK("https://klasma.github.io/Logging_0684/klagomålsmail/A 9351-2024 FSC-klagomål mail.docx", "A 9351-2024")</f>
        <v/>
      </c>
      <c r="X17">
        <f>HYPERLINK("https://klasma.github.io/Logging_0684/tillsyn/A 9351-2024 tillsynsbegäran.docx", "A 9351-2024")</f>
        <v/>
      </c>
      <c r="Y17">
        <f>HYPERLINK("https://klasma.github.io/Logging_0684/tillsynsmail/A 9351-2024 tillsynsbegäran mail.docx", "A 9351-2024")</f>
        <v/>
      </c>
    </row>
    <row r="18" ht="15" customHeight="1">
      <c r="A18" t="inlineStr">
        <is>
          <t>A 35136-2024</t>
        </is>
      </c>
      <c r="B18" s="1" t="n">
        <v>45530</v>
      </c>
      <c r="C18" s="1" t="n">
        <v>45626</v>
      </c>
      <c r="D18" t="inlineStr">
        <is>
          <t>JÖNKÖPINGS LÄN</t>
        </is>
      </c>
      <c r="E18" t="inlineStr">
        <is>
          <t>SÄVSJÖ</t>
        </is>
      </c>
      <c r="G18" t="n">
        <v>2.1</v>
      </c>
      <c r="H18" t="n">
        <v>0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Ask</t>
        </is>
      </c>
      <c r="S18">
        <f>HYPERLINK("https://klasma.github.io/Logging_0684/artfynd/A 35136-2024 artfynd.xlsx", "A 35136-2024")</f>
        <v/>
      </c>
      <c r="T18">
        <f>HYPERLINK("https://klasma.github.io/Logging_0684/kartor/A 35136-2024 karta.png", "A 35136-2024")</f>
        <v/>
      </c>
      <c r="V18">
        <f>HYPERLINK("https://klasma.github.io/Logging_0684/klagomål/A 35136-2024 FSC-klagomål.docx", "A 35136-2024")</f>
        <v/>
      </c>
      <c r="W18">
        <f>HYPERLINK("https://klasma.github.io/Logging_0684/klagomålsmail/A 35136-2024 FSC-klagomål mail.docx", "A 35136-2024")</f>
        <v/>
      </c>
      <c r="X18">
        <f>HYPERLINK("https://klasma.github.io/Logging_0684/tillsyn/A 35136-2024 tillsynsbegäran.docx", "A 35136-2024")</f>
        <v/>
      </c>
      <c r="Y18">
        <f>HYPERLINK("https://klasma.github.io/Logging_0684/tillsynsmail/A 35136-2024 tillsynsbegäran mail.docx", "A 35136-2024")</f>
        <v/>
      </c>
    </row>
    <row r="19" ht="15" customHeight="1">
      <c r="A19" t="inlineStr">
        <is>
          <t>A 40878-2024</t>
        </is>
      </c>
      <c r="B19" s="1" t="n">
        <v>45558</v>
      </c>
      <c r="C19" s="1" t="n">
        <v>45626</v>
      </c>
      <c r="D19" t="inlineStr">
        <is>
          <t>JÖNKÖPINGS LÄN</t>
        </is>
      </c>
      <c r="E19" t="inlineStr">
        <is>
          <t>SÄVSJÖ</t>
        </is>
      </c>
      <c r="G19" t="n">
        <v>6.7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Skuggsprötmossa</t>
        </is>
      </c>
      <c r="S19">
        <f>HYPERLINK("https://klasma.github.io/Logging_0684/artfynd/A 40878-2024 artfynd.xlsx", "A 40878-2024")</f>
        <v/>
      </c>
      <c r="T19">
        <f>HYPERLINK("https://klasma.github.io/Logging_0684/kartor/A 40878-2024 karta.png", "A 40878-2024")</f>
        <v/>
      </c>
      <c r="V19">
        <f>HYPERLINK("https://klasma.github.io/Logging_0684/klagomål/A 40878-2024 FSC-klagomål.docx", "A 40878-2024")</f>
        <v/>
      </c>
      <c r="W19">
        <f>HYPERLINK("https://klasma.github.io/Logging_0684/klagomålsmail/A 40878-2024 FSC-klagomål mail.docx", "A 40878-2024")</f>
        <v/>
      </c>
      <c r="X19">
        <f>HYPERLINK("https://klasma.github.io/Logging_0684/tillsyn/A 40878-2024 tillsynsbegäran.docx", "A 40878-2024")</f>
        <v/>
      </c>
      <c r="Y19">
        <f>HYPERLINK("https://klasma.github.io/Logging_0684/tillsynsmail/A 40878-2024 tillsynsbegäran mail.docx", "A 40878-2024")</f>
        <v/>
      </c>
    </row>
    <row r="20" ht="15" customHeight="1">
      <c r="A20" t="inlineStr">
        <is>
          <t>A 18587-2019</t>
        </is>
      </c>
      <c r="B20" s="1" t="n">
        <v>43560</v>
      </c>
      <c r="C20" s="1" t="n">
        <v>45626</v>
      </c>
      <c r="D20" t="inlineStr">
        <is>
          <t>JÖNKÖPINGS LÄN</t>
        </is>
      </c>
      <c r="E20" t="inlineStr">
        <is>
          <t>SÄVSJÖ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18613-2019</t>
        </is>
      </c>
      <c r="B21" s="1" t="n">
        <v>43560</v>
      </c>
      <c r="C21" s="1" t="n">
        <v>45626</v>
      </c>
      <c r="D21" t="inlineStr">
        <is>
          <t>JÖNKÖPINGS LÄN</t>
        </is>
      </c>
      <c r="E21" t="inlineStr">
        <is>
          <t>SÄVSJÖ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18973-2019</t>
        </is>
      </c>
      <c r="B22" s="1" t="n">
        <v>43563</v>
      </c>
      <c r="C22" s="1" t="n">
        <v>45626</v>
      </c>
      <c r="D22" t="inlineStr">
        <is>
          <t>JÖNKÖPINGS LÄN</t>
        </is>
      </c>
      <c r="E22" t="inlineStr">
        <is>
          <t>SÄVSJÖ</t>
        </is>
      </c>
      <c r="G22" t="n">
        <v>3.2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19984-2019</t>
        </is>
      </c>
      <c r="B23" s="1" t="n">
        <v>43566</v>
      </c>
      <c r="C23" s="1" t="n">
        <v>45626</v>
      </c>
      <c r="D23" t="inlineStr">
        <is>
          <t>JÖNKÖPINGS LÄN</t>
        </is>
      </c>
      <c r="E23" t="inlineStr">
        <is>
          <t>SÄVSJÖ</t>
        </is>
      </c>
      <c r="G23" t="n">
        <v>1.5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20267-2019</t>
        </is>
      </c>
      <c r="B24" s="1" t="n">
        <v>43571</v>
      </c>
      <c r="C24" s="1" t="n">
        <v>45626</v>
      </c>
      <c r="D24" t="inlineStr">
        <is>
          <t>JÖNKÖPINGS LÄN</t>
        </is>
      </c>
      <c r="E24" t="inlineStr">
        <is>
          <t>SÄVSJÖ</t>
        </is>
      </c>
      <c r="G24" t="n">
        <v>3.4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20279-2019</t>
        </is>
      </c>
      <c r="B25" s="1" t="n">
        <v>43571</v>
      </c>
      <c r="C25" s="1" t="n">
        <v>45626</v>
      </c>
      <c r="D25" t="inlineStr">
        <is>
          <t>JÖNKÖPINGS LÄN</t>
        </is>
      </c>
      <c r="E25" t="inlineStr">
        <is>
          <t>SÄVSJÖ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20261-2019</t>
        </is>
      </c>
      <c r="B26" s="1" t="n">
        <v>43571</v>
      </c>
      <c r="C26" s="1" t="n">
        <v>45626</v>
      </c>
      <c r="D26" t="inlineStr">
        <is>
          <t>JÖNKÖPINGS LÄN</t>
        </is>
      </c>
      <c r="E26" t="inlineStr">
        <is>
          <t>SÄVSJÖ</t>
        </is>
      </c>
      <c r="G26" t="n">
        <v>3.4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20276-2019</t>
        </is>
      </c>
      <c r="B27" s="1" t="n">
        <v>43571</v>
      </c>
      <c r="C27" s="1" t="n">
        <v>45626</v>
      </c>
      <c r="D27" t="inlineStr">
        <is>
          <t>JÖNKÖPINGS LÄN</t>
        </is>
      </c>
      <c r="E27" t="inlineStr">
        <is>
          <t>SÄVSJÖ</t>
        </is>
      </c>
      <c r="G27" t="n">
        <v>2.6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21980-2019</t>
        </is>
      </c>
      <c r="B28" s="1" t="n">
        <v>43584</v>
      </c>
      <c r="C28" s="1" t="n">
        <v>45626</v>
      </c>
      <c r="D28" t="inlineStr">
        <is>
          <t>JÖNKÖPINGS LÄN</t>
        </is>
      </c>
      <c r="E28" t="inlineStr">
        <is>
          <t>SÄVSJÖ</t>
        </is>
      </c>
      <c r="G28" t="n">
        <v>2.4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21983-2019</t>
        </is>
      </c>
      <c r="B29" s="1" t="n">
        <v>43584</v>
      </c>
      <c r="C29" s="1" t="n">
        <v>45626</v>
      </c>
      <c r="D29" t="inlineStr">
        <is>
          <t>JÖNKÖPINGS LÄN</t>
        </is>
      </c>
      <c r="E29" t="inlineStr">
        <is>
          <t>SÄVSJÖ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21981-2019</t>
        </is>
      </c>
      <c r="B30" s="1" t="n">
        <v>43584</v>
      </c>
      <c r="C30" s="1" t="n">
        <v>45626</v>
      </c>
      <c r="D30" t="inlineStr">
        <is>
          <t>JÖNKÖPINGS LÄN</t>
        </is>
      </c>
      <c r="E30" t="inlineStr">
        <is>
          <t>SÄVSJÖ</t>
        </is>
      </c>
      <c r="G30" t="n">
        <v>2.2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24730-2019</t>
        </is>
      </c>
      <c r="B31" s="1" t="n">
        <v>43601</v>
      </c>
      <c r="C31" s="1" t="n">
        <v>45626</v>
      </c>
      <c r="D31" t="inlineStr">
        <is>
          <t>JÖNKÖPINGS LÄN</t>
        </is>
      </c>
      <c r="E31" t="inlineStr">
        <is>
          <t>SÄVSJÖ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24860-2019</t>
        </is>
      </c>
      <c r="B32" s="1" t="n">
        <v>43602</v>
      </c>
      <c r="C32" s="1" t="n">
        <v>45626</v>
      </c>
      <c r="D32" t="inlineStr">
        <is>
          <t>JÖNKÖPINGS LÄN</t>
        </is>
      </c>
      <c r="E32" t="inlineStr">
        <is>
          <t>SÄVSJÖ</t>
        </is>
      </c>
      <c r="G32" t="n">
        <v>1.7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24863-2019</t>
        </is>
      </c>
      <c r="B33" s="1" t="n">
        <v>43602</v>
      </c>
      <c r="C33" s="1" t="n">
        <v>45626</v>
      </c>
      <c r="D33" t="inlineStr">
        <is>
          <t>JÖNKÖPINGS LÄN</t>
        </is>
      </c>
      <c r="E33" t="inlineStr">
        <is>
          <t>SÄVSJÖ</t>
        </is>
      </c>
      <c r="G33" t="n">
        <v>2.2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28090-2019</t>
        </is>
      </c>
      <c r="B34" s="1" t="n">
        <v>43613</v>
      </c>
      <c r="C34" s="1" t="n">
        <v>45626</v>
      </c>
      <c r="D34" t="inlineStr">
        <is>
          <t>JÖNKÖPINGS LÄN</t>
        </is>
      </c>
      <c r="E34" t="inlineStr">
        <is>
          <t>SÄVSJÖ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28083-2019</t>
        </is>
      </c>
      <c r="B35" s="1" t="n">
        <v>43613</v>
      </c>
      <c r="C35" s="1" t="n">
        <v>45626</v>
      </c>
      <c r="D35" t="inlineStr">
        <is>
          <t>JÖNKÖPINGS LÄN</t>
        </is>
      </c>
      <c r="E35" t="inlineStr">
        <is>
          <t>SÄVSJÖ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28094-2019</t>
        </is>
      </c>
      <c r="B36" s="1" t="n">
        <v>43613</v>
      </c>
      <c r="C36" s="1" t="n">
        <v>45626</v>
      </c>
      <c r="D36" t="inlineStr">
        <is>
          <t>JÖNKÖPINGS LÄN</t>
        </is>
      </c>
      <c r="E36" t="inlineStr">
        <is>
          <t>SÄVSJÖ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29009-2019</t>
        </is>
      </c>
      <c r="B37" s="1" t="n">
        <v>43620</v>
      </c>
      <c r="C37" s="1" t="n">
        <v>45626</v>
      </c>
      <c r="D37" t="inlineStr">
        <is>
          <t>JÖNKÖPINGS LÄN</t>
        </is>
      </c>
      <c r="E37" t="inlineStr">
        <is>
          <t>SÄVSJÖ</t>
        </is>
      </c>
      <c r="G37" t="n">
        <v>10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28968-2019</t>
        </is>
      </c>
      <c r="B38" s="1" t="n">
        <v>43628</v>
      </c>
      <c r="C38" s="1" t="n">
        <v>45626</v>
      </c>
      <c r="D38" t="inlineStr">
        <is>
          <t>JÖNKÖPINGS LÄN</t>
        </is>
      </c>
      <c r="E38" t="inlineStr">
        <is>
          <t>SÄVSJÖ</t>
        </is>
      </c>
      <c r="G38" t="n">
        <v>3.2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30018-2019</t>
        </is>
      </c>
      <c r="B39" s="1" t="n">
        <v>43629</v>
      </c>
      <c r="C39" s="1" t="n">
        <v>45626</v>
      </c>
      <c r="D39" t="inlineStr">
        <is>
          <t>JÖNKÖPINGS LÄN</t>
        </is>
      </c>
      <c r="E39" t="inlineStr">
        <is>
          <t>SÄVSJÖ</t>
        </is>
      </c>
      <c r="G39" t="n">
        <v>4.6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30017-2019</t>
        </is>
      </c>
      <c r="B40" s="1" t="n">
        <v>43633</v>
      </c>
      <c r="C40" s="1" t="n">
        <v>45626</v>
      </c>
      <c r="D40" t="inlineStr">
        <is>
          <t>JÖNKÖPINGS LÄN</t>
        </is>
      </c>
      <c r="E40" t="inlineStr">
        <is>
          <t>SÄVSJÖ</t>
        </is>
      </c>
      <c r="G40" t="n">
        <v>2.3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30647-2019</t>
        </is>
      </c>
      <c r="B41" s="1" t="n">
        <v>43636</v>
      </c>
      <c r="C41" s="1" t="n">
        <v>45626</v>
      </c>
      <c r="D41" t="inlineStr">
        <is>
          <t>JÖNKÖPINGS LÄN</t>
        </is>
      </c>
      <c r="E41" t="inlineStr">
        <is>
          <t>SÄVSJÖ</t>
        </is>
      </c>
      <c r="G41" t="n">
        <v>2.1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32304-2019</t>
        </is>
      </c>
      <c r="B42" s="1" t="n">
        <v>43644</v>
      </c>
      <c r="C42" s="1" t="n">
        <v>45626</v>
      </c>
      <c r="D42" t="inlineStr">
        <is>
          <t>JÖNKÖPINGS LÄN</t>
        </is>
      </c>
      <c r="E42" t="inlineStr">
        <is>
          <t>SÄVSJÖ</t>
        </is>
      </c>
      <c r="G42" t="n">
        <v>2.1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35163-2019</t>
        </is>
      </c>
      <c r="B43" s="1" t="n">
        <v>43661</v>
      </c>
      <c r="C43" s="1" t="n">
        <v>45626</v>
      </c>
      <c r="D43" t="inlineStr">
        <is>
          <t>JÖNKÖPINGS LÄN</t>
        </is>
      </c>
      <c r="E43" t="inlineStr">
        <is>
          <t>SÄVSJÖ</t>
        </is>
      </c>
      <c r="G43" t="n">
        <v>4.4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37696-2019</t>
        </is>
      </c>
      <c r="B44" s="1" t="n">
        <v>43682</v>
      </c>
      <c r="C44" s="1" t="n">
        <v>45626</v>
      </c>
      <c r="D44" t="inlineStr">
        <is>
          <t>JÖNKÖPINGS LÄN</t>
        </is>
      </c>
      <c r="E44" t="inlineStr">
        <is>
          <t>SÄVSJÖ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37693-2019</t>
        </is>
      </c>
      <c r="B45" s="1" t="n">
        <v>43682</v>
      </c>
      <c r="C45" s="1" t="n">
        <v>45626</v>
      </c>
      <c r="D45" t="inlineStr">
        <is>
          <t>JÖNKÖPINGS LÄN</t>
        </is>
      </c>
      <c r="E45" t="inlineStr">
        <is>
          <t>SÄVSJÖ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38956-2019</t>
        </is>
      </c>
      <c r="B46" s="1" t="n">
        <v>43689</v>
      </c>
      <c r="C46" s="1" t="n">
        <v>45626</v>
      </c>
      <c r="D46" t="inlineStr">
        <is>
          <t>JÖNKÖPINGS LÄN</t>
        </is>
      </c>
      <c r="E46" t="inlineStr">
        <is>
          <t>SÄVSJÖ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40031-2019</t>
        </is>
      </c>
      <c r="B47" s="1" t="n">
        <v>43690</v>
      </c>
      <c r="C47" s="1" t="n">
        <v>45626</v>
      </c>
      <c r="D47" t="inlineStr">
        <is>
          <t>JÖNKÖPINGS LÄN</t>
        </is>
      </c>
      <c r="E47" t="inlineStr">
        <is>
          <t>SÄVSJÖ</t>
        </is>
      </c>
      <c r="G47" t="n">
        <v>3.9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40696-2019</t>
        </is>
      </c>
      <c r="B48" s="1" t="n">
        <v>43697</v>
      </c>
      <c r="C48" s="1" t="n">
        <v>45626</v>
      </c>
      <c r="D48" t="inlineStr">
        <is>
          <t>JÖNKÖPINGS LÄN</t>
        </is>
      </c>
      <c r="E48" t="inlineStr">
        <is>
          <t>SÄVSJÖ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41115-2019</t>
        </is>
      </c>
      <c r="B49" s="1" t="n">
        <v>43698</v>
      </c>
      <c r="C49" s="1" t="n">
        <v>45626</v>
      </c>
      <c r="D49" t="inlineStr">
        <is>
          <t>JÖNKÖPINGS LÄN</t>
        </is>
      </c>
      <c r="E49" t="inlineStr">
        <is>
          <t>SÄVSJÖ</t>
        </is>
      </c>
      <c r="G49" t="n">
        <v>2.9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41804-2019</t>
        </is>
      </c>
      <c r="B50" s="1" t="n">
        <v>43700</v>
      </c>
      <c r="C50" s="1" t="n">
        <v>45626</v>
      </c>
      <c r="D50" t="inlineStr">
        <is>
          <t>JÖNKÖPINGS LÄN</t>
        </is>
      </c>
      <c r="E50" t="inlineStr">
        <is>
          <t>SÄVSJÖ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43069-2019</t>
        </is>
      </c>
      <c r="B51" s="1" t="n">
        <v>43705</v>
      </c>
      <c r="C51" s="1" t="n">
        <v>45626</v>
      </c>
      <c r="D51" t="inlineStr">
        <is>
          <t>JÖNKÖPINGS LÄN</t>
        </is>
      </c>
      <c r="E51" t="inlineStr">
        <is>
          <t>SÄVSJÖ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44838-2019</t>
        </is>
      </c>
      <c r="B52" s="1" t="n">
        <v>43712</v>
      </c>
      <c r="C52" s="1" t="n">
        <v>45626</v>
      </c>
      <c r="D52" t="inlineStr">
        <is>
          <t>JÖNKÖPINGS LÄN</t>
        </is>
      </c>
      <c r="E52" t="inlineStr">
        <is>
          <t>SÄVSJÖ</t>
        </is>
      </c>
      <c r="G52" t="n">
        <v>3.6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46390-2019</t>
        </is>
      </c>
      <c r="B53" s="1" t="n">
        <v>43714</v>
      </c>
      <c r="C53" s="1" t="n">
        <v>45626</v>
      </c>
      <c r="D53" t="inlineStr">
        <is>
          <t>JÖNKÖPINGS LÄN</t>
        </is>
      </c>
      <c r="E53" t="inlineStr">
        <is>
          <t>SÄVSJÖ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46613-2019</t>
        </is>
      </c>
      <c r="B54" s="1" t="n">
        <v>43717</v>
      </c>
      <c r="C54" s="1" t="n">
        <v>45626</v>
      </c>
      <c r="D54" t="inlineStr">
        <is>
          <t>JÖNKÖPINGS LÄN</t>
        </is>
      </c>
      <c r="E54" t="inlineStr">
        <is>
          <t>SÄVSJÖ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46620-2019</t>
        </is>
      </c>
      <c r="B55" s="1" t="n">
        <v>43717</v>
      </c>
      <c r="C55" s="1" t="n">
        <v>45626</v>
      </c>
      <c r="D55" t="inlineStr">
        <is>
          <t>JÖNKÖPINGS LÄN</t>
        </is>
      </c>
      <c r="E55" t="inlineStr">
        <is>
          <t>SÄVSJÖ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48278-2019</t>
        </is>
      </c>
      <c r="B56" s="1" t="n">
        <v>43726</v>
      </c>
      <c r="C56" s="1" t="n">
        <v>45626</v>
      </c>
      <c r="D56" t="inlineStr">
        <is>
          <t>JÖNKÖPINGS LÄN</t>
        </is>
      </c>
      <c r="E56" t="inlineStr">
        <is>
          <t>SÄVSJÖ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52902-2019</t>
        </is>
      </c>
      <c r="B57" s="1" t="n">
        <v>43746</v>
      </c>
      <c r="C57" s="1" t="n">
        <v>45626</v>
      </c>
      <c r="D57" t="inlineStr">
        <is>
          <t>JÖNKÖPINGS LÄN</t>
        </is>
      </c>
      <c r="E57" t="inlineStr">
        <is>
          <t>SÄVSJÖ</t>
        </is>
      </c>
      <c r="G57" t="n">
        <v>5.4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54117-2019</t>
        </is>
      </c>
      <c r="B58" s="1" t="n">
        <v>43752</v>
      </c>
      <c r="C58" s="1" t="n">
        <v>45626</v>
      </c>
      <c r="D58" t="inlineStr">
        <is>
          <t>JÖNKÖPINGS LÄN</t>
        </is>
      </c>
      <c r="E58" t="inlineStr">
        <is>
          <t>SÄVSJÖ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55849-2019</t>
        </is>
      </c>
      <c r="B59" s="1" t="n">
        <v>43759</v>
      </c>
      <c r="C59" s="1" t="n">
        <v>45626</v>
      </c>
      <c r="D59" t="inlineStr">
        <is>
          <t>JÖNKÖPINGS LÄN</t>
        </is>
      </c>
      <c r="E59" t="inlineStr">
        <is>
          <t>SÄVSJÖ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55859-2019</t>
        </is>
      </c>
      <c r="B60" s="1" t="n">
        <v>43759</v>
      </c>
      <c r="C60" s="1" t="n">
        <v>45626</v>
      </c>
      <c r="D60" t="inlineStr">
        <is>
          <t>JÖNKÖPINGS LÄN</t>
        </is>
      </c>
      <c r="E60" t="inlineStr">
        <is>
          <t>SÄVSJÖ</t>
        </is>
      </c>
      <c r="G60" t="n">
        <v>2.2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57132-2019</t>
        </is>
      </c>
      <c r="B61" s="1" t="n">
        <v>43766</v>
      </c>
      <c r="C61" s="1" t="n">
        <v>45626</v>
      </c>
      <c r="D61" t="inlineStr">
        <is>
          <t>JÖNKÖPINGS LÄN</t>
        </is>
      </c>
      <c r="E61" t="inlineStr">
        <is>
          <t>SÄVSJÖ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57217-2019</t>
        </is>
      </c>
      <c r="B62" s="1" t="n">
        <v>43767</v>
      </c>
      <c r="C62" s="1" t="n">
        <v>45626</v>
      </c>
      <c r="D62" t="inlineStr">
        <is>
          <t>JÖNKÖPINGS LÄN</t>
        </is>
      </c>
      <c r="E62" t="inlineStr">
        <is>
          <t>SÄVSJÖ</t>
        </is>
      </c>
      <c r="G62" t="n">
        <v>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58279-2019</t>
        </is>
      </c>
      <c r="B63" s="1" t="n">
        <v>43770</v>
      </c>
      <c r="C63" s="1" t="n">
        <v>45626</v>
      </c>
      <c r="D63" t="inlineStr">
        <is>
          <t>JÖNKÖPINGS LÄN</t>
        </is>
      </c>
      <c r="E63" t="inlineStr">
        <is>
          <t>SÄVSJÖ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59741-2019</t>
        </is>
      </c>
      <c r="B64" s="1" t="n">
        <v>43776</v>
      </c>
      <c r="C64" s="1" t="n">
        <v>45626</v>
      </c>
      <c r="D64" t="inlineStr">
        <is>
          <t>JÖNKÖPINGS LÄN</t>
        </is>
      </c>
      <c r="E64" t="inlineStr">
        <is>
          <t>SÄVSJÖ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60185-2019</t>
        </is>
      </c>
      <c r="B65" s="1" t="n">
        <v>43780</v>
      </c>
      <c r="C65" s="1" t="n">
        <v>45626</v>
      </c>
      <c r="D65" t="inlineStr">
        <is>
          <t>JÖNKÖPINGS LÄN</t>
        </is>
      </c>
      <c r="E65" t="inlineStr">
        <is>
          <t>SÄVSJÖ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63833-2019</t>
        </is>
      </c>
      <c r="B66" s="1" t="n">
        <v>43795</v>
      </c>
      <c r="C66" s="1" t="n">
        <v>45626</v>
      </c>
      <c r="D66" t="inlineStr">
        <is>
          <t>JÖNKÖPINGS LÄN</t>
        </is>
      </c>
      <c r="E66" t="inlineStr">
        <is>
          <t>SÄVSJÖ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65344-2019</t>
        </is>
      </c>
      <c r="B67" s="1" t="n">
        <v>43803</v>
      </c>
      <c r="C67" s="1" t="n">
        <v>45626</v>
      </c>
      <c r="D67" t="inlineStr">
        <is>
          <t>JÖNKÖPINGS LÄN</t>
        </is>
      </c>
      <c r="E67" t="inlineStr">
        <is>
          <t>SÄVSJÖ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65691-2019</t>
        </is>
      </c>
      <c r="B68" s="1" t="n">
        <v>43804</v>
      </c>
      <c r="C68" s="1" t="n">
        <v>45626</v>
      </c>
      <c r="D68" t="inlineStr">
        <is>
          <t>JÖNKÖPINGS LÄN</t>
        </is>
      </c>
      <c r="E68" t="inlineStr">
        <is>
          <t>SÄVSJÖ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66847-2019</t>
        </is>
      </c>
      <c r="B69" s="1" t="n">
        <v>43810</v>
      </c>
      <c r="C69" s="1" t="n">
        <v>45626</v>
      </c>
      <c r="D69" t="inlineStr">
        <is>
          <t>JÖNKÖPINGS LÄN</t>
        </is>
      </c>
      <c r="E69" t="inlineStr">
        <is>
          <t>SÄVSJÖ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66856-2019</t>
        </is>
      </c>
      <c r="B70" s="1" t="n">
        <v>43810</v>
      </c>
      <c r="C70" s="1" t="n">
        <v>45626</v>
      </c>
      <c r="D70" t="inlineStr">
        <is>
          <t>JÖNKÖPINGS LÄN</t>
        </is>
      </c>
      <c r="E70" t="inlineStr">
        <is>
          <t>SÄVSJÖ</t>
        </is>
      </c>
      <c r="G70" t="n">
        <v>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67631-2019</t>
        </is>
      </c>
      <c r="B71" s="1" t="n">
        <v>43815</v>
      </c>
      <c r="C71" s="1" t="n">
        <v>45626</v>
      </c>
      <c r="D71" t="inlineStr">
        <is>
          <t>JÖNKÖPINGS LÄN</t>
        </is>
      </c>
      <c r="E71" t="inlineStr">
        <is>
          <t>SÄVSJÖ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67684-2019</t>
        </is>
      </c>
      <c r="B72" s="1" t="n">
        <v>43815</v>
      </c>
      <c r="C72" s="1" t="n">
        <v>45626</v>
      </c>
      <c r="D72" t="inlineStr">
        <is>
          <t>JÖNKÖPINGS LÄN</t>
        </is>
      </c>
      <c r="E72" t="inlineStr">
        <is>
          <t>SÄVSJÖ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189-2020</t>
        </is>
      </c>
      <c r="B73" s="1" t="n">
        <v>43833</v>
      </c>
      <c r="C73" s="1" t="n">
        <v>45626</v>
      </c>
      <c r="D73" t="inlineStr">
        <is>
          <t>JÖNKÖPINGS LÄN</t>
        </is>
      </c>
      <c r="E73" t="inlineStr">
        <is>
          <t>SÄVSJÖ</t>
        </is>
      </c>
      <c r="G73" t="n">
        <v>2.9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3737-2020</t>
        </is>
      </c>
      <c r="B74" s="1" t="n">
        <v>43853</v>
      </c>
      <c r="C74" s="1" t="n">
        <v>45626</v>
      </c>
      <c r="D74" t="inlineStr">
        <is>
          <t>JÖNKÖPINGS LÄN</t>
        </is>
      </c>
      <c r="E74" t="inlineStr">
        <is>
          <t>SÄVSJÖ</t>
        </is>
      </c>
      <c r="G74" t="n">
        <v>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5113-2020</t>
        </is>
      </c>
      <c r="B75" s="1" t="n">
        <v>43860</v>
      </c>
      <c r="C75" s="1" t="n">
        <v>45626</v>
      </c>
      <c r="D75" t="inlineStr">
        <is>
          <t>JÖNKÖPINGS LÄN</t>
        </is>
      </c>
      <c r="E75" t="inlineStr">
        <is>
          <t>SÄVSJÖ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8079-2020</t>
        </is>
      </c>
      <c r="B76" s="1" t="n">
        <v>43874</v>
      </c>
      <c r="C76" s="1" t="n">
        <v>45626</v>
      </c>
      <c r="D76" t="inlineStr">
        <is>
          <t>JÖNKÖPINGS LÄN</t>
        </is>
      </c>
      <c r="E76" t="inlineStr">
        <is>
          <t>SÄVSJÖ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12394-2020</t>
        </is>
      </c>
      <c r="B77" s="1" t="n">
        <v>43896</v>
      </c>
      <c r="C77" s="1" t="n">
        <v>45626</v>
      </c>
      <c r="D77" t="inlineStr">
        <is>
          <t>JÖNKÖPINGS LÄN</t>
        </is>
      </c>
      <c r="E77" t="inlineStr">
        <is>
          <t>SÄVSJÖ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14310-2020</t>
        </is>
      </c>
      <c r="B78" s="1" t="n">
        <v>43907</v>
      </c>
      <c r="C78" s="1" t="n">
        <v>45626</v>
      </c>
      <c r="D78" t="inlineStr">
        <is>
          <t>JÖNKÖPINGS LÄN</t>
        </is>
      </c>
      <c r="E78" t="inlineStr">
        <is>
          <t>SÄVSJÖ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16254-2020</t>
        </is>
      </c>
      <c r="B79" s="1" t="n">
        <v>43917</v>
      </c>
      <c r="C79" s="1" t="n">
        <v>45626</v>
      </c>
      <c r="D79" t="inlineStr">
        <is>
          <t>JÖNKÖPINGS LÄN</t>
        </is>
      </c>
      <c r="E79" t="inlineStr">
        <is>
          <t>SÄVSJÖ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18578-2020</t>
        </is>
      </c>
      <c r="B80" s="1" t="n">
        <v>43929</v>
      </c>
      <c r="C80" s="1" t="n">
        <v>45626</v>
      </c>
      <c r="D80" t="inlineStr">
        <is>
          <t>JÖNKÖPINGS LÄN</t>
        </is>
      </c>
      <c r="E80" t="inlineStr">
        <is>
          <t>SÄVSJÖ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23790-2020</t>
        </is>
      </c>
      <c r="B81" s="1" t="n">
        <v>43970</v>
      </c>
      <c r="C81" s="1" t="n">
        <v>45626</v>
      </c>
      <c r="D81" t="inlineStr">
        <is>
          <t>JÖNKÖPINGS LÄN</t>
        </is>
      </c>
      <c r="E81" t="inlineStr">
        <is>
          <t>SÄVSJÖ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26464-2020</t>
        </is>
      </c>
      <c r="B82" s="1" t="n">
        <v>43987</v>
      </c>
      <c r="C82" s="1" t="n">
        <v>45626</v>
      </c>
      <c r="D82" t="inlineStr">
        <is>
          <t>JÖNKÖPINGS LÄN</t>
        </is>
      </c>
      <c r="E82" t="inlineStr">
        <is>
          <t>SÄVSJÖ</t>
        </is>
      </c>
      <c r="G82" t="n">
        <v>3.4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26734-2020</t>
        </is>
      </c>
      <c r="B83" s="1" t="n">
        <v>43990</v>
      </c>
      <c r="C83" s="1" t="n">
        <v>45626</v>
      </c>
      <c r="D83" t="inlineStr">
        <is>
          <t>JÖNKÖPINGS LÄN</t>
        </is>
      </c>
      <c r="E83" t="inlineStr">
        <is>
          <t>SÄVSJÖ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28062-2020</t>
        </is>
      </c>
      <c r="B84" s="1" t="n">
        <v>43997</v>
      </c>
      <c r="C84" s="1" t="n">
        <v>45626</v>
      </c>
      <c r="D84" t="inlineStr">
        <is>
          <t>JÖNKÖPINGS LÄN</t>
        </is>
      </c>
      <c r="E84" t="inlineStr">
        <is>
          <t>SÄVSJÖ</t>
        </is>
      </c>
      <c r="G84" t="n">
        <v>2.2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28740-2020</t>
        </is>
      </c>
      <c r="B85" s="1" t="n">
        <v>43999</v>
      </c>
      <c r="C85" s="1" t="n">
        <v>45626</v>
      </c>
      <c r="D85" t="inlineStr">
        <is>
          <t>JÖNKÖPINGS LÄN</t>
        </is>
      </c>
      <c r="E85" t="inlineStr">
        <is>
          <t>SÄVSJÖ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28738-2020</t>
        </is>
      </c>
      <c r="B86" s="1" t="n">
        <v>43999</v>
      </c>
      <c r="C86" s="1" t="n">
        <v>45626</v>
      </c>
      <c r="D86" t="inlineStr">
        <is>
          <t>JÖNKÖPINGS LÄN</t>
        </is>
      </c>
      <c r="E86" t="inlineStr">
        <is>
          <t>SÄVSJÖ</t>
        </is>
      </c>
      <c r="G86" t="n">
        <v>2.3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28743-2020</t>
        </is>
      </c>
      <c r="B87" s="1" t="n">
        <v>43999</v>
      </c>
      <c r="C87" s="1" t="n">
        <v>45626</v>
      </c>
      <c r="D87" t="inlineStr">
        <is>
          <t>JÖNKÖPINGS LÄN</t>
        </is>
      </c>
      <c r="E87" t="inlineStr">
        <is>
          <t>SÄVSJÖ</t>
        </is>
      </c>
      <c r="G87" t="n">
        <v>2.1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28742-2020</t>
        </is>
      </c>
      <c r="B88" s="1" t="n">
        <v>43999</v>
      </c>
      <c r="C88" s="1" t="n">
        <v>45626</v>
      </c>
      <c r="D88" t="inlineStr">
        <is>
          <t>JÖNKÖPINGS LÄN</t>
        </is>
      </c>
      <c r="E88" t="inlineStr">
        <is>
          <t>SÄVSJÖ</t>
        </is>
      </c>
      <c r="G88" t="n">
        <v>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29099-2020</t>
        </is>
      </c>
      <c r="B89" s="1" t="n">
        <v>44003</v>
      </c>
      <c r="C89" s="1" t="n">
        <v>45626</v>
      </c>
      <c r="D89" t="inlineStr">
        <is>
          <t>JÖNKÖPINGS LÄN</t>
        </is>
      </c>
      <c r="E89" t="inlineStr">
        <is>
          <t>SÄVSJÖ</t>
        </is>
      </c>
      <c r="F89" t="inlineStr">
        <is>
          <t>Sveaskog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30591-2020</t>
        </is>
      </c>
      <c r="B90" s="1" t="n">
        <v>44008</v>
      </c>
      <c r="C90" s="1" t="n">
        <v>45626</v>
      </c>
      <c r="D90" t="inlineStr">
        <is>
          <t>JÖNKÖPINGS LÄN</t>
        </is>
      </c>
      <c r="E90" t="inlineStr">
        <is>
          <t>SÄVSJÖ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30944-2020</t>
        </is>
      </c>
      <c r="B91" s="1" t="n">
        <v>44011</v>
      </c>
      <c r="C91" s="1" t="n">
        <v>45626</v>
      </c>
      <c r="D91" t="inlineStr">
        <is>
          <t>JÖNKÖPINGS LÄN</t>
        </is>
      </c>
      <c r="E91" t="inlineStr">
        <is>
          <t>SÄVSJÖ</t>
        </is>
      </c>
      <c r="G91" t="n">
        <v>2.4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31152-2020</t>
        </is>
      </c>
      <c r="B92" s="1" t="n">
        <v>44012</v>
      </c>
      <c r="C92" s="1" t="n">
        <v>45626</v>
      </c>
      <c r="D92" t="inlineStr">
        <is>
          <t>JÖNKÖPINGS LÄN</t>
        </is>
      </c>
      <c r="E92" t="inlineStr">
        <is>
          <t>SÄVSJÖ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31126-2020</t>
        </is>
      </c>
      <c r="B93" s="1" t="n">
        <v>44012</v>
      </c>
      <c r="C93" s="1" t="n">
        <v>45626</v>
      </c>
      <c r="D93" t="inlineStr">
        <is>
          <t>JÖNKÖPINGS LÄN</t>
        </is>
      </c>
      <c r="E93" t="inlineStr">
        <is>
          <t>SÄVSJÖ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31137-2020</t>
        </is>
      </c>
      <c r="B94" s="1" t="n">
        <v>44012</v>
      </c>
      <c r="C94" s="1" t="n">
        <v>45626</v>
      </c>
      <c r="D94" t="inlineStr">
        <is>
          <t>JÖNKÖPINGS LÄN</t>
        </is>
      </c>
      <c r="E94" t="inlineStr">
        <is>
          <t>SÄVSJÖ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32896-2020</t>
        </is>
      </c>
      <c r="B95" s="1" t="n">
        <v>44019</v>
      </c>
      <c r="C95" s="1" t="n">
        <v>45626</v>
      </c>
      <c r="D95" t="inlineStr">
        <is>
          <t>JÖNKÖPINGS LÄN</t>
        </is>
      </c>
      <c r="E95" t="inlineStr">
        <is>
          <t>SÄVSJÖ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32892-2020</t>
        </is>
      </c>
      <c r="B96" s="1" t="n">
        <v>44020</v>
      </c>
      <c r="C96" s="1" t="n">
        <v>45626</v>
      </c>
      <c r="D96" t="inlineStr">
        <is>
          <t>JÖNKÖPINGS LÄN</t>
        </is>
      </c>
      <c r="E96" t="inlineStr">
        <is>
          <t>SÄVSJÖ</t>
        </is>
      </c>
      <c r="F96" t="inlineStr">
        <is>
          <t>Sveaskog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32889-2020</t>
        </is>
      </c>
      <c r="B97" s="1" t="n">
        <v>44020</v>
      </c>
      <c r="C97" s="1" t="n">
        <v>45626</v>
      </c>
      <c r="D97" t="inlineStr">
        <is>
          <t>JÖNKÖPINGS LÄN</t>
        </is>
      </c>
      <c r="E97" t="inlineStr">
        <is>
          <t>SÄVSJÖ</t>
        </is>
      </c>
      <c r="F97" t="inlineStr">
        <is>
          <t>Sveaskog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32890-2020</t>
        </is>
      </c>
      <c r="B98" s="1" t="n">
        <v>44020</v>
      </c>
      <c r="C98" s="1" t="n">
        <v>45626</v>
      </c>
      <c r="D98" t="inlineStr">
        <is>
          <t>JÖNKÖPINGS LÄN</t>
        </is>
      </c>
      <c r="E98" t="inlineStr">
        <is>
          <t>SÄVSJÖ</t>
        </is>
      </c>
      <c r="F98" t="inlineStr">
        <is>
          <t>Sveaskog</t>
        </is>
      </c>
      <c r="G98" t="n">
        <v>2.8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33309-2020</t>
        </is>
      </c>
      <c r="B99" s="1" t="n">
        <v>44022</v>
      </c>
      <c r="C99" s="1" t="n">
        <v>45626</v>
      </c>
      <c r="D99" t="inlineStr">
        <is>
          <t>JÖNKÖPINGS LÄN</t>
        </is>
      </c>
      <c r="E99" t="inlineStr">
        <is>
          <t>SÄVSJÖ</t>
        </is>
      </c>
      <c r="G99" t="n">
        <v>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33329-2020</t>
        </is>
      </c>
      <c r="B100" s="1" t="n">
        <v>44022</v>
      </c>
      <c r="C100" s="1" t="n">
        <v>45626</v>
      </c>
      <c r="D100" t="inlineStr">
        <is>
          <t>JÖNKÖPINGS LÄN</t>
        </is>
      </c>
      <c r="E100" t="inlineStr">
        <is>
          <t>SÄVSJÖ</t>
        </is>
      </c>
      <c r="G100" t="n">
        <v>10.7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34399-2020</t>
        </is>
      </c>
      <c r="B101" s="1" t="n">
        <v>44029</v>
      </c>
      <c r="C101" s="1" t="n">
        <v>45626</v>
      </c>
      <c r="D101" t="inlineStr">
        <is>
          <t>JÖNKÖPINGS LÄN</t>
        </is>
      </c>
      <c r="E101" t="inlineStr">
        <is>
          <t>SÄVSJÖ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37141-2020</t>
        </is>
      </c>
      <c r="B102" s="1" t="n">
        <v>44054</v>
      </c>
      <c r="C102" s="1" t="n">
        <v>45626</v>
      </c>
      <c r="D102" t="inlineStr">
        <is>
          <t>JÖNKÖPINGS LÄN</t>
        </is>
      </c>
      <c r="E102" t="inlineStr">
        <is>
          <t>SÄVSJÖ</t>
        </is>
      </c>
      <c r="G102" t="n">
        <v>5.4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37601-2020</t>
        </is>
      </c>
      <c r="B103" s="1" t="n">
        <v>44056</v>
      </c>
      <c r="C103" s="1" t="n">
        <v>45626</v>
      </c>
      <c r="D103" t="inlineStr">
        <is>
          <t>JÖNKÖPINGS LÄN</t>
        </is>
      </c>
      <c r="E103" t="inlineStr">
        <is>
          <t>SÄVSJÖ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40231-2020</t>
        </is>
      </c>
      <c r="B104" s="1" t="n">
        <v>44068</v>
      </c>
      <c r="C104" s="1" t="n">
        <v>45626</v>
      </c>
      <c r="D104" t="inlineStr">
        <is>
          <t>JÖNKÖPINGS LÄN</t>
        </is>
      </c>
      <c r="E104" t="inlineStr">
        <is>
          <t>SÄVSJÖ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40778-2020</t>
        </is>
      </c>
      <c r="B105" s="1" t="n">
        <v>44070</v>
      </c>
      <c r="C105" s="1" t="n">
        <v>45626</v>
      </c>
      <c r="D105" t="inlineStr">
        <is>
          <t>JÖNKÖPINGS LÄN</t>
        </is>
      </c>
      <c r="E105" t="inlineStr">
        <is>
          <t>SÄVSJÖ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45929-2020</t>
        </is>
      </c>
      <c r="B106" s="1" t="n">
        <v>44088</v>
      </c>
      <c r="C106" s="1" t="n">
        <v>45626</v>
      </c>
      <c r="D106" t="inlineStr">
        <is>
          <t>JÖNKÖPINGS LÄN</t>
        </is>
      </c>
      <c r="E106" t="inlineStr">
        <is>
          <t>SÄVSJÖ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48582-2020</t>
        </is>
      </c>
      <c r="B107" s="1" t="n">
        <v>44103</v>
      </c>
      <c r="C107" s="1" t="n">
        <v>45626</v>
      </c>
      <c r="D107" t="inlineStr">
        <is>
          <t>JÖNKÖPINGS LÄN</t>
        </is>
      </c>
      <c r="E107" t="inlineStr">
        <is>
          <t>SÄVSJÖ</t>
        </is>
      </c>
      <c r="G107" t="n">
        <v>2.7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49989-2020</t>
        </is>
      </c>
      <c r="B108" s="1" t="n">
        <v>44109</v>
      </c>
      <c r="C108" s="1" t="n">
        <v>45626</v>
      </c>
      <c r="D108" t="inlineStr">
        <is>
          <t>JÖNKÖPINGS LÄN</t>
        </is>
      </c>
      <c r="E108" t="inlineStr">
        <is>
          <t>SÄVSJÖ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49987-2020</t>
        </is>
      </c>
      <c r="B109" s="1" t="n">
        <v>44109</v>
      </c>
      <c r="C109" s="1" t="n">
        <v>45626</v>
      </c>
      <c r="D109" t="inlineStr">
        <is>
          <t>JÖNKÖPINGS LÄN</t>
        </is>
      </c>
      <c r="E109" t="inlineStr">
        <is>
          <t>SÄVSJÖ</t>
        </is>
      </c>
      <c r="G109" t="n">
        <v>5.1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50901-2020</t>
        </is>
      </c>
      <c r="B110" s="1" t="n">
        <v>44111</v>
      </c>
      <c r="C110" s="1" t="n">
        <v>45626</v>
      </c>
      <c r="D110" t="inlineStr">
        <is>
          <t>JÖNKÖPINGS LÄN</t>
        </is>
      </c>
      <c r="E110" t="inlineStr">
        <is>
          <t>SÄVSJÖ</t>
        </is>
      </c>
      <c r="F110" t="inlineStr">
        <is>
          <t>Kyrkan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51620-2020</t>
        </is>
      </c>
      <c r="B111" s="1" t="n">
        <v>44113</v>
      </c>
      <c r="C111" s="1" t="n">
        <v>45626</v>
      </c>
      <c r="D111" t="inlineStr">
        <is>
          <t>JÖNKÖPINGS LÄN</t>
        </is>
      </c>
      <c r="E111" t="inlineStr">
        <is>
          <t>SÄVSJÖ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55799-2020</t>
        </is>
      </c>
      <c r="B112" s="1" t="n">
        <v>44132</v>
      </c>
      <c r="C112" s="1" t="n">
        <v>45626</v>
      </c>
      <c r="D112" t="inlineStr">
        <is>
          <t>JÖNKÖPINGS LÄN</t>
        </is>
      </c>
      <c r="E112" t="inlineStr">
        <is>
          <t>SÄVSJÖ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55803-2020</t>
        </is>
      </c>
      <c r="B113" s="1" t="n">
        <v>44132</v>
      </c>
      <c r="C113" s="1" t="n">
        <v>45626</v>
      </c>
      <c r="D113" t="inlineStr">
        <is>
          <t>JÖNKÖPINGS LÄN</t>
        </is>
      </c>
      <c r="E113" t="inlineStr">
        <is>
          <t>SÄVSJÖ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56344-2020</t>
        </is>
      </c>
      <c r="B114" s="1" t="n">
        <v>44134</v>
      </c>
      <c r="C114" s="1" t="n">
        <v>45626</v>
      </c>
      <c r="D114" t="inlineStr">
        <is>
          <t>JÖNKÖPINGS LÄN</t>
        </is>
      </c>
      <c r="E114" t="inlineStr">
        <is>
          <t>SÄVSJÖ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56330-2020</t>
        </is>
      </c>
      <c r="B115" s="1" t="n">
        <v>44134</v>
      </c>
      <c r="C115" s="1" t="n">
        <v>45626</v>
      </c>
      <c r="D115" t="inlineStr">
        <is>
          <t>JÖNKÖPINGS LÄN</t>
        </is>
      </c>
      <c r="E115" t="inlineStr">
        <is>
          <t>SÄVSJÖ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57134-2020</t>
        </is>
      </c>
      <c r="B116" s="1" t="n">
        <v>44139</v>
      </c>
      <c r="C116" s="1" t="n">
        <v>45626</v>
      </c>
      <c r="D116" t="inlineStr">
        <is>
          <t>JÖNKÖPINGS LÄN</t>
        </is>
      </c>
      <c r="E116" t="inlineStr">
        <is>
          <t>SÄVSJÖ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58045-2020</t>
        </is>
      </c>
      <c r="B117" s="1" t="n">
        <v>44144</v>
      </c>
      <c r="C117" s="1" t="n">
        <v>45626</v>
      </c>
      <c r="D117" t="inlineStr">
        <is>
          <t>JÖNKÖPINGS LÄN</t>
        </is>
      </c>
      <c r="E117" t="inlineStr">
        <is>
          <t>SÄVSJÖ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58065-2020</t>
        </is>
      </c>
      <c r="B118" s="1" t="n">
        <v>44144</v>
      </c>
      <c r="C118" s="1" t="n">
        <v>45626</v>
      </c>
      <c r="D118" t="inlineStr">
        <is>
          <t>JÖNKÖPINGS LÄN</t>
        </is>
      </c>
      <c r="E118" t="inlineStr">
        <is>
          <t>SÄVSJÖ</t>
        </is>
      </c>
      <c r="G118" t="n">
        <v>0.2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59664-2020</t>
        </is>
      </c>
      <c r="B119" s="1" t="n">
        <v>44151</v>
      </c>
      <c r="C119" s="1" t="n">
        <v>45626</v>
      </c>
      <c r="D119" t="inlineStr">
        <is>
          <t>JÖNKÖPINGS LÄN</t>
        </is>
      </c>
      <c r="E119" t="inlineStr">
        <is>
          <t>SÄVSJÖ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60373-2020</t>
        </is>
      </c>
      <c r="B120" s="1" t="n">
        <v>44152</v>
      </c>
      <c r="C120" s="1" t="n">
        <v>45626</v>
      </c>
      <c r="D120" t="inlineStr">
        <is>
          <t>JÖNKÖPINGS LÄN</t>
        </is>
      </c>
      <c r="E120" t="inlineStr">
        <is>
          <t>SÄVSJÖ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60378-2020</t>
        </is>
      </c>
      <c r="B121" s="1" t="n">
        <v>44152</v>
      </c>
      <c r="C121" s="1" t="n">
        <v>45626</v>
      </c>
      <c r="D121" t="inlineStr">
        <is>
          <t>JÖNKÖPINGS LÄN</t>
        </is>
      </c>
      <c r="E121" t="inlineStr">
        <is>
          <t>SÄVSJÖ</t>
        </is>
      </c>
      <c r="G121" t="n">
        <v>4.8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60382-2020</t>
        </is>
      </c>
      <c r="B122" s="1" t="n">
        <v>44152</v>
      </c>
      <c r="C122" s="1" t="n">
        <v>45626</v>
      </c>
      <c r="D122" t="inlineStr">
        <is>
          <t>JÖNKÖPINGS LÄN</t>
        </is>
      </c>
      <c r="E122" t="inlineStr">
        <is>
          <t>SÄVSJÖ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60374-2020</t>
        </is>
      </c>
      <c r="B123" s="1" t="n">
        <v>44152</v>
      </c>
      <c r="C123" s="1" t="n">
        <v>45626</v>
      </c>
      <c r="D123" t="inlineStr">
        <is>
          <t>JÖNKÖPINGS LÄN</t>
        </is>
      </c>
      <c r="E123" t="inlineStr">
        <is>
          <t>SÄVSJÖ</t>
        </is>
      </c>
      <c r="G123" t="n">
        <v>2.6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60611-2020</t>
        </is>
      </c>
      <c r="B124" s="1" t="n">
        <v>44153</v>
      </c>
      <c r="C124" s="1" t="n">
        <v>45626</v>
      </c>
      <c r="D124" t="inlineStr">
        <is>
          <t>JÖNKÖPINGS LÄN</t>
        </is>
      </c>
      <c r="E124" t="inlineStr">
        <is>
          <t>SÄVSJÖ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60626-2020</t>
        </is>
      </c>
      <c r="B125" s="1" t="n">
        <v>44153</v>
      </c>
      <c r="C125" s="1" t="n">
        <v>45626</v>
      </c>
      <c r="D125" t="inlineStr">
        <is>
          <t>JÖNKÖPINGS LÄN</t>
        </is>
      </c>
      <c r="E125" t="inlineStr">
        <is>
          <t>SÄVSJÖ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61198-2020</t>
        </is>
      </c>
      <c r="B126" s="1" t="n">
        <v>44155</v>
      </c>
      <c r="C126" s="1" t="n">
        <v>45626</v>
      </c>
      <c r="D126" t="inlineStr">
        <is>
          <t>JÖNKÖPINGS LÄN</t>
        </is>
      </c>
      <c r="E126" t="inlineStr">
        <is>
          <t>SÄVSJÖ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61310-2020</t>
        </is>
      </c>
      <c r="B127" s="1" t="n">
        <v>44155</v>
      </c>
      <c r="C127" s="1" t="n">
        <v>45626</v>
      </c>
      <c r="D127" t="inlineStr">
        <is>
          <t>JÖNKÖPINGS LÄN</t>
        </is>
      </c>
      <c r="E127" t="inlineStr">
        <is>
          <t>SÄVSJÖ</t>
        </is>
      </c>
      <c r="G127" t="n">
        <v>3.6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61199-2020</t>
        </is>
      </c>
      <c r="B128" s="1" t="n">
        <v>44155</v>
      </c>
      <c r="C128" s="1" t="n">
        <v>45626</v>
      </c>
      <c r="D128" t="inlineStr">
        <is>
          <t>JÖNKÖPINGS LÄN</t>
        </is>
      </c>
      <c r="E128" t="inlineStr">
        <is>
          <t>SÄVSJÖ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61555-2020</t>
        </is>
      </c>
      <c r="B129" s="1" t="n">
        <v>44158</v>
      </c>
      <c r="C129" s="1" t="n">
        <v>45626</v>
      </c>
      <c r="D129" t="inlineStr">
        <is>
          <t>JÖNKÖPINGS LÄN</t>
        </is>
      </c>
      <c r="E129" t="inlineStr">
        <is>
          <t>SÄVSJÖ</t>
        </is>
      </c>
      <c r="F129" t="inlineStr">
        <is>
          <t>Sveaskog</t>
        </is>
      </c>
      <c r="G129" t="n">
        <v>4.3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61579-2020</t>
        </is>
      </c>
      <c r="B130" s="1" t="n">
        <v>44158</v>
      </c>
      <c r="C130" s="1" t="n">
        <v>45626</v>
      </c>
      <c r="D130" t="inlineStr">
        <is>
          <t>JÖNKÖPINGS LÄN</t>
        </is>
      </c>
      <c r="E130" t="inlineStr">
        <is>
          <t>SÄVSJÖ</t>
        </is>
      </c>
      <c r="F130" t="inlineStr">
        <is>
          <t>Sveaskog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62204-2020</t>
        </is>
      </c>
      <c r="B131" s="1" t="n">
        <v>44159</v>
      </c>
      <c r="C131" s="1" t="n">
        <v>45626</v>
      </c>
      <c r="D131" t="inlineStr">
        <is>
          <t>JÖNKÖPINGS LÄN</t>
        </is>
      </c>
      <c r="E131" t="inlineStr">
        <is>
          <t>SÄVSJÖ</t>
        </is>
      </c>
      <c r="G131" t="n">
        <v>2.1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62341-2020</t>
        </is>
      </c>
      <c r="B132" s="1" t="n">
        <v>44160</v>
      </c>
      <c r="C132" s="1" t="n">
        <v>45626</v>
      </c>
      <c r="D132" t="inlineStr">
        <is>
          <t>JÖNKÖPINGS LÄN</t>
        </is>
      </c>
      <c r="E132" t="inlineStr">
        <is>
          <t>SÄVSJÖ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62775-2020</t>
        </is>
      </c>
      <c r="B133" s="1" t="n">
        <v>44161</v>
      </c>
      <c r="C133" s="1" t="n">
        <v>45626</v>
      </c>
      <c r="D133" t="inlineStr">
        <is>
          <t>JÖNKÖPINGS LÄN</t>
        </is>
      </c>
      <c r="E133" t="inlineStr">
        <is>
          <t>SÄVSJÖ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65603-2020</t>
        </is>
      </c>
      <c r="B134" s="1" t="n">
        <v>44173</v>
      </c>
      <c r="C134" s="1" t="n">
        <v>45626</v>
      </c>
      <c r="D134" t="inlineStr">
        <is>
          <t>JÖNKÖPINGS LÄN</t>
        </is>
      </c>
      <c r="E134" t="inlineStr">
        <is>
          <t>SÄVSJÖ</t>
        </is>
      </c>
      <c r="G134" t="n">
        <v>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65608-2020</t>
        </is>
      </c>
      <c r="B135" s="1" t="n">
        <v>44173</v>
      </c>
      <c r="C135" s="1" t="n">
        <v>45626</v>
      </c>
      <c r="D135" t="inlineStr">
        <is>
          <t>JÖNKÖPINGS LÄN</t>
        </is>
      </c>
      <c r="E135" t="inlineStr">
        <is>
          <t>SÄVSJÖ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65598-2020</t>
        </is>
      </c>
      <c r="B136" s="1" t="n">
        <v>44173</v>
      </c>
      <c r="C136" s="1" t="n">
        <v>45626</v>
      </c>
      <c r="D136" t="inlineStr">
        <is>
          <t>JÖNKÖPINGS LÄN</t>
        </is>
      </c>
      <c r="E136" t="inlineStr">
        <is>
          <t>SÄVSJÖ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65601-2020</t>
        </is>
      </c>
      <c r="B137" s="1" t="n">
        <v>44173</v>
      </c>
      <c r="C137" s="1" t="n">
        <v>45626</v>
      </c>
      <c r="D137" t="inlineStr">
        <is>
          <t>JÖNKÖPINGS LÄN</t>
        </is>
      </c>
      <c r="E137" t="inlineStr">
        <is>
          <t>SÄVSJÖ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65793-2020</t>
        </is>
      </c>
      <c r="B138" s="1" t="n">
        <v>44174</v>
      </c>
      <c r="C138" s="1" t="n">
        <v>45626</v>
      </c>
      <c r="D138" t="inlineStr">
        <is>
          <t>JÖNKÖPINGS LÄN</t>
        </is>
      </c>
      <c r="E138" t="inlineStr">
        <is>
          <t>SÄVSJÖ</t>
        </is>
      </c>
      <c r="G138" t="n">
        <v>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66213-2020</t>
        </is>
      </c>
      <c r="B139" s="1" t="n">
        <v>44175</v>
      </c>
      <c r="C139" s="1" t="n">
        <v>45626</v>
      </c>
      <c r="D139" t="inlineStr">
        <is>
          <t>JÖNKÖPINGS LÄN</t>
        </is>
      </c>
      <c r="E139" t="inlineStr">
        <is>
          <t>SÄVSJÖ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67320-2020</t>
        </is>
      </c>
      <c r="B140" s="1" t="n">
        <v>44180</v>
      </c>
      <c r="C140" s="1" t="n">
        <v>45626</v>
      </c>
      <c r="D140" t="inlineStr">
        <is>
          <t>JÖNKÖPINGS LÄN</t>
        </is>
      </c>
      <c r="E140" t="inlineStr">
        <is>
          <t>SÄVSJÖ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67399-2020</t>
        </is>
      </c>
      <c r="B141" s="1" t="n">
        <v>44181</v>
      </c>
      <c r="C141" s="1" t="n">
        <v>45626</v>
      </c>
      <c r="D141" t="inlineStr">
        <is>
          <t>JÖNKÖPINGS LÄN</t>
        </is>
      </c>
      <c r="E141" t="inlineStr">
        <is>
          <t>SÄVSJÖ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68431-2020</t>
        </is>
      </c>
      <c r="B142" s="1" t="n">
        <v>44186</v>
      </c>
      <c r="C142" s="1" t="n">
        <v>45626</v>
      </c>
      <c r="D142" t="inlineStr">
        <is>
          <t>JÖNKÖPINGS LÄN</t>
        </is>
      </c>
      <c r="E142" t="inlineStr">
        <is>
          <t>SÄVSJÖ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68338-2020</t>
        </is>
      </c>
      <c r="B143" s="1" t="n">
        <v>44186</v>
      </c>
      <c r="C143" s="1" t="n">
        <v>45626</v>
      </c>
      <c r="D143" t="inlineStr">
        <is>
          <t>JÖNKÖPINGS LÄN</t>
        </is>
      </c>
      <c r="E143" t="inlineStr">
        <is>
          <t>SÄVSJÖ</t>
        </is>
      </c>
      <c r="G143" t="n">
        <v>0.4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69616-2020</t>
        </is>
      </c>
      <c r="B144" s="1" t="n">
        <v>44195</v>
      </c>
      <c r="C144" s="1" t="n">
        <v>45626</v>
      </c>
      <c r="D144" t="inlineStr">
        <is>
          <t>JÖNKÖPINGS LÄN</t>
        </is>
      </c>
      <c r="E144" t="inlineStr">
        <is>
          <t>SÄVSJÖ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86-2021</t>
        </is>
      </c>
      <c r="B145" s="1" t="n">
        <v>44200</v>
      </c>
      <c r="C145" s="1" t="n">
        <v>45626</v>
      </c>
      <c r="D145" t="inlineStr">
        <is>
          <t>JÖNKÖPINGS LÄN</t>
        </is>
      </c>
      <c r="E145" t="inlineStr">
        <is>
          <t>SÄVSJÖ</t>
        </is>
      </c>
      <c r="F145" t="inlineStr">
        <is>
          <t>Sveaskog</t>
        </is>
      </c>
      <c r="G145" t="n">
        <v>1.8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95-2021</t>
        </is>
      </c>
      <c r="B146" s="1" t="n">
        <v>44200</v>
      </c>
      <c r="C146" s="1" t="n">
        <v>45626</v>
      </c>
      <c r="D146" t="inlineStr">
        <is>
          <t>JÖNKÖPINGS LÄN</t>
        </is>
      </c>
      <c r="E146" t="inlineStr">
        <is>
          <t>SÄVSJÖ</t>
        </is>
      </c>
      <c r="F146" t="inlineStr">
        <is>
          <t>Sveaskog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89-2021</t>
        </is>
      </c>
      <c r="B147" s="1" t="n">
        <v>44200</v>
      </c>
      <c r="C147" s="1" t="n">
        <v>45626</v>
      </c>
      <c r="D147" t="inlineStr">
        <is>
          <t>JÖNKÖPINGS LÄN</t>
        </is>
      </c>
      <c r="E147" t="inlineStr">
        <is>
          <t>SÄVSJÖ</t>
        </is>
      </c>
      <c r="F147" t="inlineStr">
        <is>
          <t>Sveaskog</t>
        </is>
      </c>
      <c r="G147" t="n">
        <v>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1033-2021</t>
        </is>
      </c>
      <c r="B148" s="1" t="n">
        <v>44207</v>
      </c>
      <c r="C148" s="1" t="n">
        <v>45626</v>
      </c>
      <c r="D148" t="inlineStr">
        <is>
          <t>JÖNKÖPINGS LÄN</t>
        </is>
      </c>
      <c r="E148" t="inlineStr">
        <is>
          <t>SÄVSJÖ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1442-2021</t>
        </is>
      </c>
      <c r="B149" s="1" t="n">
        <v>44208</v>
      </c>
      <c r="C149" s="1" t="n">
        <v>45626</v>
      </c>
      <c r="D149" t="inlineStr">
        <is>
          <t>JÖNKÖPINGS LÄN</t>
        </is>
      </c>
      <c r="E149" t="inlineStr">
        <is>
          <t>SÄVSJÖ</t>
        </is>
      </c>
      <c r="G149" t="n">
        <v>0.4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2352-2021</t>
        </is>
      </c>
      <c r="B150" s="1" t="n">
        <v>44214</v>
      </c>
      <c r="C150" s="1" t="n">
        <v>45626</v>
      </c>
      <c r="D150" t="inlineStr">
        <is>
          <t>JÖNKÖPINGS LÄN</t>
        </is>
      </c>
      <c r="E150" t="inlineStr">
        <is>
          <t>SÄVSJÖ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3156-2021</t>
        </is>
      </c>
      <c r="B151" s="1" t="n">
        <v>44217</v>
      </c>
      <c r="C151" s="1" t="n">
        <v>45626</v>
      </c>
      <c r="D151" t="inlineStr">
        <is>
          <t>JÖNKÖPINGS LÄN</t>
        </is>
      </c>
      <c r="E151" t="inlineStr">
        <is>
          <t>SÄVSJÖ</t>
        </is>
      </c>
      <c r="G151" t="n">
        <v>4.3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4675-2021</t>
        </is>
      </c>
      <c r="B152" s="1" t="n">
        <v>44225</v>
      </c>
      <c r="C152" s="1" t="n">
        <v>45626</v>
      </c>
      <c r="D152" t="inlineStr">
        <is>
          <t>JÖNKÖPINGS LÄN</t>
        </is>
      </c>
      <c r="E152" t="inlineStr">
        <is>
          <t>SÄVSJÖ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6554-2021</t>
        </is>
      </c>
      <c r="B153" s="1" t="n">
        <v>44236</v>
      </c>
      <c r="C153" s="1" t="n">
        <v>45626</v>
      </c>
      <c r="D153" t="inlineStr">
        <is>
          <t>JÖNKÖPINGS LÄN</t>
        </is>
      </c>
      <c r="E153" t="inlineStr">
        <is>
          <t>SÄVSJÖ</t>
        </is>
      </c>
      <c r="G153" t="n">
        <v>2.7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7915-2021</t>
        </is>
      </c>
      <c r="B154" s="1" t="n">
        <v>44243</v>
      </c>
      <c r="C154" s="1" t="n">
        <v>45626</v>
      </c>
      <c r="D154" t="inlineStr">
        <is>
          <t>JÖNKÖPINGS LÄN</t>
        </is>
      </c>
      <c r="E154" t="inlineStr">
        <is>
          <t>SÄVSJÖ</t>
        </is>
      </c>
      <c r="F154" t="inlineStr">
        <is>
          <t>Sveaskog</t>
        </is>
      </c>
      <c r="G154" t="n">
        <v>3.2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8439-2021</t>
        </is>
      </c>
      <c r="B155" s="1" t="n">
        <v>44245</v>
      </c>
      <c r="C155" s="1" t="n">
        <v>45626</v>
      </c>
      <c r="D155" t="inlineStr">
        <is>
          <t>JÖNKÖPINGS LÄN</t>
        </is>
      </c>
      <c r="E155" t="inlineStr">
        <is>
          <t>SÄVSJÖ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11396-2021</t>
        </is>
      </c>
      <c r="B156" s="1" t="n">
        <v>44263</v>
      </c>
      <c r="C156" s="1" t="n">
        <v>45626</v>
      </c>
      <c r="D156" t="inlineStr">
        <is>
          <t>JÖNKÖPINGS LÄN</t>
        </is>
      </c>
      <c r="E156" t="inlineStr">
        <is>
          <t>SÄVSJÖ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12301-2021</t>
        </is>
      </c>
      <c r="B157" s="1" t="n">
        <v>44267</v>
      </c>
      <c r="C157" s="1" t="n">
        <v>45626</v>
      </c>
      <c r="D157" t="inlineStr">
        <is>
          <t>JÖNKÖPINGS LÄN</t>
        </is>
      </c>
      <c r="E157" t="inlineStr">
        <is>
          <t>SÄVSJÖ</t>
        </is>
      </c>
      <c r="G157" t="n">
        <v>4.9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12521-2021</t>
        </is>
      </c>
      <c r="B158" s="1" t="n">
        <v>44269</v>
      </c>
      <c r="C158" s="1" t="n">
        <v>45626</v>
      </c>
      <c r="D158" t="inlineStr">
        <is>
          <t>JÖNKÖPINGS LÄN</t>
        </is>
      </c>
      <c r="E158" t="inlineStr">
        <is>
          <t>SÄVSJÖ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12856-2021</t>
        </is>
      </c>
      <c r="B159" s="1" t="n">
        <v>44271</v>
      </c>
      <c r="C159" s="1" t="n">
        <v>45626</v>
      </c>
      <c r="D159" t="inlineStr">
        <is>
          <t>JÖNKÖPINGS LÄN</t>
        </is>
      </c>
      <c r="E159" t="inlineStr">
        <is>
          <t>SÄVSJÖ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13556-2021</t>
        </is>
      </c>
      <c r="B160" s="1" t="n">
        <v>44273</v>
      </c>
      <c r="C160" s="1" t="n">
        <v>45626</v>
      </c>
      <c r="D160" t="inlineStr">
        <is>
          <t>JÖNKÖPINGS LÄN</t>
        </is>
      </c>
      <c r="E160" t="inlineStr">
        <is>
          <t>SÄVSJÖ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15014-2021</t>
        </is>
      </c>
      <c r="B161" s="1" t="n">
        <v>44281</v>
      </c>
      <c r="C161" s="1" t="n">
        <v>45626</v>
      </c>
      <c r="D161" t="inlineStr">
        <is>
          <t>JÖNKÖPINGS LÄN</t>
        </is>
      </c>
      <c r="E161" t="inlineStr">
        <is>
          <t>SÄVSJÖ</t>
        </is>
      </c>
      <c r="F161" t="inlineStr">
        <is>
          <t>Sveaskog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15605-2021</t>
        </is>
      </c>
      <c r="B162" s="1" t="n">
        <v>44285</v>
      </c>
      <c r="C162" s="1" t="n">
        <v>45626</v>
      </c>
      <c r="D162" t="inlineStr">
        <is>
          <t>JÖNKÖPINGS LÄN</t>
        </is>
      </c>
      <c r="E162" t="inlineStr">
        <is>
          <t>SÄVSJÖ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15947-2021</t>
        </is>
      </c>
      <c r="B163" s="1" t="n">
        <v>44287</v>
      </c>
      <c r="C163" s="1" t="n">
        <v>45626</v>
      </c>
      <c r="D163" t="inlineStr">
        <is>
          <t>JÖNKÖPINGS LÄN</t>
        </is>
      </c>
      <c r="E163" t="inlineStr">
        <is>
          <t>SÄVSJÖ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19017-2021</t>
        </is>
      </c>
      <c r="B164" s="1" t="n">
        <v>44308</v>
      </c>
      <c r="C164" s="1" t="n">
        <v>45626</v>
      </c>
      <c r="D164" t="inlineStr">
        <is>
          <t>JÖNKÖPINGS LÄN</t>
        </is>
      </c>
      <c r="E164" t="inlineStr">
        <is>
          <t>SÄVSJÖ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20352-2021</t>
        </is>
      </c>
      <c r="B165" s="1" t="n">
        <v>44315</v>
      </c>
      <c r="C165" s="1" t="n">
        <v>45626</v>
      </c>
      <c r="D165" t="inlineStr">
        <is>
          <t>JÖNKÖPINGS LÄN</t>
        </is>
      </c>
      <c r="E165" t="inlineStr">
        <is>
          <t>SÄVSJÖ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25107-2021</t>
        </is>
      </c>
      <c r="B166" s="1" t="n">
        <v>44341</v>
      </c>
      <c r="C166" s="1" t="n">
        <v>45626</v>
      </c>
      <c r="D166" t="inlineStr">
        <is>
          <t>JÖNKÖPINGS LÄN</t>
        </is>
      </c>
      <c r="E166" t="inlineStr">
        <is>
          <t>SÄVSJÖ</t>
        </is>
      </c>
      <c r="F166" t="inlineStr">
        <is>
          <t>Sveaskog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25100-2021</t>
        </is>
      </c>
      <c r="B167" s="1" t="n">
        <v>44341</v>
      </c>
      <c r="C167" s="1" t="n">
        <v>45626</v>
      </c>
      <c r="D167" t="inlineStr">
        <is>
          <t>JÖNKÖPINGS LÄN</t>
        </is>
      </c>
      <c r="E167" t="inlineStr">
        <is>
          <t>SÄVSJÖ</t>
        </is>
      </c>
      <c r="F167" t="inlineStr">
        <is>
          <t>Sveaskog</t>
        </is>
      </c>
      <c r="G167" t="n">
        <v>3.6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25111-2021</t>
        </is>
      </c>
      <c r="B168" s="1" t="n">
        <v>44341</v>
      </c>
      <c r="C168" s="1" t="n">
        <v>45626</v>
      </c>
      <c r="D168" t="inlineStr">
        <is>
          <t>JÖNKÖPINGS LÄN</t>
        </is>
      </c>
      <c r="E168" t="inlineStr">
        <is>
          <t>SÄVSJÖ</t>
        </is>
      </c>
      <c r="F168" t="inlineStr">
        <is>
          <t>Sveaskog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26675-2021</t>
        </is>
      </c>
      <c r="B169" s="1" t="n">
        <v>44348</v>
      </c>
      <c r="C169" s="1" t="n">
        <v>45626</v>
      </c>
      <c r="D169" t="inlineStr">
        <is>
          <t>JÖNKÖPINGS LÄN</t>
        </is>
      </c>
      <c r="E169" t="inlineStr">
        <is>
          <t>SÄVSJÖ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26872-2021</t>
        </is>
      </c>
      <c r="B170" s="1" t="n">
        <v>44349</v>
      </c>
      <c r="C170" s="1" t="n">
        <v>45626</v>
      </c>
      <c r="D170" t="inlineStr">
        <is>
          <t>JÖNKÖPINGS LÄN</t>
        </is>
      </c>
      <c r="E170" t="inlineStr">
        <is>
          <t>SÄVSJÖ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27392-2021</t>
        </is>
      </c>
      <c r="B171" s="1" t="n">
        <v>44351</v>
      </c>
      <c r="C171" s="1" t="n">
        <v>45626</v>
      </c>
      <c r="D171" t="inlineStr">
        <is>
          <t>JÖNKÖPINGS LÄN</t>
        </is>
      </c>
      <c r="E171" t="inlineStr">
        <is>
          <t>SÄVSJÖ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28667-2021</t>
        </is>
      </c>
      <c r="B172" s="1" t="n">
        <v>44357</v>
      </c>
      <c r="C172" s="1" t="n">
        <v>45626</v>
      </c>
      <c r="D172" t="inlineStr">
        <is>
          <t>JÖNKÖPINGS LÄN</t>
        </is>
      </c>
      <c r="E172" t="inlineStr">
        <is>
          <t>SÄVSJÖ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29154-2021</t>
        </is>
      </c>
      <c r="B173" s="1" t="n">
        <v>44358</v>
      </c>
      <c r="C173" s="1" t="n">
        <v>45626</v>
      </c>
      <c r="D173" t="inlineStr">
        <is>
          <t>JÖNKÖPINGS LÄN</t>
        </is>
      </c>
      <c r="E173" t="inlineStr">
        <is>
          <t>SÄVSJÖ</t>
        </is>
      </c>
      <c r="G173" t="n">
        <v>0.4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29149-2021</t>
        </is>
      </c>
      <c r="B174" s="1" t="n">
        <v>44358</v>
      </c>
      <c r="C174" s="1" t="n">
        <v>45626</v>
      </c>
      <c r="D174" t="inlineStr">
        <is>
          <t>JÖNKÖPINGS LÄN</t>
        </is>
      </c>
      <c r="E174" t="inlineStr">
        <is>
          <t>SÄVSJÖ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31718-2021</t>
        </is>
      </c>
      <c r="B175" s="1" t="n">
        <v>44369</v>
      </c>
      <c r="C175" s="1" t="n">
        <v>45626</v>
      </c>
      <c r="D175" t="inlineStr">
        <is>
          <t>JÖNKÖPINGS LÄN</t>
        </is>
      </c>
      <c r="E175" t="inlineStr">
        <is>
          <t>SÄVSJÖ</t>
        </is>
      </c>
      <c r="G175" t="n">
        <v>3.5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31851-2021</t>
        </is>
      </c>
      <c r="B176" s="1" t="n">
        <v>44370</v>
      </c>
      <c r="C176" s="1" t="n">
        <v>45626</v>
      </c>
      <c r="D176" t="inlineStr">
        <is>
          <t>JÖNKÖPINGS LÄN</t>
        </is>
      </c>
      <c r="E176" t="inlineStr">
        <is>
          <t>SÄVSJÖ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31886-2021</t>
        </is>
      </c>
      <c r="B177" s="1" t="n">
        <v>44370</v>
      </c>
      <c r="C177" s="1" t="n">
        <v>45626</v>
      </c>
      <c r="D177" t="inlineStr">
        <is>
          <t>JÖNKÖPINGS LÄN</t>
        </is>
      </c>
      <c r="E177" t="inlineStr">
        <is>
          <t>SÄVSJÖ</t>
        </is>
      </c>
      <c r="G177" t="n">
        <v>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31897-2021</t>
        </is>
      </c>
      <c r="B178" s="1" t="n">
        <v>44370</v>
      </c>
      <c r="C178" s="1" t="n">
        <v>45626</v>
      </c>
      <c r="D178" t="inlineStr">
        <is>
          <t>JÖNKÖPINGS LÄN</t>
        </is>
      </c>
      <c r="E178" t="inlineStr">
        <is>
          <t>SÄVSJÖ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31910-2021</t>
        </is>
      </c>
      <c r="B179" s="1" t="n">
        <v>44370</v>
      </c>
      <c r="C179" s="1" t="n">
        <v>45626</v>
      </c>
      <c r="D179" t="inlineStr">
        <is>
          <t>JÖNKÖPINGS LÄN</t>
        </is>
      </c>
      <c r="E179" t="inlineStr">
        <is>
          <t>SÄVSJÖ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31909-2021</t>
        </is>
      </c>
      <c r="B180" s="1" t="n">
        <v>44370</v>
      </c>
      <c r="C180" s="1" t="n">
        <v>45626</v>
      </c>
      <c r="D180" t="inlineStr">
        <is>
          <t>JÖNKÖPINGS LÄN</t>
        </is>
      </c>
      <c r="E180" t="inlineStr">
        <is>
          <t>SÄVSJÖ</t>
        </is>
      </c>
      <c r="G180" t="n">
        <v>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31914-2021</t>
        </is>
      </c>
      <c r="B181" s="1" t="n">
        <v>44370</v>
      </c>
      <c r="C181" s="1" t="n">
        <v>45626</v>
      </c>
      <c r="D181" t="inlineStr">
        <is>
          <t>JÖNKÖPINGS LÄN</t>
        </is>
      </c>
      <c r="E181" t="inlineStr">
        <is>
          <t>SÄVSJÖ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31907-2021</t>
        </is>
      </c>
      <c r="B182" s="1" t="n">
        <v>44370</v>
      </c>
      <c r="C182" s="1" t="n">
        <v>45626</v>
      </c>
      <c r="D182" t="inlineStr">
        <is>
          <t>JÖNKÖPINGS LÄN</t>
        </is>
      </c>
      <c r="E182" t="inlineStr">
        <is>
          <t>SÄVSJÖ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31872-2021</t>
        </is>
      </c>
      <c r="B183" s="1" t="n">
        <v>44370</v>
      </c>
      <c r="C183" s="1" t="n">
        <v>45626</v>
      </c>
      <c r="D183" t="inlineStr">
        <is>
          <t>JÖNKÖPINGS LÄN</t>
        </is>
      </c>
      <c r="E183" t="inlineStr">
        <is>
          <t>SÄVSJÖ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31901-2021</t>
        </is>
      </c>
      <c r="B184" s="1" t="n">
        <v>44370</v>
      </c>
      <c r="C184" s="1" t="n">
        <v>45626</v>
      </c>
      <c r="D184" t="inlineStr">
        <is>
          <t>JÖNKÖPINGS LÄN</t>
        </is>
      </c>
      <c r="E184" t="inlineStr">
        <is>
          <t>SÄVSJÖ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32011-2021</t>
        </is>
      </c>
      <c r="B185" s="1" t="n">
        <v>44370</v>
      </c>
      <c r="C185" s="1" t="n">
        <v>45626</v>
      </c>
      <c r="D185" t="inlineStr">
        <is>
          <t>JÖNKÖPINGS LÄN</t>
        </is>
      </c>
      <c r="E185" t="inlineStr">
        <is>
          <t>SÄVSJÖ</t>
        </is>
      </c>
      <c r="G185" t="n">
        <v>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32523-2021</t>
        </is>
      </c>
      <c r="B186" s="1" t="n">
        <v>44374</v>
      </c>
      <c r="C186" s="1" t="n">
        <v>45626</v>
      </c>
      <c r="D186" t="inlineStr">
        <is>
          <t>JÖNKÖPINGS LÄN</t>
        </is>
      </c>
      <c r="E186" t="inlineStr">
        <is>
          <t>SÄVSJÖ</t>
        </is>
      </c>
      <c r="G186" t="n">
        <v>2.2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33514-2021</t>
        </is>
      </c>
      <c r="B187" s="1" t="n">
        <v>44377</v>
      </c>
      <c r="C187" s="1" t="n">
        <v>45626</v>
      </c>
      <c r="D187" t="inlineStr">
        <is>
          <t>JÖNKÖPINGS LÄN</t>
        </is>
      </c>
      <c r="E187" t="inlineStr">
        <is>
          <t>SÄVSJÖ</t>
        </is>
      </c>
      <c r="G187" t="n">
        <v>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33631-2021</t>
        </is>
      </c>
      <c r="B188" s="1" t="n">
        <v>44378</v>
      </c>
      <c r="C188" s="1" t="n">
        <v>45626</v>
      </c>
      <c r="D188" t="inlineStr">
        <is>
          <t>JÖNKÖPINGS LÄN</t>
        </is>
      </c>
      <c r="E188" t="inlineStr">
        <is>
          <t>SÄVSJÖ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35654-2021</t>
        </is>
      </c>
      <c r="B189" s="1" t="n">
        <v>44386</v>
      </c>
      <c r="C189" s="1" t="n">
        <v>45626</v>
      </c>
      <c r="D189" t="inlineStr">
        <is>
          <t>JÖNKÖPINGS LÄN</t>
        </is>
      </c>
      <c r="E189" t="inlineStr">
        <is>
          <t>SÄVSJÖ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36268-2021</t>
        </is>
      </c>
      <c r="B190" s="1" t="n">
        <v>44390</v>
      </c>
      <c r="C190" s="1" t="n">
        <v>45626</v>
      </c>
      <c r="D190" t="inlineStr">
        <is>
          <t>JÖNKÖPINGS LÄN</t>
        </is>
      </c>
      <c r="E190" t="inlineStr">
        <is>
          <t>SÄVSJÖ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36434-2021</t>
        </is>
      </c>
      <c r="B191" s="1" t="n">
        <v>44390</v>
      </c>
      <c r="C191" s="1" t="n">
        <v>45626</v>
      </c>
      <c r="D191" t="inlineStr">
        <is>
          <t>JÖNKÖPINGS LÄN</t>
        </is>
      </c>
      <c r="E191" t="inlineStr">
        <is>
          <t>SÄVSJÖ</t>
        </is>
      </c>
      <c r="G191" t="n">
        <v>6.5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37299-2021</t>
        </is>
      </c>
      <c r="B192" s="1" t="n">
        <v>44397</v>
      </c>
      <c r="C192" s="1" t="n">
        <v>45626</v>
      </c>
      <c r="D192" t="inlineStr">
        <is>
          <t>JÖNKÖPINGS LÄN</t>
        </is>
      </c>
      <c r="E192" t="inlineStr">
        <is>
          <t>SÄVSJÖ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38189-2021</t>
        </is>
      </c>
      <c r="B193" s="1" t="n">
        <v>44405</v>
      </c>
      <c r="C193" s="1" t="n">
        <v>45626</v>
      </c>
      <c r="D193" t="inlineStr">
        <is>
          <t>JÖNKÖPINGS LÄN</t>
        </is>
      </c>
      <c r="E193" t="inlineStr">
        <is>
          <t>SÄVSJÖ</t>
        </is>
      </c>
      <c r="G193" t="n">
        <v>0.4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38265-2021</t>
        </is>
      </c>
      <c r="B194" s="1" t="n">
        <v>44405</v>
      </c>
      <c r="C194" s="1" t="n">
        <v>45626</v>
      </c>
      <c r="D194" t="inlineStr">
        <is>
          <t>JÖNKÖPINGS LÄN</t>
        </is>
      </c>
      <c r="E194" t="inlineStr">
        <is>
          <t>SÄVSJÖ</t>
        </is>
      </c>
      <c r="G194" t="n">
        <v>2.4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39150-2021</t>
        </is>
      </c>
      <c r="B195" s="1" t="n">
        <v>44412</v>
      </c>
      <c r="C195" s="1" t="n">
        <v>45626</v>
      </c>
      <c r="D195" t="inlineStr">
        <is>
          <t>JÖNKÖPINGS LÄN</t>
        </is>
      </c>
      <c r="E195" t="inlineStr">
        <is>
          <t>SÄVSJÖ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39491-2021</t>
        </is>
      </c>
      <c r="B196" s="1" t="n">
        <v>44414</v>
      </c>
      <c r="C196" s="1" t="n">
        <v>45626</v>
      </c>
      <c r="D196" t="inlineStr">
        <is>
          <t>JÖNKÖPINGS LÄN</t>
        </is>
      </c>
      <c r="E196" t="inlineStr">
        <is>
          <t>SÄVSJÖ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39499-2021</t>
        </is>
      </c>
      <c r="B197" s="1" t="n">
        <v>44414</v>
      </c>
      <c r="C197" s="1" t="n">
        <v>45626</v>
      </c>
      <c r="D197" t="inlineStr">
        <is>
          <t>JÖNKÖPINGS LÄN</t>
        </is>
      </c>
      <c r="E197" t="inlineStr">
        <is>
          <t>SÄVSJÖ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39501-2021</t>
        </is>
      </c>
      <c r="B198" s="1" t="n">
        <v>44414</v>
      </c>
      <c r="C198" s="1" t="n">
        <v>45626</v>
      </c>
      <c r="D198" t="inlineStr">
        <is>
          <t>JÖNKÖPINGS LÄN</t>
        </is>
      </c>
      <c r="E198" t="inlineStr">
        <is>
          <t>SÄVSJÖ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40715-2021</t>
        </is>
      </c>
      <c r="B199" s="1" t="n">
        <v>44420</v>
      </c>
      <c r="C199" s="1" t="n">
        <v>45626</v>
      </c>
      <c r="D199" t="inlineStr">
        <is>
          <t>JÖNKÖPINGS LÄN</t>
        </is>
      </c>
      <c r="E199" t="inlineStr">
        <is>
          <t>SÄVSJÖ</t>
        </is>
      </c>
      <c r="G199" t="n">
        <v>8.199999999999999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42212-2021</t>
        </is>
      </c>
      <c r="B200" s="1" t="n">
        <v>44426</v>
      </c>
      <c r="C200" s="1" t="n">
        <v>45626</v>
      </c>
      <c r="D200" t="inlineStr">
        <is>
          <t>JÖNKÖPINGS LÄN</t>
        </is>
      </c>
      <c r="E200" t="inlineStr">
        <is>
          <t>SÄVSJÖ</t>
        </is>
      </c>
      <c r="G200" t="n">
        <v>0.4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43566-2021</t>
        </is>
      </c>
      <c r="B201" s="1" t="n">
        <v>44433</v>
      </c>
      <c r="C201" s="1" t="n">
        <v>45626</v>
      </c>
      <c r="D201" t="inlineStr">
        <is>
          <t>JÖNKÖPINGS LÄN</t>
        </is>
      </c>
      <c r="E201" t="inlineStr">
        <is>
          <t>SÄVSJÖ</t>
        </is>
      </c>
      <c r="G201" t="n">
        <v>7.3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43604-2021</t>
        </is>
      </c>
      <c r="B202" s="1" t="n">
        <v>44433</v>
      </c>
      <c r="C202" s="1" t="n">
        <v>45626</v>
      </c>
      <c r="D202" t="inlineStr">
        <is>
          <t>JÖNKÖPINGS LÄN</t>
        </is>
      </c>
      <c r="E202" t="inlineStr">
        <is>
          <t>SÄVSJÖ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43607-2021</t>
        </is>
      </c>
      <c r="B203" s="1" t="n">
        <v>44433</v>
      </c>
      <c r="C203" s="1" t="n">
        <v>45626</v>
      </c>
      <c r="D203" t="inlineStr">
        <is>
          <t>JÖNKÖPINGS LÄN</t>
        </is>
      </c>
      <c r="E203" t="inlineStr">
        <is>
          <t>SÄVSJÖ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43618-2021</t>
        </is>
      </c>
      <c r="B204" s="1" t="n">
        <v>44433</v>
      </c>
      <c r="C204" s="1" t="n">
        <v>45626</v>
      </c>
      <c r="D204" t="inlineStr">
        <is>
          <t>JÖNKÖPINGS LÄN</t>
        </is>
      </c>
      <c r="E204" t="inlineStr">
        <is>
          <t>SÄVSJÖ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46307-2021</t>
        </is>
      </c>
      <c r="B205" s="1" t="n">
        <v>44442</v>
      </c>
      <c r="C205" s="1" t="n">
        <v>45626</v>
      </c>
      <c r="D205" t="inlineStr">
        <is>
          <t>JÖNKÖPINGS LÄN</t>
        </is>
      </c>
      <c r="E205" t="inlineStr">
        <is>
          <t>SÄVSJÖ</t>
        </is>
      </c>
      <c r="F205" t="inlineStr">
        <is>
          <t>Kommuner</t>
        </is>
      </c>
      <c r="G205" t="n">
        <v>25.6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46514-2021</t>
        </is>
      </c>
      <c r="B206" s="1" t="n">
        <v>44445</v>
      </c>
      <c r="C206" s="1" t="n">
        <v>45626</v>
      </c>
      <c r="D206" t="inlineStr">
        <is>
          <t>JÖNKÖPINGS LÄN</t>
        </is>
      </c>
      <c r="E206" t="inlineStr">
        <is>
          <t>SÄVSJÖ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47405-2021</t>
        </is>
      </c>
      <c r="B207" s="1" t="n">
        <v>44447</v>
      </c>
      <c r="C207" s="1" t="n">
        <v>45626</v>
      </c>
      <c r="D207" t="inlineStr">
        <is>
          <t>JÖNKÖPINGS LÄN</t>
        </is>
      </c>
      <c r="E207" t="inlineStr">
        <is>
          <t>SÄVSJÖ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47757-2021</t>
        </is>
      </c>
      <c r="B208" s="1" t="n">
        <v>44448</v>
      </c>
      <c r="C208" s="1" t="n">
        <v>45626</v>
      </c>
      <c r="D208" t="inlineStr">
        <is>
          <t>JÖNKÖPINGS LÄN</t>
        </is>
      </c>
      <c r="E208" t="inlineStr">
        <is>
          <t>SÄVSJÖ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47740-2021</t>
        </is>
      </c>
      <c r="B209" s="1" t="n">
        <v>44448</v>
      </c>
      <c r="C209" s="1" t="n">
        <v>45626</v>
      </c>
      <c r="D209" t="inlineStr">
        <is>
          <t>JÖNKÖPINGS LÄN</t>
        </is>
      </c>
      <c r="E209" t="inlineStr">
        <is>
          <t>SÄVSJÖ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52033-2021</t>
        </is>
      </c>
      <c r="B210" s="1" t="n">
        <v>44463</v>
      </c>
      <c r="C210" s="1" t="n">
        <v>45626</v>
      </c>
      <c r="D210" t="inlineStr">
        <is>
          <t>JÖNKÖPINGS LÄN</t>
        </is>
      </c>
      <c r="E210" t="inlineStr">
        <is>
          <t>SÄVSJÖ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53364-2021</t>
        </is>
      </c>
      <c r="B211" s="1" t="n">
        <v>44468</v>
      </c>
      <c r="C211" s="1" t="n">
        <v>45626</v>
      </c>
      <c r="D211" t="inlineStr">
        <is>
          <t>JÖNKÖPINGS LÄN</t>
        </is>
      </c>
      <c r="E211" t="inlineStr">
        <is>
          <t>SÄVSJÖ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53916-2021</t>
        </is>
      </c>
      <c r="B212" s="1" t="n">
        <v>44469</v>
      </c>
      <c r="C212" s="1" t="n">
        <v>45626</v>
      </c>
      <c r="D212" t="inlineStr">
        <is>
          <t>JÖNKÖPINGS LÄN</t>
        </is>
      </c>
      <c r="E212" t="inlineStr">
        <is>
          <t>SÄVSJÖ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54827-2021</t>
        </is>
      </c>
      <c r="B213" s="1" t="n">
        <v>44474</v>
      </c>
      <c r="C213" s="1" t="n">
        <v>45626</v>
      </c>
      <c r="D213" t="inlineStr">
        <is>
          <t>JÖNKÖPINGS LÄN</t>
        </is>
      </c>
      <c r="E213" t="inlineStr">
        <is>
          <t>SÄVSJÖ</t>
        </is>
      </c>
      <c r="G213" t="n">
        <v>3.2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55254-2021</t>
        </is>
      </c>
      <c r="B214" s="1" t="n">
        <v>44475</v>
      </c>
      <c r="C214" s="1" t="n">
        <v>45626</v>
      </c>
      <c r="D214" t="inlineStr">
        <is>
          <t>JÖNKÖPINGS LÄN</t>
        </is>
      </c>
      <c r="E214" t="inlineStr">
        <is>
          <t>SÄVSJÖ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55258-2021</t>
        </is>
      </c>
      <c r="B215" s="1" t="n">
        <v>44475</v>
      </c>
      <c r="C215" s="1" t="n">
        <v>45626</v>
      </c>
      <c r="D215" t="inlineStr">
        <is>
          <t>JÖNKÖPINGS LÄN</t>
        </is>
      </c>
      <c r="E215" t="inlineStr">
        <is>
          <t>SÄVSJÖ</t>
        </is>
      </c>
      <c r="G215" t="n">
        <v>2.4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55801-2021</t>
        </is>
      </c>
      <c r="B216" s="1" t="n">
        <v>44476</v>
      </c>
      <c r="C216" s="1" t="n">
        <v>45626</v>
      </c>
      <c r="D216" t="inlineStr">
        <is>
          <t>JÖNKÖPINGS LÄN</t>
        </is>
      </c>
      <c r="E216" t="inlineStr">
        <is>
          <t>SÄVSJÖ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58839-2021</t>
        </is>
      </c>
      <c r="B217" s="1" t="n">
        <v>44489</v>
      </c>
      <c r="C217" s="1" t="n">
        <v>45626</v>
      </c>
      <c r="D217" t="inlineStr">
        <is>
          <t>JÖNKÖPINGS LÄN</t>
        </is>
      </c>
      <c r="E217" t="inlineStr">
        <is>
          <t>SÄVSJÖ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59398-2021</t>
        </is>
      </c>
      <c r="B218" s="1" t="n">
        <v>44491</v>
      </c>
      <c r="C218" s="1" t="n">
        <v>45626</v>
      </c>
      <c r="D218" t="inlineStr">
        <is>
          <t>JÖNKÖPINGS LÄN</t>
        </is>
      </c>
      <c r="E218" t="inlineStr">
        <is>
          <t>SÄVSJÖ</t>
        </is>
      </c>
      <c r="G218" t="n">
        <v>2.4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61545-2021</t>
        </is>
      </c>
      <c r="B219" s="1" t="n">
        <v>44501</v>
      </c>
      <c r="C219" s="1" t="n">
        <v>45626</v>
      </c>
      <c r="D219" t="inlineStr">
        <is>
          <t>JÖNKÖPINGS LÄN</t>
        </is>
      </c>
      <c r="E219" t="inlineStr">
        <is>
          <t>SÄVSJÖ</t>
        </is>
      </c>
      <c r="G219" t="n">
        <v>7.2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61944-2021</t>
        </is>
      </c>
      <c r="B220" s="1" t="n">
        <v>44502</v>
      </c>
      <c r="C220" s="1" t="n">
        <v>45626</v>
      </c>
      <c r="D220" t="inlineStr">
        <is>
          <t>JÖNKÖPINGS LÄN</t>
        </is>
      </c>
      <c r="E220" t="inlineStr">
        <is>
          <t>SÄVSJÖ</t>
        </is>
      </c>
      <c r="G220" t="n">
        <v>3.6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62961-2021</t>
        </is>
      </c>
      <c r="B221" s="1" t="n">
        <v>44505</v>
      </c>
      <c r="C221" s="1" t="n">
        <v>45626</v>
      </c>
      <c r="D221" t="inlineStr">
        <is>
          <t>JÖNKÖPINGS LÄN</t>
        </is>
      </c>
      <c r="E221" t="inlineStr">
        <is>
          <t>SÄVSJÖ</t>
        </is>
      </c>
      <c r="G221" t="n">
        <v>3.2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63920-2021</t>
        </is>
      </c>
      <c r="B222" s="1" t="n">
        <v>44509</v>
      </c>
      <c r="C222" s="1" t="n">
        <v>45626</v>
      </c>
      <c r="D222" t="inlineStr">
        <is>
          <t>JÖNKÖPINGS LÄN</t>
        </is>
      </c>
      <c r="E222" t="inlineStr">
        <is>
          <t>SÄVSJÖ</t>
        </is>
      </c>
      <c r="G222" t="n">
        <v>4.5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64021-2021</t>
        </is>
      </c>
      <c r="B223" s="1" t="n">
        <v>44510</v>
      </c>
      <c r="C223" s="1" t="n">
        <v>45626</v>
      </c>
      <c r="D223" t="inlineStr">
        <is>
          <t>JÖNKÖPINGS LÄN</t>
        </is>
      </c>
      <c r="E223" t="inlineStr">
        <is>
          <t>SÄVSJÖ</t>
        </is>
      </c>
      <c r="G223" t="n">
        <v>4.1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64022-2021</t>
        </is>
      </c>
      <c r="B224" s="1" t="n">
        <v>44510</v>
      </c>
      <c r="C224" s="1" t="n">
        <v>45626</v>
      </c>
      <c r="D224" t="inlineStr">
        <is>
          <t>JÖNKÖPINGS LÄN</t>
        </is>
      </c>
      <c r="E224" t="inlineStr">
        <is>
          <t>SÄVSJÖ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64078-2021</t>
        </is>
      </c>
      <c r="B225" s="1" t="n">
        <v>44510</v>
      </c>
      <c r="C225" s="1" t="n">
        <v>45626</v>
      </c>
      <c r="D225" t="inlineStr">
        <is>
          <t>JÖNKÖPINGS LÄN</t>
        </is>
      </c>
      <c r="E225" t="inlineStr">
        <is>
          <t>SÄVSJÖ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64019-2021</t>
        </is>
      </c>
      <c r="B226" s="1" t="n">
        <v>44510</v>
      </c>
      <c r="C226" s="1" t="n">
        <v>45626</v>
      </c>
      <c r="D226" t="inlineStr">
        <is>
          <t>JÖNKÖPINGS LÄN</t>
        </is>
      </c>
      <c r="E226" t="inlineStr">
        <is>
          <t>SÄVSJÖ</t>
        </is>
      </c>
      <c r="G226" t="n">
        <v>2.5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64126-2021</t>
        </is>
      </c>
      <c r="B227" s="1" t="n">
        <v>44510</v>
      </c>
      <c r="C227" s="1" t="n">
        <v>45626</v>
      </c>
      <c r="D227" t="inlineStr">
        <is>
          <t>JÖNKÖPINGS LÄN</t>
        </is>
      </c>
      <c r="E227" t="inlineStr">
        <is>
          <t>SÄVSJÖ</t>
        </is>
      </c>
      <c r="G227" t="n">
        <v>7.4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66795-2021</t>
        </is>
      </c>
      <c r="B228" s="1" t="n">
        <v>44522</v>
      </c>
      <c r="C228" s="1" t="n">
        <v>45626</v>
      </c>
      <c r="D228" t="inlineStr">
        <is>
          <t>JÖNKÖPINGS LÄN</t>
        </is>
      </c>
      <c r="E228" t="inlineStr">
        <is>
          <t>SÄVSJÖ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66786-2021</t>
        </is>
      </c>
      <c r="B229" s="1" t="n">
        <v>44522</v>
      </c>
      <c r="C229" s="1" t="n">
        <v>45626</v>
      </c>
      <c r="D229" t="inlineStr">
        <is>
          <t>JÖNKÖPINGS LÄN</t>
        </is>
      </c>
      <c r="E229" t="inlineStr">
        <is>
          <t>SÄVSJÖ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69632-2021</t>
        </is>
      </c>
      <c r="B230" s="1" t="n">
        <v>44532</v>
      </c>
      <c r="C230" s="1" t="n">
        <v>45626</v>
      </c>
      <c r="D230" t="inlineStr">
        <is>
          <t>JÖNKÖPINGS LÄN</t>
        </is>
      </c>
      <c r="E230" t="inlineStr">
        <is>
          <t>SÄVSJÖ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69638-2021</t>
        </is>
      </c>
      <c r="B231" s="1" t="n">
        <v>44532</v>
      </c>
      <c r="C231" s="1" t="n">
        <v>45626</v>
      </c>
      <c r="D231" t="inlineStr">
        <is>
          <t>JÖNKÖPINGS LÄN</t>
        </is>
      </c>
      <c r="E231" t="inlineStr">
        <is>
          <t>SÄVSJÖ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69927-2021</t>
        </is>
      </c>
      <c r="B232" s="1" t="n">
        <v>44533</v>
      </c>
      <c r="C232" s="1" t="n">
        <v>45626</v>
      </c>
      <c r="D232" t="inlineStr">
        <is>
          <t>JÖNKÖPINGS LÄN</t>
        </is>
      </c>
      <c r="E232" t="inlineStr">
        <is>
          <t>SÄVSJÖ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69990-2021</t>
        </is>
      </c>
      <c r="B233" s="1" t="n">
        <v>44533</v>
      </c>
      <c r="C233" s="1" t="n">
        <v>45626</v>
      </c>
      <c r="D233" t="inlineStr">
        <is>
          <t>JÖNKÖPINGS LÄN</t>
        </is>
      </c>
      <c r="E233" t="inlineStr">
        <is>
          <t>SÄVSJÖ</t>
        </is>
      </c>
      <c r="G233" t="n">
        <v>3.2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71456-2021</t>
        </is>
      </c>
      <c r="B234" s="1" t="n">
        <v>44540</v>
      </c>
      <c r="C234" s="1" t="n">
        <v>45626</v>
      </c>
      <c r="D234" t="inlineStr">
        <is>
          <t>JÖNKÖPINGS LÄN</t>
        </is>
      </c>
      <c r="E234" t="inlineStr">
        <is>
          <t>SÄVSJÖ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71610-2021</t>
        </is>
      </c>
      <c r="B235" s="1" t="n">
        <v>44541</v>
      </c>
      <c r="C235" s="1" t="n">
        <v>45626</v>
      </c>
      <c r="D235" t="inlineStr">
        <is>
          <t>JÖNKÖPINGS LÄN</t>
        </is>
      </c>
      <c r="E235" t="inlineStr">
        <is>
          <t>SÄVSJÖ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72103-2021</t>
        </is>
      </c>
      <c r="B236" s="1" t="n">
        <v>44544</v>
      </c>
      <c r="C236" s="1" t="n">
        <v>45626</v>
      </c>
      <c r="D236" t="inlineStr">
        <is>
          <t>JÖNKÖPINGS LÄN</t>
        </is>
      </c>
      <c r="E236" t="inlineStr">
        <is>
          <t>SÄVSJÖ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72943-2021</t>
        </is>
      </c>
      <c r="B237" s="1" t="n">
        <v>44547</v>
      </c>
      <c r="C237" s="1" t="n">
        <v>45626</v>
      </c>
      <c r="D237" t="inlineStr">
        <is>
          <t>JÖNKÖPINGS LÄN</t>
        </is>
      </c>
      <c r="E237" t="inlineStr">
        <is>
          <t>SÄVSJÖ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363-2022</t>
        </is>
      </c>
      <c r="B238" s="1" t="n">
        <v>44565</v>
      </c>
      <c r="C238" s="1" t="n">
        <v>45626</v>
      </c>
      <c r="D238" t="inlineStr">
        <is>
          <t>JÖNKÖPINGS LÄN</t>
        </is>
      </c>
      <c r="E238" t="inlineStr">
        <is>
          <t>SÄVSJÖ</t>
        </is>
      </c>
      <c r="G238" t="n">
        <v>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1307-2022</t>
        </is>
      </c>
      <c r="B239" s="1" t="n">
        <v>44572</v>
      </c>
      <c r="C239" s="1" t="n">
        <v>45626</v>
      </c>
      <c r="D239" t="inlineStr">
        <is>
          <t>JÖNKÖPINGS LÄN</t>
        </is>
      </c>
      <c r="E239" t="inlineStr">
        <is>
          <t>SÄVSJÖ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1391-2022</t>
        </is>
      </c>
      <c r="B240" s="1" t="n">
        <v>44573</v>
      </c>
      <c r="C240" s="1" t="n">
        <v>45626</v>
      </c>
      <c r="D240" t="inlineStr">
        <is>
          <t>JÖNKÖPINGS LÄN</t>
        </is>
      </c>
      <c r="E240" t="inlineStr">
        <is>
          <t>SÄVSJÖ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1394-2022</t>
        </is>
      </c>
      <c r="B241" s="1" t="n">
        <v>44573</v>
      </c>
      <c r="C241" s="1" t="n">
        <v>45626</v>
      </c>
      <c r="D241" t="inlineStr">
        <is>
          <t>JÖNKÖPINGS LÄN</t>
        </is>
      </c>
      <c r="E241" t="inlineStr">
        <is>
          <t>SÄVSJÖ</t>
        </is>
      </c>
      <c r="G241" t="n">
        <v>3.4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2654-2022</t>
        </is>
      </c>
      <c r="B242" s="1" t="n">
        <v>44580</v>
      </c>
      <c r="C242" s="1" t="n">
        <v>45626</v>
      </c>
      <c r="D242" t="inlineStr">
        <is>
          <t>JÖNKÖPINGS LÄN</t>
        </is>
      </c>
      <c r="E242" t="inlineStr">
        <is>
          <t>SÄVSJÖ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3131-2022</t>
        </is>
      </c>
      <c r="B243" s="1" t="n">
        <v>44582</v>
      </c>
      <c r="C243" s="1" t="n">
        <v>45626</v>
      </c>
      <c r="D243" t="inlineStr">
        <is>
          <t>JÖNKÖPINGS LÄN</t>
        </is>
      </c>
      <c r="E243" t="inlineStr">
        <is>
          <t>SÄVSJÖ</t>
        </is>
      </c>
      <c r="G243" t="n">
        <v>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4530-2022</t>
        </is>
      </c>
      <c r="B244" s="1" t="n">
        <v>44590</v>
      </c>
      <c r="C244" s="1" t="n">
        <v>45626</v>
      </c>
      <c r="D244" t="inlineStr">
        <is>
          <t>JÖNKÖPINGS LÄN</t>
        </is>
      </c>
      <c r="E244" t="inlineStr">
        <is>
          <t>SÄVSJÖ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6620-2022</t>
        </is>
      </c>
      <c r="B245" s="1" t="n">
        <v>44601</v>
      </c>
      <c r="C245" s="1" t="n">
        <v>45626</v>
      </c>
      <c r="D245" t="inlineStr">
        <is>
          <t>JÖNKÖPINGS LÄN</t>
        </is>
      </c>
      <c r="E245" t="inlineStr">
        <is>
          <t>SÄVSJÖ</t>
        </is>
      </c>
      <c r="F245" t="inlineStr">
        <is>
          <t>Sveaskog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7115-2022</t>
        </is>
      </c>
      <c r="B246" s="1" t="n">
        <v>44603</v>
      </c>
      <c r="C246" s="1" t="n">
        <v>45626</v>
      </c>
      <c r="D246" t="inlineStr">
        <is>
          <t>JÖNKÖPINGS LÄN</t>
        </is>
      </c>
      <c r="E246" t="inlineStr">
        <is>
          <t>SÄVSJÖ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7762-2022</t>
        </is>
      </c>
      <c r="B247" s="1" t="n">
        <v>44608</v>
      </c>
      <c r="C247" s="1" t="n">
        <v>45626</v>
      </c>
      <c r="D247" t="inlineStr">
        <is>
          <t>JÖNKÖPINGS LÄN</t>
        </is>
      </c>
      <c r="E247" t="inlineStr">
        <is>
          <t>SÄVSJÖ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8341-2022</t>
        </is>
      </c>
      <c r="B248" s="1" t="n">
        <v>44610</v>
      </c>
      <c r="C248" s="1" t="n">
        <v>45626</v>
      </c>
      <c r="D248" t="inlineStr">
        <is>
          <t>JÖNKÖPINGS LÄN</t>
        </is>
      </c>
      <c r="E248" t="inlineStr">
        <is>
          <t>SÄVSJÖ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10271-2022</t>
        </is>
      </c>
      <c r="B249" s="1" t="n">
        <v>44622</v>
      </c>
      <c r="C249" s="1" t="n">
        <v>45626</v>
      </c>
      <c r="D249" t="inlineStr">
        <is>
          <t>JÖNKÖPINGS LÄN</t>
        </is>
      </c>
      <c r="E249" t="inlineStr">
        <is>
          <t>SÄVSJÖ</t>
        </is>
      </c>
      <c r="G249" t="n">
        <v>2.2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10592-2022</t>
        </is>
      </c>
      <c r="B250" s="1" t="n">
        <v>44624</v>
      </c>
      <c r="C250" s="1" t="n">
        <v>45626</v>
      </c>
      <c r="D250" t="inlineStr">
        <is>
          <t>JÖNKÖPINGS LÄN</t>
        </is>
      </c>
      <c r="E250" t="inlineStr">
        <is>
          <t>SÄVSJÖ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12807-2022</t>
        </is>
      </c>
      <c r="B251" s="1" t="n">
        <v>44642</v>
      </c>
      <c r="C251" s="1" t="n">
        <v>45626</v>
      </c>
      <c r="D251" t="inlineStr">
        <is>
          <t>JÖNKÖPINGS LÄN</t>
        </is>
      </c>
      <c r="E251" t="inlineStr">
        <is>
          <t>SÄVSJÖ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14159-2022</t>
        </is>
      </c>
      <c r="B252" s="1" t="n">
        <v>44651</v>
      </c>
      <c r="C252" s="1" t="n">
        <v>45626</v>
      </c>
      <c r="D252" t="inlineStr">
        <is>
          <t>JÖNKÖPINGS LÄN</t>
        </is>
      </c>
      <c r="E252" t="inlineStr">
        <is>
          <t>SÄVSJÖ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14880-2022</t>
        </is>
      </c>
      <c r="B253" s="1" t="n">
        <v>44656</v>
      </c>
      <c r="C253" s="1" t="n">
        <v>45626</v>
      </c>
      <c r="D253" t="inlineStr">
        <is>
          <t>JÖNKÖPINGS LÄN</t>
        </is>
      </c>
      <c r="E253" t="inlineStr">
        <is>
          <t>SÄVSJÖ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15670-2022</t>
        </is>
      </c>
      <c r="B254" s="1" t="n">
        <v>44663</v>
      </c>
      <c r="C254" s="1" t="n">
        <v>45626</v>
      </c>
      <c r="D254" t="inlineStr">
        <is>
          <t>JÖNKÖPINGS LÄN</t>
        </is>
      </c>
      <c r="E254" t="inlineStr">
        <is>
          <t>SÄVSJÖ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15816-2022</t>
        </is>
      </c>
      <c r="B255" s="1" t="n">
        <v>44664</v>
      </c>
      <c r="C255" s="1" t="n">
        <v>45626</v>
      </c>
      <c r="D255" t="inlineStr">
        <is>
          <t>JÖNKÖPINGS LÄN</t>
        </is>
      </c>
      <c r="E255" t="inlineStr">
        <is>
          <t>SÄVSJÖ</t>
        </is>
      </c>
      <c r="F255" t="inlineStr">
        <is>
          <t>Kommuner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15834-2022</t>
        </is>
      </c>
      <c r="B256" s="1" t="n">
        <v>44664</v>
      </c>
      <c r="C256" s="1" t="n">
        <v>45626</v>
      </c>
      <c r="D256" t="inlineStr">
        <is>
          <t>JÖNKÖPINGS LÄN</t>
        </is>
      </c>
      <c r="E256" t="inlineStr">
        <is>
          <t>SÄVSJÖ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19111-2022</t>
        </is>
      </c>
      <c r="B257" s="1" t="n">
        <v>44691</v>
      </c>
      <c r="C257" s="1" t="n">
        <v>45626</v>
      </c>
      <c r="D257" t="inlineStr">
        <is>
          <t>JÖNKÖPINGS LÄN</t>
        </is>
      </c>
      <c r="E257" t="inlineStr">
        <is>
          <t>SÄVSJÖ</t>
        </is>
      </c>
      <c r="G257" t="n">
        <v>2.2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20603-2022</t>
        </is>
      </c>
      <c r="B258" s="1" t="n">
        <v>44700</v>
      </c>
      <c r="C258" s="1" t="n">
        <v>45626</v>
      </c>
      <c r="D258" t="inlineStr">
        <is>
          <t>JÖNKÖPINGS LÄN</t>
        </is>
      </c>
      <c r="E258" t="inlineStr">
        <is>
          <t>SÄVSJÖ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26620-2022</t>
        </is>
      </c>
      <c r="B259" s="1" t="n">
        <v>44739</v>
      </c>
      <c r="C259" s="1" t="n">
        <v>45626</v>
      </c>
      <c r="D259" t="inlineStr">
        <is>
          <t>JÖNKÖPINGS LÄN</t>
        </is>
      </c>
      <c r="E259" t="inlineStr">
        <is>
          <t>SÄVSJÖ</t>
        </is>
      </c>
      <c r="G259" t="n">
        <v>2.5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26633-2022</t>
        </is>
      </c>
      <c r="B260" s="1" t="n">
        <v>44739</v>
      </c>
      <c r="C260" s="1" t="n">
        <v>45626</v>
      </c>
      <c r="D260" t="inlineStr">
        <is>
          <t>JÖNKÖPINGS LÄN</t>
        </is>
      </c>
      <c r="E260" t="inlineStr">
        <is>
          <t>SÄVSJÖ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28127-2022</t>
        </is>
      </c>
      <c r="B261" s="1" t="n">
        <v>44746</v>
      </c>
      <c r="C261" s="1" t="n">
        <v>45626</v>
      </c>
      <c r="D261" t="inlineStr">
        <is>
          <t>JÖNKÖPINGS LÄN</t>
        </is>
      </c>
      <c r="E261" t="inlineStr">
        <is>
          <t>SÄVSJÖ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28908-2022</t>
        </is>
      </c>
      <c r="B262" s="1" t="n">
        <v>44749</v>
      </c>
      <c r="C262" s="1" t="n">
        <v>45626</v>
      </c>
      <c r="D262" t="inlineStr">
        <is>
          <t>JÖNKÖPINGS LÄN</t>
        </is>
      </c>
      <c r="E262" t="inlineStr">
        <is>
          <t>SÄVSJÖ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31297-2022</t>
        </is>
      </c>
      <c r="B263" s="1" t="n">
        <v>44772</v>
      </c>
      <c r="C263" s="1" t="n">
        <v>45626</v>
      </c>
      <c r="D263" t="inlineStr">
        <is>
          <t>JÖNKÖPINGS LÄN</t>
        </is>
      </c>
      <c r="E263" t="inlineStr">
        <is>
          <t>SÄVSJÖ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32177-2022</t>
        </is>
      </c>
      <c r="B264" s="1" t="n">
        <v>44781</v>
      </c>
      <c r="C264" s="1" t="n">
        <v>45626</v>
      </c>
      <c r="D264" t="inlineStr">
        <is>
          <t>JÖNKÖPINGS LÄN</t>
        </is>
      </c>
      <c r="E264" t="inlineStr">
        <is>
          <t>SÄVSJÖ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33556-2022</t>
        </is>
      </c>
      <c r="B265" s="1" t="n">
        <v>44789</v>
      </c>
      <c r="C265" s="1" t="n">
        <v>45626</v>
      </c>
      <c r="D265" t="inlineStr">
        <is>
          <t>JÖNKÖPINGS LÄN</t>
        </is>
      </c>
      <c r="E265" t="inlineStr">
        <is>
          <t>SÄVSJÖ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33560-2022</t>
        </is>
      </c>
      <c r="B266" s="1" t="n">
        <v>44789</v>
      </c>
      <c r="C266" s="1" t="n">
        <v>45626</v>
      </c>
      <c r="D266" t="inlineStr">
        <is>
          <t>JÖNKÖPINGS LÄN</t>
        </is>
      </c>
      <c r="E266" t="inlineStr">
        <is>
          <t>SÄVSJÖ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33938-2022</t>
        </is>
      </c>
      <c r="B267" s="1" t="n">
        <v>44790</v>
      </c>
      <c r="C267" s="1" t="n">
        <v>45626</v>
      </c>
      <c r="D267" t="inlineStr">
        <is>
          <t>JÖNKÖPINGS LÄN</t>
        </is>
      </c>
      <c r="E267" t="inlineStr">
        <is>
          <t>SÄVSJÖ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34188-2022</t>
        </is>
      </c>
      <c r="B268" s="1" t="n">
        <v>44791</v>
      </c>
      <c r="C268" s="1" t="n">
        <v>45626</v>
      </c>
      <c r="D268" t="inlineStr">
        <is>
          <t>JÖNKÖPINGS LÄN</t>
        </is>
      </c>
      <c r="E268" t="inlineStr">
        <is>
          <t>SÄVSJÖ</t>
        </is>
      </c>
      <c r="G268" t="n">
        <v>2.1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34119-2022</t>
        </is>
      </c>
      <c r="B269" s="1" t="n">
        <v>44791</v>
      </c>
      <c r="C269" s="1" t="n">
        <v>45626</v>
      </c>
      <c r="D269" t="inlineStr">
        <is>
          <t>JÖNKÖPINGS LÄN</t>
        </is>
      </c>
      <c r="E269" t="inlineStr">
        <is>
          <t>SÄVSJÖ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34187-2022</t>
        </is>
      </c>
      <c r="B270" s="1" t="n">
        <v>44791</v>
      </c>
      <c r="C270" s="1" t="n">
        <v>45626</v>
      </c>
      <c r="D270" t="inlineStr">
        <is>
          <t>JÖNKÖPINGS LÄN</t>
        </is>
      </c>
      <c r="E270" t="inlineStr">
        <is>
          <t>SÄVSJÖ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35446-2022</t>
        </is>
      </c>
      <c r="B271" s="1" t="n">
        <v>44798</v>
      </c>
      <c r="C271" s="1" t="n">
        <v>45626</v>
      </c>
      <c r="D271" t="inlineStr">
        <is>
          <t>JÖNKÖPINGS LÄN</t>
        </is>
      </c>
      <c r="E271" t="inlineStr">
        <is>
          <t>SÄVSJÖ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35449-2022</t>
        </is>
      </c>
      <c r="B272" s="1" t="n">
        <v>44798</v>
      </c>
      <c r="C272" s="1" t="n">
        <v>45626</v>
      </c>
      <c r="D272" t="inlineStr">
        <is>
          <t>JÖNKÖPINGS LÄN</t>
        </is>
      </c>
      <c r="E272" t="inlineStr">
        <is>
          <t>SÄVSJÖ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36778-2022</t>
        </is>
      </c>
      <c r="B273" s="1" t="n">
        <v>44805</v>
      </c>
      <c r="C273" s="1" t="n">
        <v>45626</v>
      </c>
      <c r="D273" t="inlineStr">
        <is>
          <t>JÖNKÖPINGS LÄN</t>
        </is>
      </c>
      <c r="E273" t="inlineStr">
        <is>
          <t>SÄVSJÖ</t>
        </is>
      </c>
      <c r="G273" t="n">
        <v>0.4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37108-2022</t>
        </is>
      </c>
      <c r="B274" s="1" t="n">
        <v>44806</v>
      </c>
      <c r="C274" s="1" t="n">
        <v>45626</v>
      </c>
      <c r="D274" t="inlineStr">
        <is>
          <t>JÖNKÖPINGS LÄN</t>
        </is>
      </c>
      <c r="E274" t="inlineStr">
        <is>
          <t>SÄVSJÖ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37323-2022</t>
        </is>
      </c>
      <c r="B275" s="1" t="n">
        <v>44809</v>
      </c>
      <c r="C275" s="1" t="n">
        <v>45626</v>
      </c>
      <c r="D275" t="inlineStr">
        <is>
          <t>JÖNKÖPINGS LÄN</t>
        </is>
      </c>
      <c r="E275" t="inlineStr">
        <is>
          <t>SÄVSJÖ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37785-2022</t>
        </is>
      </c>
      <c r="B276" s="1" t="n">
        <v>44810</v>
      </c>
      <c r="C276" s="1" t="n">
        <v>45626</v>
      </c>
      <c r="D276" t="inlineStr">
        <is>
          <t>JÖNKÖPINGS LÄN</t>
        </is>
      </c>
      <c r="E276" t="inlineStr">
        <is>
          <t>SÄVSJÖ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38176-2022</t>
        </is>
      </c>
      <c r="B277" s="1" t="n">
        <v>44812</v>
      </c>
      <c r="C277" s="1" t="n">
        <v>45626</v>
      </c>
      <c r="D277" t="inlineStr">
        <is>
          <t>JÖNKÖPINGS LÄN</t>
        </is>
      </c>
      <c r="E277" t="inlineStr">
        <is>
          <t>SÄVSJÖ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38950-2022</t>
        </is>
      </c>
      <c r="B278" s="1" t="n">
        <v>44816</v>
      </c>
      <c r="C278" s="1" t="n">
        <v>45626</v>
      </c>
      <c r="D278" t="inlineStr">
        <is>
          <t>JÖNKÖPINGS LÄN</t>
        </is>
      </c>
      <c r="E278" t="inlineStr">
        <is>
          <t>SÄVSJÖ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39879-2022</t>
        </is>
      </c>
      <c r="B279" s="1" t="n">
        <v>44819</v>
      </c>
      <c r="C279" s="1" t="n">
        <v>45626</v>
      </c>
      <c r="D279" t="inlineStr">
        <is>
          <t>JÖNKÖPINGS LÄN</t>
        </is>
      </c>
      <c r="E279" t="inlineStr">
        <is>
          <t>SÄVSJÖ</t>
        </is>
      </c>
      <c r="G279" t="n">
        <v>3.6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40111-2022</t>
        </is>
      </c>
      <c r="B280" s="1" t="n">
        <v>44820</v>
      </c>
      <c r="C280" s="1" t="n">
        <v>45626</v>
      </c>
      <c r="D280" t="inlineStr">
        <is>
          <t>JÖNKÖPINGS LÄN</t>
        </is>
      </c>
      <c r="E280" t="inlineStr">
        <is>
          <t>SÄVSJÖ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41394-2022</t>
        </is>
      </c>
      <c r="B281" s="1" t="n">
        <v>44826</v>
      </c>
      <c r="C281" s="1" t="n">
        <v>45626</v>
      </c>
      <c r="D281" t="inlineStr">
        <is>
          <t>JÖNKÖPINGS LÄN</t>
        </is>
      </c>
      <c r="E281" t="inlineStr">
        <is>
          <t>SÄVSJÖ</t>
        </is>
      </c>
      <c r="F281" t="inlineStr">
        <is>
          <t>Sveaskog</t>
        </is>
      </c>
      <c r="G281" t="n">
        <v>9.6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41395-2022</t>
        </is>
      </c>
      <c r="B282" s="1" t="n">
        <v>44826</v>
      </c>
      <c r="C282" s="1" t="n">
        <v>45626</v>
      </c>
      <c r="D282" t="inlineStr">
        <is>
          <t>JÖNKÖPINGS LÄN</t>
        </is>
      </c>
      <c r="E282" t="inlineStr">
        <is>
          <t>SÄVSJÖ</t>
        </is>
      </c>
      <c r="F282" t="inlineStr">
        <is>
          <t>Sveaskog</t>
        </is>
      </c>
      <c r="G282" t="n">
        <v>7.6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41210-2022</t>
        </is>
      </c>
      <c r="B283" s="1" t="n">
        <v>44826</v>
      </c>
      <c r="C283" s="1" t="n">
        <v>45626</v>
      </c>
      <c r="D283" t="inlineStr">
        <is>
          <t>JÖNKÖPINGS LÄN</t>
        </is>
      </c>
      <c r="E283" t="inlineStr">
        <is>
          <t>SÄVSJÖ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41397-2022</t>
        </is>
      </c>
      <c r="B284" s="1" t="n">
        <v>44826</v>
      </c>
      <c r="C284" s="1" t="n">
        <v>45626</v>
      </c>
      <c r="D284" t="inlineStr">
        <is>
          <t>JÖNKÖPINGS LÄN</t>
        </is>
      </c>
      <c r="E284" t="inlineStr">
        <is>
          <t>SÄVSJÖ</t>
        </is>
      </c>
      <c r="F284" t="inlineStr">
        <is>
          <t>Sveaskog</t>
        </is>
      </c>
      <c r="G284" t="n">
        <v>9.9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41391-2022</t>
        </is>
      </c>
      <c r="B285" s="1" t="n">
        <v>44826</v>
      </c>
      <c r="C285" s="1" t="n">
        <v>45626</v>
      </c>
      <c r="D285" t="inlineStr">
        <is>
          <t>JÖNKÖPINGS LÄN</t>
        </is>
      </c>
      <c r="E285" t="inlineStr">
        <is>
          <t>SÄVSJÖ</t>
        </is>
      </c>
      <c r="F285" t="inlineStr">
        <is>
          <t>Sveaskog</t>
        </is>
      </c>
      <c r="G285" t="n">
        <v>2.2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42400-2022</t>
        </is>
      </c>
      <c r="B286" s="1" t="n">
        <v>44830</v>
      </c>
      <c r="C286" s="1" t="n">
        <v>45626</v>
      </c>
      <c r="D286" t="inlineStr">
        <is>
          <t>JÖNKÖPINGS LÄN</t>
        </is>
      </c>
      <c r="E286" t="inlineStr">
        <is>
          <t>SÄVSJÖ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42384-2022</t>
        </is>
      </c>
      <c r="B287" s="1" t="n">
        <v>44830</v>
      </c>
      <c r="C287" s="1" t="n">
        <v>45626</v>
      </c>
      <c r="D287" t="inlineStr">
        <is>
          <t>JÖNKÖPINGS LÄN</t>
        </is>
      </c>
      <c r="E287" t="inlineStr">
        <is>
          <t>SÄVSJÖ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42394-2022</t>
        </is>
      </c>
      <c r="B288" s="1" t="n">
        <v>44830</v>
      </c>
      <c r="C288" s="1" t="n">
        <v>45626</v>
      </c>
      <c r="D288" t="inlineStr">
        <is>
          <t>JÖNKÖPINGS LÄN</t>
        </is>
      </c>
      <c r="E288" t="inlineStr">
        <is>
          <t>SÄVSJÖ</t>
        </is>
      </c>
      <c r="G288" t="n">
        <v>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42992-2022</t>
        </is>
      </c>
      <c r="B289" s="1" t="n">
        <v>44833</v>
      </c>
      <c r="C289" s="1" t="n">
        <v>45626</v>
      </c>
      <c r="D289" t="inlineStr">
        <is>
          <t>JÖNKÖPINGS LÄN</t>
        </is>
      </c>
      <c r="E289" t="inlineStr">
        <is>
          <t>SÄVSJÖ</t>
        </is>
      </c>
      <c r="G289" t="n">
        <v>3.9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43015-2022</t>
        </is>
      </c>
      <c r="B290" s="1" t="n">
        <v>44833</v>
      </c>
      <c r="C290" s="1" t="n">
        <v>45626</v>
      </c>
      <c r="D290" t="inlineStr">
        <is>
          <t>JÖNKÖPINGS LÄN</t>
        </is>
      </c>
      <c r="E290" t="inlineStr">
        <is>
          <t>SÄVSJÖ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43480-2022</t>
        </is>
      </c>
      <c r="B291" s="1" t="n">
        <v>44837</v>
      </c>
      <c r="C291" s="1" t="n">
        <v>45626</v>
      </c>
      <c r="D291" t="inlineStr">
        <is>
          <t>JÖNKÖPINGS LÄN</t>
        </is>
      </c>
      <c r="E291" t="inlineStr">
        <is>
          <t>SÄVSJÖ</t>
        </is>
      </c>
      <c r="G291" t="n">
        <v>6.3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43976-2022</t>
        </is>
      </c>
      <c r="B292" s="1" t="n">
        <v>44838</v>
      </c>
      <c r="C292" s="1" t="n">
        <v>45626</v>
      </c>
      <c r="D292" t="inlineStr">
        <is>
          <t>JÖNKÖPINGS LÄN</t>
        </is>
      </c>
      <c r="E292" t="inlineStr">
        <is>
          <t>SÄVSJÖ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44245-2022</t>
        </is>
      </c>
      <c r="B293" s="1" t="n">
        <v>44839</v>
      </c>
      <c r="C293" s="1" t="n">
        <v>45626</v>
      </c>
      <c r="D293" t="inlineStr">
        <is>
          <t>JÖNKÖPINGS LÄN</t>
        </is>
      </c>
      <c r="E293" t="inlineStr">
        <is>
          <t>SÄVSJÖ</t>
        </is>
      </c>
      <c r="G293" t="n">
        <v>4.7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45155-2022</t>
        </is>
      </c>
      <c r="B294" s="1" t="n">
        <v>44844</v>
      </c>
      <c r="C294" s="1" t="n">
        <v>45626</v>
      </c>
      <c r="D294" t="inlineStr">
        <is>
          <t>JÖNKÖPINGS LÄN</t>
        </is>
      </c>
      <c r="E294" t="inlineStr">
        <is>
          <t>SÄVSJÖ</t>
        </is>
      </c>
      <c r="F294" t="inlineStr">
        <is>
          <t>Sveaskog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45162-2022</t>
        </is>
      </c>
      <c r="B295" s="1" t="n">
        <v>44844</v>
      </c>
      <c r="C295" s="1" t="n">
        <v>45626</v>
      </c>
      <c r="D295" t="inlineStr">
        <is>
          <t>JÖNKÖPINGS LÄN</t>
        </is>
      </c>
      <c r="E295" t="inlineStr">
        <is>
          <t>SÄVSJÖ</t>
        </is>
      </c>
      <c r="F295" t="inlineStr">
        <is>
          <t>Sveaskog</t>
        </is>
      </c>
      <c r="G295" t="n">
        <v>2.3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46482-2022</t>
        </is>
      </c>
      <c r="B296" s="1" t="n">
        <v>44848</v>
      </c>
      <c r="C296" s="1" t="n">
        <v>45626</v>
      </c>
      <c r="D296" t="inlineStr">
        <is>
          <t>JÖNKÖPINGS LÄN</t>
        </is>
      </c>
      <c r="E296" t="inlineStr">
        <is>
          <t>SÄVSJÖ</t>
        </is>
      </c>
      <c r="F296" t="inlineStr">
        <is>
          <t>Sveaskog</t>
        </is>
      </c>
      <c r="G296" t="n">
        <v>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46484-2022</t>
        </is>
      </c>
      <c r="B297" s="1" t="n">
        <v>44848</v>
      </c>
      <c r="C297" s="1" t="n">
        <v>45626</v>
      </c>
      <c r="D297" t="inlineStr">
        <is>
          <t>JÖNKÖPINGS LÄN</t>
        </is>
      </c>
      <c r="E297" t="inlineStr">
        <is>
          <t>SÄVSJÖ</t>
        </is>
      </c>
      <c r="F297" t="inlineStr">
        <is>
          <t>Sveaskog</t>
        </is>
      </c>
      <c r="G297" t="n">
        <v>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46478-2022</t>
        </is>
      </c>
      <c r="B298" s="1" t="n">
        <v>44848</v>
      </c>
      <c r="C298" s="1" t="n">
        <v>45626</v>
      </c>
      <c r="D298" t="inlineStr">
        <is>
          <t>JÖNKÖPINGS LÄN</t>
        </is>
      </c>
      <c r="E298" t="inlineStr">
        <is>
          <t>SÄVSJÖ</t>
        </is>
      </c>
      <c r="F298" t="inlineStr">
        <is>
          <t>Sveaskog</t>
        </is>
      </c>
      <c r="G298" t="n">
        <v>3.5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47070-2022</t>
        </is>
      </c>
      <c r="B299" s="1" t="n">
        <v>44851</v>
      </c>
      <c r="C299" s="1" t="n">
        <v>45626</v>
      </c>
      <c r="D299" t="inlineStr">
        <is>
          <t>JÖNKÖPINGS LÄN</t>
        </is>
      </c>
      <c r="E299" t="inlineStr">
        <is>
          <t>SÄVSJÖ</t>
        </is>
      </c>
      <c r="G299" t="n">
        <v>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47095-2022</t>
        </is>
      </c>
      <c r="B300" s="1" t="n">
        <v>44852</v>
      </c>
      <c r="C300" s="1" t="n">
        <v>45626</v>
      </c>
      <c r="D300" t="inlineStr">
        <is>
          <t>JÖNKÖPINGS LÄN</t>
        </is>
      </c>
      <c r="E300" t="inlineStr">
        <is>
          <t>SÄVSJÖ</t>
        </is>
      </c>
      <c r="G300" t="n">
        <v>0.4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47542-2022</t>
        </is>
      </c>
      <c r="B301" s="1" t="n">
        <v>44853</v>
      </c>
      <c r="C301" s="1" t="n">
        <v>45626</v>
      </c>
      <c r="D301" t="inlineStr">
        <is>
          <t>JÖNKÖPINGS LÄN</t>
        </is>
      </c>
      <c r="E301" t="inlineStr">
        <is>
          <t>SÄVSJÖ</t>
        </is>
      </c>
      <c r="G301" t="n">
        <v>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47957-2022</t>
        </is>
      </c>
      <c r="B302" s="1" t="n">
        <v>44855</v>
      </c>
      <c r="C302" s="1" t="n">
        <v>45626</v>
      </c>
      <c r="D302" t="inlineStr">
        <is>
          <t>JÖNKÖPINGS LÄN</t>
        </is>
      </c>
      <c r="E302" t="inlineStr">
        <is>
          <t>SÄVSJÖ</t>
        </is>
      </c>
      <c r="F302" t="inlineStr">
        <is>
          <t>Sveaskog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48122-2022</t>
        </is>
      </c>
      <c r="B303" s="1" t="n">
        <v>44857</v>
      </c>
      <c r="C303" s="1" t="n">
        <v>45626</v>
      </c>
      <c r="D303" t="inlineStr">
        <is>
          <t>JÖNKÖPINGS LÄN</t>
        </is>
      </c>
      <c r="E303" t="inlineStr">
        <is>
          <t>SÄVSJÖ</t>
        </is>
      </c>
      <c r="G303" t="n">
        <v>2.6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48124-2022</t>
        </is>
      </c>
      <c r="B304" s="1" t="n">
        <v>44857</v>
      </c>
      <c r="C304" s="1" t="n">
        <v>45626</v>
      </c>
      <c r="D304" t="inlineStr">
        <is>
          <t>JÖNKÖPINGS LÄN</t>
        </is>
      </c>
      <c r="E304" t="inlineStr">
        <is>
          <t>SÄVSJÖ</t>
        </is>
      </c>
      <c r="G304" t="n">
        <v>0.3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48773-2022</t>
        </is>
      </c>
      <c r="B305" s="1" t="n">
        <v>44859</v>
      </c>
      <c r="C305" s="1" t="n">
        <v>45626</v>
      </c>
      <c r="D305" t="inlineStr">
        <is>
          <t>JÖNKÖPINGS LÄN</t>
        </is>
      </c>
      <c r="E305" t="inlineStr">
        <is>
          <t>SÄVSJÖ</t>
        </is>
      </c>
      <c r="G305" t="n">
        <v>3.4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49221-2022</t>
        </is>
      </c>
      <c r="B306" s="1" t="n">
        <v>44861</v>
      </c>
      <c r="C306" s="1" t="n">
        <v>45626</v>
      </c>
      <c r="D306" t="inlineStr">
        <is>
          <t>JÖNKÖPINGS LÄN</t>
        </is>
      </c>
      <c r="E306" t="inlineStr">
        <is>
          <t>SÄVSJÖ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49660-2022</t>
        </is>
      </c>
      <c r="B307" s="1" t="n">
        <v>44862</v>
      </c>
      <c r="C307" s="1" t="n">
        <v>45626</v>
      </c>
      <c r="D307" t="inlineStr">
        <is>
          <t>JÖNKÖPINGS LÄN</t>
        </is>
      </c>
      <c r="E307" t="inlineStr">
        <is>
          <t>SÄVSJÖ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49653-2022</t>
        </is>
      </c>
      <c r="B308" s="1" t="n">
        <v>44862</v>
      </c>
      <c r="C308" s="1" t="n">
        <v>45626</v>
      </c>
      <c r="D308" t="inlineStr">
        <is>
          <t>JÖNKÖPINGS LÄN</t>
        </is>
      </c>
      <c r="E308" t="inlineStr">
        <is>
          <t>SÄVSJÖ</t>
        </is>
      </c>
      <c r="G308" t="n">
        <v>2.5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49662-2022</t>
        </is>
      </c>
      <c r="B309" s="1" t="n">
        <v>44862</v>
      </c>
      <c r="C309" s="1" t="n">
        <v>45626</v>
      </c>
      <c r="D309" t="inlineStr">
        <is>
          <t>JÖNKÖPINGS LÄN</t>
        </is>
      </c>
      <c r="E309" t="inlineStr">
        <is>
          <t>SÄVSJÖ</t>
        </is>
      </c>
      <c r="G309" t="n">
        <v>2.4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49668-2022</t>
        </is>
      </c>
      <c r="B310" s="1" t="n">
        <v>44862</v>
      </c>
      <c r="C310" s="1" t="n">
        <v>45626</v>
      </c>
      <c r="D310" t="inlineStr">
        <is>
          <t>JÖNKÖPINGS LÄN</t>
        </is>
      </c>
      <c r="E310" t="inlineStr">
        <is>
          <t>SÄVSJÖ</t>
        </is>
      </c>
      <c r="G310" t="n">
        <v>0.4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50627-2022</t>
        </is>
      </c>
      <c r="B311" s="1" t="n">
        <v>44866</v>
      </c>
      <c r="C311" s="1" t="n">
        <v>45626</v>
      </c>
      <c r="D311" t="inlineStr">
        <is>
          <t>JÖNKÖPINGS LÄN</t>
        </is>
      </c>
      <c r="E311" t="inlineStr">
        <is>
          <t>SÄVSJÖ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50639-2022</t>
        </is>
      </c>
      <c r="B312" s="1" t="n">
        <v>44866</v>
      </c>
      <c r="C312" s="1" t="n">
        <v>45626</v>
      </c>
      <c r="D312" t="inlineStr">
        <is>
          <t>JÖNKÖPINGS LÄN</t>
        </is>
      </c>
      <c r="E312" t="inlineStr">
        <is>
          <t>SÄVSJÖ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50629-2022</t>
        </is>
      </c>
      <c r="B313" s="1" t="n">
        <v>44866</v>
      </c>
      <c r="C313" s="1" t="n">
        <v>45626</v>
      </c>
      <c r="D313" t="inlineStr">
        <is>
          <t>JÖNKÖPINGS LÄN</t>
        </is>
      </c>
      <c r="E313" t="inlineStr">
        <is>
          <t>SÄVSJÖ</t>
        </is>
      </c>
      <c r="G313" t="n">
        <v>5.6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51368-2022</t>
        </is>
      </c>
      <c r="B314" s="1" t="n">
        <v>44869</v>
      </c>
      <c r="C314" s="1" t="n">
        <v>45626</v>
      </c>
      <c r="D314" t="inlineStr">
        <is>
          <t>JÖNKÖPINGS LÄN</t>
        </is>
      </c>
      <c r="E314" t="inlineStr">
        <is>
          <t>SÄVSJÖ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51374-2022</t>
        </is>
      </c>
      <c r="B315" s="1" t="n">
        <v>44869</v>
      </c>
      <c r="C315" s="1" t="n">
        <v>45626</v>
      </c>
      <c r="D315" t="inlineStr">
        <is>
          <t>JÖNKÖPINGS LÄN</t>
        </is>
      </c>
      <c r="E315" t="inlineStr">
        <is>
          <t>SÄVSJÖ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51795-2022</t>
        </is>
      </c>
      <c r="B316" s="1" t="n">
        <v>44872</v>
      </c>
      <c r="C316" s="1" t="n">
        <v>45626</v>
      </c>
      <c r="D316" t="inlineStr">
        <is>
          <t>JÖNKÖPINGS LÄN</t>
        </is>
      </c>
      <c r="E316" t="inlineStr">
        <is>
          <t>SÄVSJÖ</t>
        </is>
      </c>
      <c r="G316" t="n">
        <v>3.5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53099-2022</t>
        </is>
      </c>
      <c r="B317" s="1" t="n">
        <v>44876</v>
      </c>
      <c r="C317" s="1" t="n">
        <v>45626</v>
      </c>
      <c r="D317" t="inlineStr">
        <is>
          <t>JÖNKÖPINGS LÄN</t>
        </is>
      </c>
      <c r="E317" t="inlineStr">
        <is>
          <t>SÄVSJÖ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54076-2022</t>
        </is>
      </c>
      <c r="B318" s="1" t="n">
        <v>44881</v>
      </c>
      <c r="C318" s="1" t="n">
        <v>45626</v>
      </c>
      <c r="D318" t="inlineStr">
        <is>
          <t>JÖNKÖPINGS LÄN</t>
        </is>
      </c>
      <c r="E318" t="inlineStr">
        <is>
          <t>SÄVSJÖ</t>
        </is>
      </c>
      <c r="G318" t="n">
        <v>4.1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54584-2022</t>
        </is>
      </c>
      <c r="B319" s="1" t="n">
        <v>44883</v>
      </c>
      <c r="C319" s="1" t="n">
        <v>45626</v>
      </c>
      <c r="D319" t="inlineStr">
        <is>
          <t>JÖNKÖPINGS LÄN</t>
        </is>
      </c>
      <c r="E319" t="inlineStr">
        <is>
          <t>SÄVSJÖ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54600-2022</t>
        </is>
      </c>
      <c r="B320" s="1" t="n">
        <v>44883</v>
      </c>
      <c r="C320" s="1" t="n">
        <v>45626</v>
      </c>
      <c r="D320" t="inlineStr">
        <is>
          <t>JÖNKÖPINGS LÄN</t>
        </is>
      </c>
      <c r="E320" t="inlineStr">
        <is>
          <t>SÄVSJÖ</t>
        </is>
      </c>
      <c r="G320" t="n">
        <v>3.4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55136-2022</t>
        </is>
      </c>
      <c r="B321" s="1" t="n">
        <v>44886</v>
      </c>
      <c r="C321" s="1" t="n">
        <v>45626</v>
      </c>
      <c r="D321" t="inlineStr">
        <is>
          <t>JÖNKÖPINGS LÄN</t>
        </is>
      </c>
      <c r="E321" t="inlineStr">
        <is>
          <t>SÄVSJÖ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54940-2022</t>
        </is>
      </c>
      <c r="B322" s="1" t="n">
        <v>44886</v>
      </c>
      <c r="C322" s="1" t="n">
        <v>45626</v>
      </c>
      <c r="D322" t="inlineStr">
        <is>
          <t>JÖNKÖPINGS LÄN</t>
        </is>
      </c>
      <c r="E322" t="inlineStr">
        <is>
          <t>SÄVSJÖ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55563-2022</t>
        </is>
      </c>
      <c r="B323" s="1" t="n">
        <v>44888</v>
      </c>
      <c r="C323" s="1" t="n">
        <v>45626</v>
      </c>
      <c r="D323" t="inlineStr">
        <is>
          <t>JÖNKÖPINGS LÄN</t>
        </is>
      </c>
      <c r="E323" t="inlineStr">
        <is>
          <t>SÄVSJÖ</t>
        </is>
      </c>
      <c r="G323" t="n">
        <v>2.6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55799-2022</t>
        </is>
      </c>
      <c r="B324" s="1" t="n">
        <v>44888</v>
      </c>
      <c r="C324" s="1" t="n">
        <v>45626</v>
      </c>
      <c r="D324" t="inlineStr">
        <is>
          <t>JÖNKÖPINGS LÄN</t>
        </is>
      </c>
      <c r="E324" t="inlineStr">
        <is>
          <t>SÄVSJÖ</t>
        </is>
      </c>
      <c r="G324" t="n">
        <v>2.1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56617-2022</t>
        </is>
      </c>
      <c r="B325" s="1" t="n">
        <v>44893</v>
      </c>
      <c r="C325" s="1" t="n">
        <v>45626</v>
      </c>
      <c r="D325" t="inlineStr">
        <is>
          <t>JÖNKÖPINGS LÄN</t>
        </is>
      </c>
      <c r="E325" t="inlineStr">
        <is>
          <t>SÄVSJÖ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57471-2022</t>
        </is>
      </c>
      <c r="B326" s="1" t="n">
        <v>44896</v>
      </c>
      <c r="C326" s="1" t="n">
        <v>45626</v>
      </c>
      <c r="D326" t="inlineStr">
        <is>
          <t>JÖNKÖPINGS LÄN</t>
        </is>
      </c>
      <c r="E326" t="inlineStr">
        <is>
          <t>SÄVSJÖ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58339-2022</t>
        </is>
      </c>
      <c r="B327" s="1" t="n">
        <v>44901</v>
      </c>
      <c r="C327" s="1" t="n">
        <v>45626</v>
      </c>
      <c r="D327" t="inlineStr">
        <is>
          <t>JÖNKÖPINGS LÄN</t>
        </is>
      </c>
      <c r="E327" t="inlineStr">
        <is>
          <t>SÄVSJÖ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58559-2022</t>
        </is>
      </c>
      <c r="B328" s="1" t="n">
        <v>44902</v>
      </c>
      <c r="C328" s="1" t="n">
        <v>45626</v>
      </c>
      <c r="D328" t="inlineStr">
        <is>
          <t>JÖNKÖPINGS LÄN</t>
        </is>
      </c>
      <c r="E328" t="inlineStr">
        <is>
          <t>SÄVSJÖ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59481-2022</t>
        </is>
      </c>
      <c r="B329" s="1" t="n">
        <v>44907</v>
      </c>
      <c r="C329" s="1" t="n">
        <v>45626</v>
      </c>
      <c r="D329" t="inlineStr">
        <is>
          <t>JÖNKÖPINGS LÄN</t>
        </is>
      </c>
      <c r="E329" t="inlineStr">
        <is>
          <t>SÄVSJÖ</t>
        </is>
      </c>
      <c r="G329" t="n">
        <v>6.8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60831-2022</t>
        </is>
      </c>
      <c r="B330" s="1" t="n">
        <v>44914</v>
      </c>
      <c r="C330" s="1" t="n">
        <v>45626</v>
      </c>
      <c r="D330" t="inlineStr">
        <is>
          <t>JÖNKÖPINGS LÄN</t>
        </is>
      </c>
      <c r="E330" t="inlineStr">
        <is>
          <t>SÄVSJÖ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62615-2022</t>
        </is>
      </c>
      <c r="B331" s="1" t="n">
        <v>44925</v>
      </c>
      <c r="C331" s="1" t="n">
        <v>45626</v>
      </c>
      <c r="D331" t="inlineStr">
        <is>
          <t>JÖNKÖPINGS LÄN</t>
        </is>
      </c>
      <c r="E331" t="inlineStr">
        <is>
          <t>SÄVSJÖ</t>
        </is>
      </c>
      <c r="F331" t="inlineStr">
        <is>
          <t>Kommuner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62613-2022</t>
        </is>
      </c>
      <c r="B332" s="1" t="n">
        <v>44925</v>
      </c>
      <c r="C332" s="1" t="n">
        <v>45626</v>
      </c>
      <c r="D332" t="inlineStr">
        <is>
          <t>JÖNKÖPINGS LÄN</t>
        </is>
      </c>
      <c r="E332" t="inlineStr">
        <is>
          <t>SÄVSJÖ</t>
        </is>
      </c>
      <c r="G332" t="n">
        <v>1.8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297-2023</t>
        </is>
      </c>
      <c r="B333" s="1" t="n">
        <v>44929</v>
      </c>
      <c r="C333" s="1" t="n">
        <v>45626</v>
      </c>
      <c r="D333" t="inlineStr">
        <is>
          <t>JÖNKÖPINGS LÄN</t>
        </is>
      </c>
      <c r="E333" t="inlineStr">
        <is>
          <t>SÄVSJÖ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996-2023</t>
        </is>
      </c>
      <c r="B334" s="1" t="n">
        <v>44935</v>
      </c>
      <c r="C334" s="1" t="n">
        <v>45626</v>
      </c>
      <c r="D334" t="inlineStr">
        <is>
          <t>JÖNKÖPINGS LÄN</t>
        </is>
      </c>
      <c r="E334" t="inlineStr">
        <is>
          <t>SÄVSJÖ</t>
        </is>
      </c>
      <c r="F334" t="inlineStr">
        <is>
          <t>Sveaskog</t>
        </is>
      </c>
      <c r="G334" t="n">
        <v>2.9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995-2023</t>
        </is>
      </c>
      <c r="B335" s="1" t="n">
        <v>44935</v>
      </c>
      <c r="C335" s="1" t="n">
        <v>45626</v>
      </c>
      <c r="D335" t="inlineStr">
        <is>
          <t>JÖNKÖPINGS LÄN</t>
        </is>
      </c>
      <c r="E335" t="inlineStr">
        <is>
          <t>SÄVSJÖ</t>
        </is>
      </c>
      <c r="F335" t="inlineStr">
        <is>
          <t>Sveaskog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1172-2023</t>
        </is>
      </c>
      <c r="B336" s="1" t="n">
        <v>44935</v>
      </c>
      <c r="C336" s="1" t="n">
        <v>45626</v>
      </c>
      <c r="D336" t="inlineStr">
        <is>
          <t>JÖNKÖPINGS LÄN</t>
        </is>
      </c>
      <c r="E336" t="inlineStr">
        <is>
          <t>SÄVSJÖ</t>
        </is>
      </c>
      <c r="G336" t="n">
        <v>6.3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2262-2023</t>
        </is>
      </c>
      <c r="B337" s="1" t="n">
        <v>44942</v>
      </c>
      <c r="C337" s="1" t="n">
        <v>45626</v>
      </c>
      <c r="D337" t="inlineStr">
        <is>
          <t>JÖNKÖPINGS LÄN</t>
        </is>
      </c>
      <c r="E337" t="inlineStr">
        <is>
          <t>SÄVSJÖ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2635-2023</t>
        </is>
      </c>
      <c r="B338" s="1" t="n">
        <v>44942</v>
      </c>
      <c r="C338" s="1" t="n">
        <v>45626</v>
      </c>
      <c r="D338" t="inlineStr">
        <is>
          <t>JÖNKÖPINGS LÄN</t>
        </is>
      </c>
      <c r="E338" t="inlineStr">
        <is>
          <t>SÄVSJÖ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2633-2023</t>
        </is>
      </c>
      <c r="B339" s="1" t="n">
        <v>44942</v>
      </c>
      <c r="C339" s="1" t="n">
        <v>45626</v>
      </c>
      <c r="D339" t="inlineStr">
        <is>
          <t>JÖNKÖPINGS LÄN</t>
        </is>
      </c>
      <c r="E339" t="inlineStr">
        <is>
          <t>SÄVSJÖ</t>
        </is>
      </c>
      <c r="G339" t="n">
        <v>2.7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2616-2023</t>
        </is>
      </c>
      <c r="B340" s="1" t="n">
        <v>44944</v>
      </c>
      <c r="C340" s="1" t="n">
        <v>45626</v>
      </c>
      <c r="D340" t="inlineStr">
        <is>
          <t>JÖNKÖPINGS LÄN</t>
        </is>
      </c>
      <c r="E340" t="inlineStr">
        <is>
          <t>SÄVSJÖ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2810-2023</t>
        </is>
      </c>
      <c r="B341" s="1" t="n">
        <v>44944</v>
      </c>
      <c r="C341" s="1" t="n">
        <v>45626</v>
      </c>
      <c r="D341" t="inlineStr">
        <is>
          <t>JÖNKÖPINGS LÄN</t>
        </is>
      </c>
      <c r="E341" t="inlineStr">
        <is>
          <t>SÄVSJÖ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3865-2023</t>
        </is>
      </c>
      <c r="B342" s="1" t="n">
        <v>44951</v>
      </c>
      <c r="C342" s="1" t="n">
        <v>45626</v>
      </c>
      <c r="D342" t="inlineStr">
        <is>
          <t>JÖNKÖPINGS LÄN</t>
        </is>
      </c>
      <c r="E342" t="inlineStr">
        <is>
          <t>SÄVSJÖ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4030-2023</t>
        </is>
      </c>
      <c r="B343" s="1" t="n">
        <v>44952</v>
      </c>
      <c r="C343" s="1" t="n">
        <v>45626</v>
      </c>
      <c r="D343" t="inlineStr">
        <is>
          <t>JÖNKÖPINGS LÄN</t>
        </is>
      </c>
      <c r="E343" t="inlineStr">
        <is>
          <t>SÄVSJÖ</t>
        </is>
      </c>
      <c r="G343" t="n">
        <v>1.9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4813-2023</t>
        </is>
      </c>
      <c r="B344" s="1" t="n">
        <v>44957</v>
      </c>
      <c r="C344" s="1" t="n">
        <v>45626</v>
      </c>
      <c r="D344" t="inlineStr">
        <is>
          <t>JÖNKÖPINGS LÄN</t>
        </is>
      </c>
      <c r="E344" t="inlineStr">
        <is>
          <t>SÄVSJÖ</t>
        </is>
      </c>
      <c r="G344" t="n">
        <v>3.6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4814-2023</t>
        </is>
      </c>
      <c r="B345" s="1" t="n">
        <v>44957</v>
      </c>
      <c r="C345" s="1" t="n">
        <v>45626</v>
      </c>
      <c r="D345" t="inlineStr">
        <is>
          <t>JÖNKÖPINGS LÄN</t>
        </is>
      </c>
      <c r="E345" t="inlineStr">
        <is>
          <t>SÄVSJÖ</t>
        </is>
      </c>
      <c r="G345" t="n">
        <v>1.5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6914-2023</t>
        </is>
      </c>
      <c r="B346" s="1" t="n">
        <v>44964</v>
      </c>
      <c r="C346" s="1" t="n">
        <v>45626</v>
      </c>
      <c r="D346" t="inlineStr">
        <is>
          <t>JÖNKÖPINGS LÄN</t>
        </is>
      </c>
      <c r="E346" t="inlineStr">
        <is>
          <t>SÄVSJÖ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6320-2023</t>
        </is>
      </c>
      <c r="B347" s="1" t="n">
        <v>44965</v>
      </c>
      <c r="C347" s="1" t="n">
        <v>45626</v>
      </c>
      <c r="D347" t="inlineStr">
        <is>
          <t>JÖNKÖPINGS LÄN</t>
        </is>
      </c>
      <c r="E347" t="inlineStr">
        <is>
          <t>SÄVSJÖ</t>
        </is>
      </c>
      <c r="G347" t="n">
        <v>2.8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7285-2023</t>
        </is>
      </c>
      <c r="B348" s="1" t="n">
        <v>44970</v>
      </c>
      <c r="C348" s="1" t="n">
        <v>45626</v>
      </c>
      <c r="D348" t="inlineStr">
        <is>
          <t>JÖNKÖPINGS LÄN</t>
        </is>
      </c>
      <c r="E348" t="inlineStr">
        <is>
          <t>SÄVSJÖ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8748-2023</t>
        </is>
      </c>
      <c r="B349" s="1" t="n">
        <v>44972</v>
      </c>
      <c r="C349" s="1" t="n">
        <v>45626</v>
      </c>
      <c r="D349" t="inlineStr">
        <is>
          <t>JÖNKÖPINGS LÄN</t>
        </is>
      </c>
      <c r="E349" t="inlineStr">
        <is>
          <t>SÄVSJÖ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7843-2023</t>
        </is>
      </c>
      <c r="B350" s="1" t="n">
        <v>44973</v>
      </c>
      <c r="C350" s="1" t="n">
        <v>45626</v>
      </c>
      <c r="D350" t="inlineStr">
        <is>
          <t>JÖNKÖPINGS LÄN</t>
        </is>
      </c>
      <c r="E350" t="inlineStr">
        <is>
          <t>SÄVSJÖ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8770-2023</t>
        </is>
      </c>
      <c r="B351" s="1" t="n">
        <v>44978</v>
      </c>
      <c r="C351" s="1" t="n">
        <v>45626</v>
      </c>
      <c r="D351" t="inlineStr">
        <is>
          <t>JÖNKÖPINGS LÄN</t>
        </is>
      </c>
      <c r="E351" t="inlineStr">
        <is>
          <t>SÄVSJÖ</t>
        </is>
      </c>
      <c r="G351" t="n">
        <v>4.6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8957-2023</t>
        </is>
      </c>
      <c r="B352" s="1" t="n">
        <v>44979</v>
      </c>
      <c r="C352" s="1" t="n">
        <v>45626</v>
      </c>
      <c r="D352" t="inlineStr">
        <is>
          <t>JÖNKÖPINGS LÄN</t>
        </is>
      </c>
      <c r="E352" t="inlineStr">
        <is>
          <t>SÄVSJÖ</t>
        </is>
      </c>
      <c r="G352" t="n">
        <v>1.9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10432-2023</t>
        </is>
      </c>
      <c r="B353" s="1" t="n">
        <v>44981</v>
      </c>
      <c r="C353" s="1" t="n">
        <v>45626</v>
      </c>
      <c r="D353" t="inlineStr">
        <is>
          <t>JÖNKÖPINGS LÄN</t>
        </is>
      </c>
      <c r="E353" t="inlineStr">
        <is>
          <t>SÄVSJÖ</t>
        </is>
      </c>
      <c r="G353" t="n">
        <v>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10206-2023</t>
        </is>
      </c>
      <c r="B354" s="1" t="n">
        <v>44986</v>
      </c>
      <c r="C354" s="1" t="n">
        <v>45626</v>
      </c>
      <c r="D354" t="inlineStr">
        <is>
          <t>JÖNKÖPINGS LÄN</t>
        </is>
      </c>
      <c r="E354" t="inlineStr">
        <is>
          <t>SÄVSJÖ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10591-2023</t>
        </is>
      </c>
      <c r="B355" s="1" t="n">
        <v>44988</v>
      </c>
      <c r="C355" s="1" t="n">
        <v>45626</v>
      </c>
      <c r="D355" t="inlineStr">
        <is>
          <t>JÖNKÖPINGS LÄN</t>
        </is>
      </c>
      <c r="E355" t="inlineStr">
        <is>
          <t>SÄVSJÖ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10865-2023</t>
        </is>
      </c>
      <c r="B356" s="1" t="n">
        <v>44991</v>
      </c>
      <c r="C356" s="1" t="n">
        <v>45626</v>
      </c>
      <c r="D356" t="inlineStr">
        <is>
          <t>JÖNKÖPINGS LÄN</t>
        </is>
      </c>
      <c r="E356" t="inlineStr">
        <is>
          <t>SÄVSJÖ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10887-2023</t>
        </is>
      </c>
      <c r="B357" s="1" t="n">
        <v>44991</v>
      </c>
      <c r="C357" s="1" t="n">
        <v>45626</v>
      </c>
      <c r="D357" t="inlineStr">
        <is>
          <t>JÖNKÖPINGS LÄN</t>
        </is>
      </c>
      <c r="E357" t="inlineStr">
        <is>
          <t>SÄVSJÖ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11160-2023</t>
        </is>
      </c>
      <c r="B358" s="1" t="n">
        <v>44992</v>
      </c>
      <c r="C358" s="1" t="n">
        <v>45626</v>
      </c>
      <c r="D358" t="inlineStr">
        <is>
          <t>JÖNKÖPINGS LÄN</t>
        </is>
      </c>
      <c r="E358" t="inlineStr">
        <is>
          <t>SÄVSJÖ</t>
        </is>
      </c>
      <c r="G358" t="n">
        <v>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11090-2023</t>
        </is>
      </c>
      <c r="B359" s="1" t="n">
        <v>44992</v>
      </c>
      <c r="C359" s="1" t="n">
        <v>45626</v>
      </c>
      <c r="D359" t="inlineStr">
        <is>
          <t>JÖNKÖPINGS LÄN</t>
        </is>
      </c>
      <c r="E359" t="inlineStr">
        <is>
          <t>SÄVSJÖ</t>
        </is>
      </c>
      <c r="G359" t="n">
        <v>2.5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11161-2023</t>
        </is>
      </c>
      <c r="B360" s="1" t="n">
        <v>44992</v>
      </c>
      <c r="C360" s="1" t="n">
        <v>45626</v>
      </c>
      <c r="D360" t="inlineStr">
        <is>
          <t>JÖNKÖPINGS LÄN</t>
        </is>
      </c>
      <c r="E360" t="inlineStr">
        <is>
          <t>SÄVSJÖ</t>
        </is>
      </c>
      <c r="G360" t="n">
        <v>2.7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11931-2023</t>
        </is>
      </c>
      <c r="B361" s="1" t="n">
        <v>44995</v>
      </c>
      <c r="C361" s="1" t="n">
        <v>45626</v>
      </c>
      <c r="D361" t="inlineStr">
        <is>
          <t>JÖNKÖPINGS LÄN</t>
        </is>
      </c>
      <c r="E361" t="inlineStr">
        <is>
          <t>SÄVSJÖ</t>
        </is>
      </c>
      <c r="G361" t="n">
        <v>2.7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11951-2023</t>
        </is>
      </c>
      <c r="B362" s="1" t="n">
        <v>44995</v>
      </c>
      <c r="C362" s="1" t="n">
        <v>45626</v>
      </c>
      <c r="D362" t="inlineStr">
        <is>
          <t>JÖNKÖPINGS LÄN</t>
        </is>
      </c>
      <c r="E362" t="inlineStr">
        <is>
          <t>SÄVSJÖ</t>
        </is>
      </c>
      <c r="G362" t="n">
        <v>2.1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12868-2023</t>
        </is>
      </c>
      <c r="B363" s="1" t="n">
        <v>45001</v>
      </c>
      <c r="C363" s="1" t="n">
        <v>45626</v>
      </c>
      <c r="D363" t="inlineStr">
        <is>
          <t>JÖNKÖPINGS LÄN</t>
        </is>
      </c>
      <c r="E363" t="inlineStr">
        <is>
          <t>SÄVSJÖ</t>
        </is>
      </c>
      <c r="F363" t="inlineStr">
        <is>
          <t>Kyrkan</t>
        </is>
      </c>
      <c r="G363" t="n">
        <v>3.8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12874-2023</t>
        </is>
      </c>
      <c r="B364" s="1" t="n">
        <v>45001</v>
      </c>
      <c r="C364" s="1" t="n">
        <v>45626</v>
      </c>
      <c r="D364" t="inlineStr">
        <is>
          <t>JÖNKÖPINGS LÄN</t>
        </is>
      </c>
      <c r="E364" t="inlineStr">
        <is>
          <t>SÄVSJÖ</t>
        </is>
      </c>
      <c r="F364" t="inlineStr">
        <is>
          <t>Kyrkan</t>
        </is>
      </c>
      <c r="G364" t="n">
        <v>2.5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12952-2023</t>
        </is>
      </c>
      <c r="B365" s="1" t="n">
        <v>45001</v>
      </c>
      <c r="C365" s="1" t="n">
        <v>45626</v>
      </c>
      <c r="D365" t="inlineStr">
        <is>
          <t>JÖNKÖPINGS LÄN</t>
        </is>
      </c>
      <c r="E365" t="inlineStr">
        <is>
          <t>SÄVSJÖ</t>
        </is>
      </c>
      <c r="F365" t="inlineStr">
        <is>
          <t>Kyrkan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12955-2023</t>
        </is>
      </c>
      <c r="B366" s="1" t="n">
        <v>45001</v>
      </c>
      <c r="C366" s="1" t="n">
        <v>45626</v>
      </c>
      <c r="D366" t="inlineStr">
        <is>
          <t>JÖNKÖPINGS LÄN</t>
        </is>
      </c>
      <c r="E366" t="inlineStr">
        <is>
          <t>SÄVSJÖ</t>
        </is>
      </c>
      <c r="F366" t="inlineStr">
        <is>
          <t>Kyrkan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12959-2023</t>
        </is>
      </c>
      <c r="B367" s="1" t="n">
        <v>45001</v>
      </c>
      <c r="C367" s="1" t="n">
        <v>45626</v>
      </c>
      <c r="D367" t="inlineStr">
        <is>
          <t>JÖNKÖPINGS LÄN</t>
        </is>
      </c>
      <c r="E367" t="inlineStr">
        <is>
          <t>SÄVSJÖ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13647-2023</t>
        </is>
      </c>
      <c r="B368" s="1" t="n">
        <v>45006</v>
      </c>
      <c r="C368" s="1" t="n">
        <v>45626</v>
      </c>
      <c r="D368" t="inlineStr">
        <is>
          <t>JÖNKÖPINGS LÄN</t>
        </is>
      </c>
      <c r="E368" t="inlineStr">
        <is>
          <t>SÄVSJÖ</t>
        </is>
      </c>
      <c r="G368" t="n">
        <v>2.3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14045-2023</t>
        </is>
      </c>
      <c r="B369" s="1" t="n">
        <v>45008</v>
      </c>
      <c r="C369" s="1" t="n">
        <v>45626</v>
      </c>
      <c r="D369" t="inlineStr">
        <is>
          <t>JÖNKÖPINGS LÄN</t>
        </is>
      </c>
      <c r="E369" t="inlineStr">
        <is>
          <t>SÄVSJÖ</t>
        </is>
      </c>
      <c r="F369" t="inlineStr">
        <is>
          <t>Kommuner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15054-2023</t>
        </is>
      </c>
      <c r="B370" s="1" t="n">
        <v>45015</v>
      </c>
      <c r="C370" s="1" t="n">
        <v>45626</v>
      </c>
      <c r="D370" t="inlineStr">
        <is>
          <t>JÖNKÖPINGS LÄN</t>
        </is>
      </c>
      <c r="E370" t="inlineStr">
        <is>
          <t>SÄVSJÖ</t>
        </is>
      </c>
      <c r="G370" t="n">
        <v>0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15058-2023</t>
        </is>
      </c>
      <c r="B371" s="1" t="n">
        <v>45015</v>
      </c>
      <c r="C371" s="1" t="n">
        <v>45626</v>
      </c>
      <c r="D371" t="inlineStr">
        <is>
          <t>JÖNKÖPINGS LÄN</t>
        </is>
      </c>
      <c r="E371" t="inlineStr">
        <is>
          <t>SÄVSJÖ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15056-2023</t>
        </is>
      </c>
      <c r="B372" s="1" t="n">
        <v>45015</v>
      </c>
      <c r="C372" s="1" t="n">
        <v>45626</v>
      </c>
      <c r="D372" t="inlineStr">
        <is>
          <t>JÖNKÖPINGS LÄN</t>
        </is>
      </c>
      <c r="E372" t="inlineStr">
        <is>
          <t>SÄVSJÖ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15160-2023</t>
        </is>
      </c>
      <c r="B373" s="1" t="n">
        <v>45016</v>
      </c>
      <c r="C373" s="1" t="n">
        <v>45626</v>
      </c>
      <c r="D373" t="inlineStr">
        <is>
          <t>JÖNKÖPINGS LÄN</t>
        </is>
      </c>
      <c r="E373" t="inlineStr">
        <is>
          <t>SÄVSJÖ</t>
        </is>
      </c>
      <c r="G373" t="n">
        <v>3.2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15942-2023</t>
        </is>
      </c>
      <c r="B374" s="1" t="n">
        <v>45022</v>
      </c>
      <c r="C374" s="1" t="n">
        <v>45626</v>
      </c>
      <c r="D374" t="inlineStr">
        <is>
          <t>JÖNKÖPINGS LÄN</t>
        </is>
      </c>
      <c r="E374" t="inlineStr">
        <is>
          <t>SÄVSJÖ</t>
        </is>
      </c>
      <c r="G374" t="n">
        <v>2.7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16213-2023</t>
        </is>
      </c>
      <c r="B375" s="1" t="n">
        <v>45028</v>
      </c>
      <c r="C375" s="1" t="n">
        <v>45626</v>
      </c>
      <c r="D375" t="inlineStr">
        <is>
          <t>JÖNKÖPINGS LÄN</t>
        </is>
      </c>
      <c r="E375" t="inlineStr">
        <is>
          <t>SÄVSJÖ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16218-2023</t>
        </is>
      </c>
      <c r="B376" s="1" t="n">
        <v>45028</v>
      </c>
      <c r="C376" s="1" t="n">
        <v>45626</v>
      </c>
      <c r="D376" t="inlineStr">
        <is>
          <t>JÖNKÖPINGS LÄN</t>
        </is>
      </c>
      <c r="E376" t="inlineStr">
        <is>
          <t>SÄVSJÖ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16403-2023</t>
        </is>
      </c>
      <c r="B377" s="1" t="n">
        <v>45029</v>
      </c>
      <c r="C377" s="1" t="n">
        <v>45626</v>
      </c>
      <c r="D377" t="inlineStr">
        <is>
          <t>JÖNKÖPINGS LÄN</t>
        </is>
      </c>
      <c r="E377" t="inlineStr">
        <is>
          <t>SÄVSJÖ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16591-2023</t>
        </is>
      </c>
      <c r="B378" s="1" t="n">
        <v>45030</v>
      </c>
      <c r="C378" s="1" t="n">
        <v>45626</v>
      </c>
      <c r="D378" t="inlineStr">
        <is>
          <t>JÖNKÖPINGS LÄN</t>
        </is>
      </c>
      <c r="E378" t="inlineStr">
        <is>
          <t>SÄVSJÖ</t>
        </is>
      </c>
      <c r="G378" t="n">
        <v>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16805-2023</t>
        </is>
      </c>
      <c r="B379" s="1" t="n">
        <v>45033</v>
      </c>
      <c r="C379" s="1" t="n">
        <v>45626</v>
      </c>
      <c r="D379" t="inlineStr">
        <is>
          <t>JÖNKÖPINGS LÄN</t>
        </is>
      </c>
      <c r="E379" t="inlineStr">
        <is>
          <t>SÄVSJÖ</t>
        </is>
      </c>
      <c r="G379" t="n">
        <v>2.3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17766-2023</t>
        </is>
      </c>
      <c r="B380" s="1" t="n">
        <v>45037</v>
      </c>
      <c r="C380" s="1" t="n">
        <v>45626</v>
      </c>
      <c r="D380" t="inlineStr">
        <is>
          <t>JÖNKÖPINGS LÄN</t>
        </is>
      </c>
      <c r="E380" t="inlineStr">
        <is>
          <t>SÄVSJÖ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17722-2023</t>
        </is>
      </c>
      <c r="B381" s="1" t="n">
        <v>45037</v>
      </c>
      <c r="C381" s="1" t="n">
        <v>45626</v>
      </c>
      <c r="D381" t="inlineStr">
        <is>
          <t>JÖNKÖPINGS LÄN</t>
        </is>
      </c>
      <c r="E381" t="inlineStr">
        <is>
          <t>SÄVSJÖ</t>
        </is>
      </c>
      <c r="G381" t="n">
        <v>11.8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17768-2023</t>
        </is>
      </c>
      <c r="B382" s="1" t="n">
        <v>45037</v>
      </c>
      <c r="C382" s="1" t="n">
        <v>45626</v>
      </c>
      <c r="D382" t="inlineStr">
        <is>
          <t>JÖNKÖPINGS LÄN</t>
        </is>
      </c>
      <c r="E382" t="inlineStr">
        <is>
          <t>SÄVSJÖ</t>
        </is>
      </c>
      <c r="G382" t="n">
        <v>0.4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18135-2023</t>
        </is>
      </c>
      <c r="B383" s="1" t="n">
        <v>45040</v>
      </c>
      <c r="C383" s="1" t="n">
        <v>45626</v>
      </c>
      <c r="D383" t="inlineStr">
        <is>
          <t>JÖNKÖPINGS LÄN</t>
        </is>
      </c>
      <c r="E383" t="inlineStr">
        <is>
          <t>SÄVSJÖ</t>
        </is>
      </c>
      <c r="G383" t="n">
        <v>6.2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18582-2023</t>
        </is>
      </c>
      <c r="B384" s="1" t="n">
        <v>45043</v>
      </c>
      <c r="C384" s="1" t="n">
        <v>45626</v>
      </c>
      <c r="D384" t="inlineStr">
        <is>
          <t>JÖNKÖPINGS LÄN</t>
        </is>
      </c>
      <c r="E384" t="inlineStr">
        <is>
          <t>SÄVSJÖ</t>
        </is>
      </c>
      <c r="G384" t="n">
        <v>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19597-2023</t>
        </is>
      </c>
      <c r="B385" s="1" t="n">
        <v>45050</v>
      </c>
      <c r="C385" s="1" t="n">
        <v>45626</v>
      </c>
      <c r="D385" t="inlineStr">
        <is>
          <t>JÖNKÖPINGS LÄN</t>
        </is>
      </c>
      <c r="E385" t="inlineStr">
        <is>
          <t>SÄVSJÖ</t>
        </is>
      </c>
      <c r="G385" t="n">
        <v>2.9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19847-2023</t>
        </is>
      </c>
      <c r="B386" s="1" t="n">
        <v>45053</v>
      </c>
      <c r="C386" s="1" t="n">
        <v>45626</v>
      </c>
      <c r="D386" t="inlineStr">
        <is>
          <t>JÖNKÖPINGS LÄN</t>
        </is>
      </c>
      <c r="E386" t="inlineStr">
        <is>
          <t>SÄVSJÖ</t>
        </is>
      </c>
      <c r="G386" t="n">
        <v>2.6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19935-2023</t>
        </is>
      </c>
      <c r="B387" s="1" t="n">
        <v>45054</v>
      </c>
      <c r="C387" s="1" t="n">
        <v>45626</v>
      </c>
      <c r="D387" t="inlineStr">
        <is>
          <t>JÖNKÖPINGS LÄN</t>
        </is>
      </c>
      <c r="E387" t="inlineStr">
        <is>
          <t>SÄVSJÖ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20915-2023</t>
        </is>
      </c>
      <c r="B388" s="1" t="n">
        <v>45061</v>
      </c>
      <c r="C388" s="1" t="n">
        <v>45626</v>
      </c>
      <c r="D388" t="inlineStr">
        <is>
          <t>JÖNKÖPINGS LÄN</t>
        </is>
      </c>
      <c r="E388" t="inlineStr">
        <is>
          <t>SÄVSJÖ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21173-2023</t>
        </is>
      </c>
      <c r="B389" s="1" t="n">
        <v>45062</v>
      </c>
      <c r="C389" s="1" t="n">
        <v>45626</v>
      </c>
      <c r="D389" t="inlineStr">
        <is>
          <t>JÖNKÖPINGS LÄN</t>
        </is>
      </c>
      <c r="E389" t="inlineStr">
        <is>
          <t>SÄVSJÖ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21191-2023</t>
        </is>
      </c>
      <c r="B390" s="1" t="n">
        <v>45062</v>
      </c>
      <c r="C390" s="1" t="n">
        <v>45626</v>
      </c>
      <c r="D390" t="inlineStr">
        <is>
          <t>JÖNKÖPINGS LÄN</t>
        </is>
      </c>
      <c r="E390" t="inlineStr">
        <is>
          <t>SÄVSJÖ</t>
        </is>
      </c>
      <c r="G390" t="n">
        <v>2.4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21788-2023</t>
        </is>
      </c>
      <c r="B391" s="1" t="n">
        <v>45066</v>
      </c>
      <c r="C391" s="1" t="n">
        <v>45626</v>
      </c>
      <c r="D391" t="inlineStr">
        <is>
          <t>JÖNKÖPINGS LÄN</t>
        </is>
      </c>
      <c r="E391" t="inlineStr">
        <is>
          <t>SÄVSJÖ</t>
        </is>
      </c>
      <c r="G391" t="n">
        <v>2.9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21796-2023</t>
        </is>
      </c>
      <c r="B392" s="1" t="n">
        <v>45067</v>
      </c>
      <c r="C392" s="1" t="n">
        <v>45626</v>
      </c>
      <c r="D392" t="inlineStr">
        <is>
          <t>JÖNKÖPINGS LÄN</t>
        </is>
      </c>
      <c r="E392" t="inlineStr">
        <is>
          <t>SÄVSJÖ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21801-2023</t>
        </is>
      </c>
      <c r="B393" s="1" t="n">
        <v>45067</v>
      </c>
      <c r="C393" s="1" t="n">
        <v>45626</v>
      </c>
      <c r="D393" t="inlineStr">
        <is>
          <t>JÖNKÖPINGS LÄN</t>
        </is>
      </c>
      <c r="E393" t="inlineStr">
        <is>
          <t>SÄVSJÖ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21795-2023</t>
        </is>
      </c>
      <c r="B394" s="1" t="n">
        <v>45067</v>
      </c>
      <c r="C394" s="1" t="n">
        <v>45626</v>
      </c>
      <c r="D394" t="inlineStr">
        <is>
          <t>JÖNKÖPINGS LÄN</t>
        </is>
      </c>
      <c r="E394" t="inlineStr">
        <is>
          <t>SÄVSJÖ</t>
        </is>
      </c>
      <c r="G394" t="n">
        <v>2.2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22623-2023</t>
        </is>
      </c>
      <c r="B395" s="1" t="n">
        <v>45071</v>
      </c>
      <c r="C395" s="1" t="n">
        <v>45626</v>
      </c>
      <c r="D395" t="inlineStr">
        <is>
          <t>JÖNKÖPINGS LÄN</t>
        </is>
      </c>
      <c r="E395" t="inlineStr">
        <is>
          <t>SÄVSJÖ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22632-2023</t>
        </is>
      </c>
      <c r="B396" s="1" t="n">
        <v>45071</v>
      </c>
      <c r="C396" s="1" t="n">
        <v>45626</v>
      </c>
      <c r="D396" t="inlineStr">
        <is>
          <t>JÖNKÖPINGS LÄN</t>
        </is>
      </c>
      <c r="E396" t="inlineStr">
        <is>
          <t>SÄVSJÖ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24253-2023</t>
        </is>
      </c>
      <c r="B397" s="1" t="n">
        <v>45079</v>
      </c>
      <c r="C397" s="1" t="n">
        <v>45626</v>
      </c>
      <c r="D397" t="inlineStr">
        <is>
          <t>JÖNKÖPINGS LÄN</t>
        </is>
      </c>
      <c r="E397" t="inlineStr">
        <is>
          <t>SÄVSJÖ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24799-2023</t>
        </is>
      </c>
      <c r="B398" s="1" t="n">
        <v>45084</v>
      </c>
      <c r="C398" s="1" t="n">
        <v>45626</v>
      </c>
      <c r="D398" t="inlineStr">
        <is>
          <t>JÖNKÖPINGS LÄN</t>
        </is>
      </c>
      <c r="E398" t="inlineStr">
        <is>
          <t>SÄVSJÖ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24798-2023</t>
        </is>
      </c>
      <c r="B399" s="1" t="n">
        <v>45084</v>
      </c>
      <c r="C399" s="1" t="n">
        <v>45626</v>
      </c>
      <c r="D399" t="inlineStr">
        <is>
          <t>JÖNKÖPINGS LÄN</t>
        </is>
      </c>
      <c r="E399" t="inlineStr">
        <is>
          <t>SÄVSJÖ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25117-2023</t>
        </is>
      </c>
      <c r="B400" s="1" t="n">
        <v>45086</v>
      </c>
      <c r="C400" s="1" t="n">
        <v>45626</v>
      </c>
      <c r="D400" t="inlineStr">
        <is>
          <t>JÖNKÖPINGS LÄN</t>
        </is>
      </c>
      <c r="E400" t="inlineStr">
        <is>
          <t>SÄVSJÖ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25074-2023</t>
        </is>
      </c>
      <c r="B401" s="1" t="n">
        <v>45086</v>
      </c>
      <c r="C401" s="1" t="n">
        <v>45626</v>
      </c>
      <c r="D401" t="inlineStr">
        <is>
          <t>JÖNKÖPINGS LÄN</t>
        </is>
      </c>
      <c r="E401" t="inlineStr">
        <is>
          <t>SÄVSJÖ</t>
        </is>
      </c>
      <c r="G401" t="n">
        <v>3.9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25118-2023</t>
        </is>
      </c>
      <c r="B402" s="1" t="n">
        <v>45086</v>
      </c>
      <c r="C402" s="1" t="n">
        <v>45626</v>
      </c>
      <c r="D402" t="inlineStr">
        <is>
          <t>JÖNKÖPINGS LÄN</t>
        </is>
      </c>
      <c r="E402" t="inlineStr">
        <is>
          <t>SÄVSJÖ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25289-2023</t>
        </is>
      </c>
      <c r="B403" s="1" t="n">
        <v>45086</v>
      </c>
      <c r="C403" s="1" t="n">
        <v>45626</v>
      </c>
      <c r="D403" t="inlineStr">
        <is>
          <t>JÖNKÖPINGS LÄN</t>
        </is>
      </c>
      <c r="E403" t="inlineStr">
        <is>
          <t>SÄVSJÖ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25288-2023</t>
        </is>
      </c>
      <c r="B404" s="1" t="n">
        <v>45086</v>
      </c>
      <c r="C404" s="1" t="n">
        <v>45626</v>
      </c>
      <c r="D404" t="inlineStr">
        <is>
          <t>JÖNKÖPINGS LÄN</t>
        </is>
      </c>
      <c r="E404" t="inlineStr">
        <is>
          <t>SÄVSJÖ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27014-2023</t>
        </is>
      </c>
      <c r="B405" s="1" t="n">
        <v>45094</v>
      </c>
      <c r="C405" s="1" t="n">
        <v>45626</v>
      </c>
      <c r="D405" t="inlineStr">
        <is>
          <t>JÖNKÖPINGS LÄN</t>
        </is>
      </c>
      <c r="E405" t="inlineStr">
        <is>
          <t>SÄVSJÖ</t>
        </is>
      </c>
      <c r="G405" t="n">
        <v>2.2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27013-2023</t>
        </is>
      </c>
      <c r="B406" s="1" t="n">
        <v>45094</v>
      </c>
      <c r="C406" s="1" t="n">
        <v>45626</v>
      </c>
      <c r="D406" t="inlineStr">
        <is>
          <t>JÖNKÖPINGS LÄN</t>
        </is>
      </c>
      <c r="E406" t="inlineStr">
        <is>
          <t>SÄVSJÖ</t>
        </is>
      </c>
      <c r="G406" t="n">
        <v>2.4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27015-2023</t>
        </is>
      </c>
      <c r="B407" s="1" t="n">
        <v>45094</v>
      </c>
      <c r="C407" s="1" t="n">
        <v>45626</v>
      </c>
      <c r="D407" t="inlineStr">
        <is>
          <t>JÖNKÖPINGS LÄN</t>
        </is>
      </c>
      <c r="E407" t="inlineStr">
        <is>
          <t>SÄVSJÖ</t>
        </is>
      </c>
      <c r="G407" t="n">
        <v>2.5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27269-2023</t>
        </is>
      </c>
      <c r="B408" s="1" t="n">
        <v>45096</v>
      </c>
      <c r="C408" s="1" t="n">
        <v>45626</v>
      </c>
      <c r="D408" t="inlineStr">
        <is>
          <t>JÖNKÖPINGS LÄN</t>
        </is>
      </c>
      <c r="E408" t="inlineStr">
        <is>
          <t>SÄVSJÖ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27396-2023</t>
        </is>
      </c>
      <c r="B409" s="1" t="n">
        <v>45097</v>
      </c>
      <c r="C409" s="1" t="n">
        <v>45626</v>
      </c>
      <c r="D409" t="inlineStr">
        <is>
          <t>JÖNKÖPINGS LÄN</t>
        </is>
      </c>
      <c r="E409" t="inlineStr">
        <is>
          <t>SÄVSJÖ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27708-2023</t>
        </is>
      </c>
      <c r="B410" s="1" t="n">
        <v>45098</v>
      </c>
      <c r="C410" s="1" t="n">
        <v>45626</v>
      </c>
      <c r="D410" t="inlineStr">
        <is>
          <t>JÖNKÖPINGS LÄN</t>
        </is>
      </c>
      <c r="E410" t="inlineStr">
        <is>
          <t>SÄVSJÖ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27713-2023</t>
        </is>
      </c>
      <c r="B411" s="1" t="n">
        <v>45098</v>
      </c>
      <c r="C411" s="1" t="n">
        <v>45626</v>
      </c>
      <c r="D411" t="inlineStr">
        <is>
          <t>JÖNKÖPINGS LÄN</t>
        </is>
      </c>
      <c r="E411" t="inlineStr">
        <is>
          <t>SÄVSJÖ</t>
        </is>
      </c>
      <c r="G411" t="n">
        <v>3.8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27707-2023</t>
        </is>
      </c>
      <c r="B412" s="1" t="n">
        <v>45098</v>
      </c>
      <c r="C412" s="1" t="n">
        <v>45626</v>
      </c>
      <c r="D412" t="inlineStr">
        <is>
          <t>JÖNKÖPINGS LÄN</t>
        </is>
      </c>
      <c r="E412" t="inlineStr">
        <is>
          <t>SÄVSJÖ</t>
        </is>
      </c>
      <c r="G412" t="n">
        <v>1.2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28423-2023</t>
        </is>
      </c>
      <c r="B413" s="1" t="n">
        <v>45102</v>
      </c>
      <c r="C413" s="1" t="n">
        <v>45626</v>
      </c>
      <c r="D413" t="inlineStr">
        <is>
          <t>JÖNKÖPINGS LÄN</t>
        </is>
      </c>
      <c r="E413" t="inlineStr">
        <is>
          <t>SÄVSJÖ</t>
        </is>
      </c>
      <c r="G413" t="n">
        <v>1.9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29013-2023</t>
        </is>
      </c>
      <c r="B414" s="1" t="n">
        <v>45104</v>
      </c>
      <c r="C414" s="1" t="n">
        <v>45626</v>
      </c>
      <c r="D414" t="inlineStr">
        <is>
          <t>JÖNKÖPINGS LÄN</t>
        </is>
      </c>
      <c r="E414" t="inlineStr">
        <is>
          <t>SÄVSJÖ</t>
        </is>
      </c>
      <c r="G414" t="n">
        <v>1.7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29009-2023</t>
        </is>
      </c>
      <c r="B415" s="1" t="n">
        <v>45104</v>
      </c>
      <c r="C415" s="1" t="n">
        <v>45626</v>
      </c>
      <c r="D415" t="inlineStr">
        <is>
          <t>JÖNKÖPINGS LÄN</t>
        </is>
      </c>
      <c r="E415" t="inlineStr">
        <is>
          <t>SÄVSJÖ</t>
        </is>
      </c>
      <c r="G415" t="n">
        <v>1.9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29045-2023</t>
        </is>
      </c>
      <c r="B416" s="1" t="n">
        <v>45104</v>
      </c>
      <c r="C416" s="1" t="n">
        <v>45626</v>
      </c>
      <c r="D416" t="inlineStr">
        <is>
          <t>JÖNKÖPINGS LÄN</t>
        </is>
      </c>
      <c r="E416" t="inlineStr">
        <is>
          <t>SÄVSJÖ</t>
        </is>
      </c>
      <c r="G416" t="n">
        <v>7.8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29558-2023</t>
        </is>
      </c>
      <c r="B417" s="1" t="n">
        <v>45106</v>
      </c>
      <c r="C417" s="1" t="n">
        <v>45626</v>
      </c>
      <c r="D417" t="inlineStr">
        <is>
          <t>JÖNKÖPINGS LÄN</t>
        </is>
      </c>
      <c r="E417" t="inlineStr">
        <is>
          <t>SÄVSJÖ</t>
        </is>
      </c>
      <c r="G417" t="n">
        <v>2.4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30047-2023</t>
        </is>
      </c>
      <c r="B418" s="1" t="n">
        <v>45110</v>
      </c>
      <c r="C418" s="1" t="n">
        <v>45626</v>
      </c>
      <c r="D418" t="inlineStr">
        <is>
          <t>JÖNKÖPINGS LÄN</t>
        </is>
      </c>
      <c r="E418" t="inlineStr">
        <is>
          <t>SÄVSJÖ</t>
        </is>
      </c>
      <c r="G418" t="n">
        <v>3.7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30162-2023</t>
        </is>
      </c>
      <c r="B419" s="1" t="n">
        <v>45110</v>
      </c>
      <c r="C419" s="1" t="n">
        <v>45626</v>
      </c>
      <c r="D419" t="inlineStr">
        <is>
          <t>JÖNKÖPINGS LÄN</t>
        </is>
      </c>
      <c r="E419" t="inlineStr">
        <is>
          <t>SÄVSJÖ</t>
        </is>
      </c>
      <c r="F419" t="inlineStr">
        <is>
          <t>Kommuner</t>
        </is>
      </c>
      <c r="G419" t="n">
        <v>4.4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30364-2023</t>
        </is>
      </c>
      <c r="B420" s="1" t="n">
        <v>45111</v>
      </c>
      <c r="C420" s="1" t="n">
        <v>45626</v>
      </c>
      <c r="D420" t="inlineStr">
        <is>
          <t>JÖNKÖPINGS LÄN</t>
        </is>
      </c>
      <c r="E420" t="inlineStr">
        <is>
          <t>SÄVSJÖ</t>
        </is>
      </c>
      <c r="G420" t="n">
        <v>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31788-2023</t>
        </is>
      </c>
      <c r="B421" s="1" t="n">
        <v>45118</v>
      </c>
      <c r="C421" s="1" t="n">
        <v>45626</v>
      </c>
      <c r="D421" t="inlineStr">
        <is>
          <t>JÖNKÖPINGS LÄN</t>
        </is>
      </c>
      <c r="E421" t="inlineStr">
        <is>
          <t>SÄVSJÖ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32085-2023</t>
        </is>
      </c>
      <c r="B422" s="1" t="n">
        <v>45119</v>
      </c>
      <c r="C422" s="1" t="n">
        <v>45626</v>
      </c>
      <c r="D422" t="inlineStr">
        <is>
          <t>JÖNKÖPINGS LÄN</t>
        </is>
      </c>
      <c r="E422" t="inlineStr">
        <is>
          <t>SÄVSJÖ</t>
        </is>
      </c>
      <c r="G422" t="n">
        <v>4.8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33220-2023</t>
        </is>
      </c>
      <c r="B423" s="1" t="n">
        <v>45127</v>
      </c>
      <c r="C423" s="1" t="n">
        <v>45626</v>
      </c>
      <c r="D423" t="inlineStr">
        <is>
          <t>JÖNKÖPINGS LÄN</t>
        </is>
      </c>
      <c r="E423" t="inlineStr">
        <is>
          <t>SÄVSJÖ</t>
        </is>
      </c>
      <c r="G423" t="n">
        <v>1.5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33237-2023</t>
        </is>
      </c>
      <c r="B424" s="1" t="n">
        <v>45127</v>
      </c>
      <c r="C424" s="1" t="n">
        <v>45626</v>
      </c>
      <c r="D424" t="inlineStr">
        <is>
          <t>JÖNKÖPINGS LÄN</t>
        </is>
      </c>
      <c r="E424" t="inlineStr">
        <is>
          <t>SÄVSJÖ</t>
        </is>
      </c>
      <c r="G424" t="n">
        <v>3.9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34422-2023</t>
        </is>
      </c>
      <c r="B425" s="1" t="n">
        <v>45133</v>
      </c>
      <c r="C425" s="1" t="n">
        <v>45626</v>
      </c>
      <c r="D425" t="inlineStr">
        <is>
          <t>JÖNKÖPINGS LÄN</t>
        </is>
      </c>
      <c r="E425" t="inlineStr">
        <is>
          <t>SÄVSJÖ</t>
        </is>
      </c>
      <c r="G425" t="n">
        <v>2.5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35243-2023</t>
        </is>
      </c>
      <c r="B426" s="1" t="n">
        <v>45145</v>
      </c>
      <c r="C426" s="1" t="n">
        <v>45626</v>
      </c>
      <c r="D426" t="inlineStr">
        <is>
          <t>JÖNKÖPINGS LÄN</t>
        </is>
      </c>
      <c r="E426" t="inlineStr">
        <is>
          <t>SÄVSJÖ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35320-2023</t>
        </is>
      </c>
      <c r="B427" s="1" t="n">
        <v>45146</v>
      </c>
      <c r="C427" s="1" t="n">
        <v>45626</v>
      </c>
      <c r="D427" t="inlineStr">
        <is>
          <t>JÖNKÖPINGS LÄN</t>
        </is>
      </c>
      <c r="E427" t="inlineStr">
        <is>
          <t>SÄVSJÖ</t>
        </is>
      </c>
      <c r="G427" t="n">
        <v>0.4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35812-2023</t>
        </is>
      </c>
      <c r="B428" s="1" t="n">
        <v>45148</v>
      </c>
      <c r="C428" s="1" t="n">
        <v>45626</v>
      </c>
      <c r="D428" t="inlineStr">
        <is>
          <t>JÖNKÖPINGS LÄN</t>
        </is>
      </c>
      <c r="E428" t="inlineStr">
        <is>
          <t>SÄVSJÖ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35854-2023</t>
        </is>
      </c>
      <c r="B429" s="1" t="n">
        <v>45148</v>
      </c>
      <c r="C429" s="1" t="n">
        <v>45626</v>
      </c>
      <c r="D429" t="inlineStr">
        <is>
          <t>JÖNKÖPINGS LÄN</t>
        </is>
      </c>
      <c r="E429" t="inlineStr">
        <is>
          <t>SÄVSJÖ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37827-2023</t>
        </is>
      </c>
      <c r="B430" s="1" t="n">
        <v>45160</v>
      </c>
      <c r="C430" s="1" t="n">
        <v>45626</v>
      </c>
      <c r="D430" t="inlineStr">
        <is>
          <t>JÖNKÖPINGS LÄN</t>
        </is>
      </c>
      <c r="E430" t="inlineStr">
        <is>
          <t>SÄVSJÖ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38070-2023</t>
        </is>
      </c>
      <c r="B431" s="1" t="n">
        <v>45160</v>
      </c>
      <c r="C431" s="1" t="n">
        <v>45626</v>
      </c>
      <c r="D431" t="inlineStr">
        <is>
          <t>JÖNKÖPINGS LÄN</t>
        </is>
      </c>
      <c r="E431" t="inlineStr">
        <is>
          <t>SÄVSJÖ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38072-2023</t>
        </is>
      </c>
      <c r="B432" s="1" t="n">
        <v>45160</v>
      </c>
      <c r="C432" s="1" t="n">
        <v>45626</v>
      </c>
      <c r="D432" t="inlineStr">
        <is>
          <t>JÖNKÖPINGS LÄN</t>
        </is>
      </c>
      <c r="E432" t="inlineStr">
        <is>
          <t>SÄVSJÖ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38283-2023</t>
        </is>
      </c>
      <c r="B433" s="1" t="n">
        <v>45161</v>
      </c>
      <c r="C433" s="1" t="n">
        <v>45626</v>
      </c>
      <c r="D433" t="inlineStr">
        <is>
          <t>JÖNKÖPINGS LÄN</t>
        </is>
      </c>
      <c r="E433" t="inlineStr">
        <is>
          <t>SÄVSJÖ</t>
        </is>
      </c>
      <c r="G433" t="n">
        <v>1.6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38333-2023</t>
        </is>
      </c>
      <c r="B434" s="1" t="n">
        <v>45161</v>
      </c>
      <c r="C434" s="1" t="n">
        <v>45626</v>
      </c>
      <c r="D434" t="inlineStr">
        <is>
          <t>JÖNKÖPINGS LÄN</t>
        </is>
      </c>
      <c r="E434" t="inlineStr">
        <is>
          <t>SÄVSJÖ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38699-2023</t>
        </is>
      </c>
      <c r="B435" s="1" t="n">
        <v>45163</v>
      </c>
      <c r="C435" s="1" t="n">
        <v>45626</v>
      </c>
      <c r="D435" t="inlineStr">
        <is>
          <t>JÖNKÖPINGS LÄN</t>
        </is>
      </c>
      <c r="E435" t="inlineStr">
        <is>
          <t>SÄVSJÖ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39176-2023</t>
        </is>
      </c>
      <c r="B436" s="1" t="n">
        <v>45166</v>
      </c>
      <c r="C436" s="1" t="n">
        <v>45626</v>
      </c>
      <c r="D436" t="inlineStr">
        <is>
          <t>JÖNKÖPINGS LÄN</t>
        </is>
      </c>
      <c r="E436" t="inlineStr">
        <is>
          <t>SÄVSJÖ</t>
        </is>
      </c>
      <c r="G436" t="n">
        <v>2.9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39364-2023</t>
        </is>
      </c>
      <c r="B437" s="1" t="n">
        <v>45166</v>
      </c>
      <c r="C437" s="1" t="n">
        <v>45626</v>
      </c>
      <c r="D437" t="inlineStr">
        <is>
          <t>JÖNKÖPINGS LÄN</t>
        </is>
      </c>
      <c r="E437" t="inlineStr">
        <is>
          <t>SÄVSJÖ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39334-2023</t>
        </is>
      </c>
      <c r="B438" s="1" t="n">
        <v>45166</v>
      </c>
      <c r="C438" s="1" t="n">
        <v>45626</v>
      </c>
      <c r="D438" t="inlineStr">
        <is>
          <t>JÖNKÖPINGS LÄN</t>
        </is>
      </c>
      <c r="E438" t="inlineStr">
        <is>
          <t>SÄVSJÖ</t>
        </is>
      </c>
      <c r="G438" t="n">
        <v>6.8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39344-2023</t>
        </is>
      </c>
      <c r="B439" s="1" t="n">
        <v>45166</v>
      </c>
      <c r="C439" s="1" t="n">
        <v>45626</v>
      </c>
      <c r="D439" t="inlineStr">
        <is>
          <t>JÖNKÖPINGS LÄN</t>
        </is>
      </c>
      <c r="E439" t="inlineStr">
        <is>
          <t>SÄVSJÖ</t>
        </is>
      </c>
      <c r="G439" t="n">
        <v>3.2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39362-2023</t>
        </is>
      </c>
      <c r="B440" s="1" t="n">
        <v>45166</v>
      </c>
      <c r="C440" s="1" t="n">
        <v>45626</v>
      </c>
      <c r="D440" t="inlineStr">
        <is>
          <t>JÖNKÖPINGS LÄN</t>
        </is>
      </c>
      <c r="E440" t="inlineStr">
        <is>
          <t>SÄVSJÖ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39584-2023</t>
        </is>
      </c>
      <c r="B441" s="1" t="n">
        <v>45167</v>
      </c>
      <c r="C441" s="1" t="n">
        <v>45626</v>
      </c>
      <c r="D441" t="inlineStr">
        <is>
          <t>JÖNKÖPINGS LÄN</t>
        </is>
      </c>
      <c r="E441" t="inlineStr">
        <is>
          <t>SÄVSJÖ</t>
        </is>
      </c>
      <c r="G441" t="n">
        <v>2.4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39730-2023</t>
        </is>
      </c>
      <c r="B442" s="1" t="n">
        <v>45167</v>
      </c>
      <c r="C442" s="1" t="n">
        <v>45626</v>
      </c>
      <c r="D442" t="inlineStr">
        <is>
          <t>JÖNKÖPINGS LÄN</t>
        </is>
      </c>
      <c r="E442" t="inlineStr">
        <is>
          <t>SÄVSJÖ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40023-2023</t>
        </is>
      </c>
      <c r="B443" s="1" t="n">
        <v>45168</v>
      </c>
      <c r="C443" s="1" t="n">
        <v>45626</v>
      </c>
      <c r="D443" t="inlineStr">
        <is>
          <t>JÖNKÖPINGS LÄN</t>
        </is>
      </c>
      <c r="E443" t="inlineStr">
        <is>
          <t>SÄVSJÖ</t>
        </is>
      </c>
      <c r="G443" t="n">
        <v>1.7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40072-2023</t>
        </is>
      </c>
      <c r="B444" s="1" t="n">
        <v>45168</v>
      </c>
      <c r="C444" s="1" t="n">
        <v>45626</v>
      </c>
      <c r="D444" t="inlineStr">
        <is>
          <t>JÖNKÖPINGS LÄN</t>
        </is>
      </c>
      <c r="E444" t="inlineStr">
        <is>
          <t>SÄVSJÖ</t>
        </is>
      </c>
      <c r="G444" t="n">
        <v>3.3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41045-2023</t>
        </is>
      </c>
      <c r="B445" s="1" t="n">
        <v>45169</v>
      </c>
      <c r="C445" s="1" t="n">
        <v>45626</v>
      </c>
      <c r="D445" t="inlineStr">
        <is>
          <t>JÖNKÖPINGS LÄN</t>
        </is>
      </c>
      <c r="E445" t="inlineStr">
        <is>
          <t>SÄVSJÖ</t>
        </is>
      </c>
      <c r="G445" t="n">
        <v>3.6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40557-2023</t>
        </is>
      </c>
      <c r="B446" s="1" t="n">
        <v>45170</v>
      </c>
      <c r="C446" s="1" t="n">
        <v>45626</v>
      </c>
      <c r="D446" t="inlineStr">
        <is>
          <t>JÖNKÖPINGS LÄN</t>
        </is>
      </c>
      <c r="E446" t="inlineStr">
        <is>
          <t>SÄVSJÖ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40548-2023</t>
        </is>
      </c>
      <c r="B447" s="1" t="n">
        <v>45170</v>
      </c>
      <c r="C447" s="1" t="n">
        <v>45626</v>
      </c>
      <c r="D447" t="inlineStr">
        <is>
          <t>JÖNKÖPINGS LÄN</t>
        </is>
      </c>
      <c r="E447" t="inlineStr">
        <is>
          <t>SÄVSJÖ</t>
        </is>
      </c>
      <c r="G447" t="n">
        <v>2.1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40552-2023</t>
        </is>
      </c>
      <c r="B448" s="1" t="n">
        <v>45170</v>
      </c>
      <c r="C448" s="1" t="n">
        <v>45626</v>
      </c>
      <c r="D448" t="inlineStr">
        <is>
          <t>JÖNKÖPINGS LÄN</t>
        </is>
      </c>
      <c r="E448" t="inlineStr">
        <is>
          <t>SÄVSJÖ</t>
        </is>
      </c>
      <c r="G448" t="n">
        <v>2.6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40575-2023</t>
        </is>
      </c>
      <c r="B449" s="1" t="n">
        <v>45170</v>
      </c>
      <c r="C449" s="1" t="n">
        <v>45626</v>
      </c>
      <c r="D449" t="inlineStr">
        <is>
          <t>JÖNKÖPINGS LÄN</t>
        </is>
      </c>
      <c r="E449" t="inlineStr">
        <is>
          <t>SÄVSJÖ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41014-2023</t>
        </is>
      </c>
      <c r="B450" s="1" t="n">
        <v>45173</v>
      </c>
      <c r="C450" s="1" t="n">
        <v>45626</v>
      </c>
      <c r="D450" t="inlineStr">
        <is>
          <t>JÖNKÖPINGS LÄN</t>
        </is>
      </c>
      <c r="E450" t="inlineStr">
        <is>
          <t>SÄVSJÖ</t>
        </is>
      </c>
      <c r="G450" t="n">
        <v>4.4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41424-2023</t>
        </is>
      </c>
      <c r="B451" s="1" t="n">
        <v>45175</v>
      </c>
      <c r="C451" s="1" t="n">
        <v>45626</v>
      </c>
      <c r="D451" t="inlineStr">
        <is>
          <t>JÖNKÖPINGS LÄN</t>
        </is>
      </c>
      <c r="E451" t="inlineStr">
        <is>
          <t>SÄVSJÖ</t>
        </is>
      </c>
      <c r="G451" t="n">
        <v>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43856-2023</t>
        </is>
      </c>
      <c r="B452" s="1" t="n">
        <v>45187</v>
      </c>
      <c r="C452" s="1" t="n">
        <v>45626</v>
      </c>
      <c r="D452" t="inlineStr">
        <is>
          <t>JÖNKÖPINGS LÄN</t>
        </is>
      </c>
      <c r="E452" t="inlineStr">
        <is>
          <t>SÄVSJÖ</t>
        </is>
      </c>
      <c r="G452" t="n">
        <v>4.5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44269-2023</t>
        </is>
      </c>
      <c r="B453" s="1" t="n">
        <v>45188</v>
      </c>
      <c r="C453" s="1" t="n">
        <v>45626</v>
      </c>
      <c r="D453" t="inlineStr">
        <is>
          <t>JÖNKÖPINGS LÄN</t>
        </is>
      </c>
      <c r="E453" t="inlineStr">
        <is>
          <t>SÄVSJÖ</t>
        </is>
      </c>
      <c r="G453" t="n">
        <v>2.2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45090-2023</t>
        </is>
      </c>
      <c r="B454" s="1" t="n">
        <v>45191</v>
      </c>
      <c r="C454" s="1" t="n">
        <v>45626</v>
      </c>
      <c r="D454" t="inlineStr">
        <is>
          <t>JÖNKÖPINGS LÄN</t>
        </is>
      </c>
      <c r="E454" t="inlineStr">
        <is>
          <t>SÄVSJÖ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45378-2023</t>
        </is>
      </c>
      <c r="B455" s="1" t="n">
        <v>45193</v>
      </c>
      <c r="C455" s="1" t="n">
        <v>45626</v>
      </c>
      <c r="D455" t="inlineStr">
        <is>
          <t>JÖNKÖPINGS LÄN</t>
        </is>
      </c>
      <c r="E455" t="inlineStr">
        <is>
          <t>SÄVSJÖ</t>
        </is>
      </c>
      <c r="G455" t="n">
        <v>2.7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45620-2023</t>
        </is>
      </c>
      <c r="B456" s="1" t="n">
        <v>45194</v>
      </c>
      <c r="C456" s="1" t="n">
        <v>45626</v>
      </c>
      <c r="D456" t="inlineStr">
        <is>
          <t>JÖNKÖPINGS LÄN</t>
        </is>
      </c>
      <c r="E456" t="inlineStr">
        <is>
          <t>SÄVSJÖ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46408-2023</t>
        </is>
      </c>
      <c r="B457" s="1" t="n">
        <v>45197</v>
      </c>
      <c r="C457" s="1" t="n">
        <v>45626</v>
      </c>
      <c r="D457" t="inlineStr">
        <is>
          <t>JÖNKÖPINGS LÄN</t>
        </is>
      </c>
      <c r="E457" t="inlineStr">
        <is>
          <t>SÄVSJÖ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46407-2023</t>
        </is>
      </c>
      <c r="B458" s="1" t="n">
        <v>45197</v>
      </c>
      <c r="C458" s="1" t="n">
        <v>45626</v>
      </c>
      <c r="D458" t="inlineStr">
        <is>
          <t>JÖNKÖPINGS LÄN</t>
        </is>
      </c>
      <c r="E458" t="inlineStr">
        <is>
          <t>SÄVSJÖ</t>
        </is>
      </c>
      <c r="G458" t="n">
        <v>1.7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46581-2023</t>
        </is>
      </c>
      <c r="B459" s="1" t="n">
        <v>45198</v>
      </c>
      <c r="C459" s="1" t="n">
        <v>45626</v>
      </c>
      <c r="D459" t="inlineStr">
        <is>
          <t>JÖNKÖPINGS LÄN</t>
        </is>
      </c>
      <c r="E459" t="inlineStr">
        <is>
          <t>SÄVSJÖ</t>
        </is>
      </c>
      <c r="G459" t="n">
        <v>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46580-2023</t>
        </is>
      </c>
      <c r="B460" s="1" t="n">
        <v>45198</v>
      </c>
      <c r="C460" s="1" t="n">
        <v>45626</v>
      </c>
      <c r="D460" t="inlineStr">
        <is>
          <t>JÖNKÖPINGS LÄN</t>
        </is>
      </c>
      <c r="E460" t="inlineStr">
        <is>
          <t>SÄVSJÖ</t>
        </is>
      </c>
      <c r="G460" t="n">
        <v>3.2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46609-2023</t>
        </is>
      </c>
      <c r="B461" s="1" t="n">
        <v>45198</v>
      </c>
      <c r="C461" s="1" t="n">
        <v>45626</v>
      </c>
      <c r="D461" t="inlineStr">
        <is>
          <t>JÖNKÖPINGS LÄN</t>
        </is>
      </c>
      <c r="E461" t="inlineStr">
        <is>
          <t>SÄVSJÖ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46579-2023</t>
        </is>
      </c>
      <c r="B462" s="1" t="n">
        <v>45198</v>
      </c>
      <c r="C462" s="1" t="n">
        <v>45626</v>
      </c>
      <c r="D462" t="inlineStr">
        <is>
          <t>JÖNKÖPINGS LÄN</t>
        </is>
      </c>
      <c r="E462" t="inlineStr">
        <is>
          <t>SÄVSJÖ</t>
        </is>
      </c>
      <c r="G462" t="n">
        <v>3.2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46906-2023</t>
        </is>
      </c>
      <c r="B463" s="1" t="n">
        <v>45201</v>
      </c>
      <c r="C463" s="1" t="n">
        <v>45626</v>
      </c>
      <c r="D463" t="inlineStr">
        <is>
          <t>JÖNKÖPINGS LÄN</t>
        </is>
      </c>
      <c r="E463" t="inlineStr">
        <is>
          <t>SÄVSJÖ</t>
        </is>
      </c>
      <c r="G463" t="n">
        <v>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46908-2023</t>
        </is>
      </c>
      <c r="B464" s="1" t="n">
        <v>45201</v>
      </c>
      <c r="C464" s="1" t="n">
        <v>45626</v>
      </c>
      <c r="D464" t="inlineStr">
        <is>
          <t>JÖNKÖPINGS LÄN</t>
        </is>
      </c>
      <c r="E464" t="inlineStr">
        <is>
          <t>SÄVSJÖ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48395-2023</t>
        </is>
      </c>
      <c r="B465" s="1" t="n">
        <v>45201</v>
      </c>
      <c r="C465" s="1" t="n">
        <v>45626</v>
      </c>
      <c r="D465" t="inlineStr">
        <is>
          <t>JÖNKÖPINGS LÄN</t>
        </is>
      </c>
      <c r="E465" t="inlineStr">
        <is>
          <t>SÄVSJÖ</t>
        </is>
      </c>
      <c r="F465" t="inlineStr">
        <is>
          <t>Kyrkan</t>
        </is>
      </c>
      <c r="G465" t="n">
        <v>10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47581-2023</t>
        </is>
      </c>
      <c r="B466" s="1" t="n">
        <v>45203</v>
      </c>
      <c r="C466" s="1" t="n">
        <v>45626</v>
      </c>
      <c r="D466" t="inlineStr">
        <is>
          <t>JÖNKÖPINGS LÄN</t>
        </is>
      </c>
      <c r="E466" t="inlineStr">
        <is>
          <t>SÄVSJÖ</t>
        </is>
      </c>
      <c r="G466" t="n">
        <v>2.5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48680-2023</t>
        </is>
      </c>
      <c r="B467" s="1" t="n">
        <v>45203</v>
      </c>
      <c r="C467" s="1" t="n">
        <v>45626</v>
      </c>
      <c r="D467" t="inlineStr">
        <is>
          <t>JÖNKÖPINGS LÄN</t>
        </is>
      </c>
      <c r="E467" t="inlineStr">
        <is>
          <t>SÄVSJÖ</t>
        </is>
      </c>
      <c r="G467" t="n">
        <v>2.8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47893-2023</t>
        </is>
      </c>
      <c r="B468" s="1" t="n">
        <v>45204</v>
      </c>
      <c r="C468" s="1" t="n">
        <v>45626</v>
      </c>
      <c r="D468" t="inlineStr">
        <is>
          <t>JÖNKÖPINGS LÄN</t>
        </is>
      </c>
      <c r="E468" t="inlineStr">
        <is>
          <t>SÄVSJÖ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48026-2023</t>
        </is>
      </c>
      <c r="B469" s="1" t="n">
        <v>45204</v>
      </c>
      <c r="C469" s="1" t="n">
        <v>45626</v>
      </c>
      <c r="D469" t="inlineStr">
        <is>
          <t>JÖNKÖPINGS LÄN</t>
        </is>
      </c>
      <c r="E469" t="inlineStr">
        <is>
          <t>SÄVSJÖ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48025-2023</t>
        </is>
      </c>
      <c r="B470" s="1" t="n">
        <v>45204</v>
      </c>
      <c r="C470" s="1" t="n">
        <v>45626</v>
      </c>
      <c r="D470" t="inlineStr">
        <is>
          <t>JÖNKÖPINGS LÄN</t>
        </is>
      </c>
      <c r="E470" t="inlineStr">
        <is>
          <t>SÄVSJÖ</t>
        </is>
      </c>
      <c r="G470" t="n">
        <v>1.7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48893-2023</t>
        </is>
      </c>
      <c r="B471" s="1" t="n">
        <v>45209</v>
      </c>
      <c r="C471" s="1" t="n">
        <v>45626</v>
      </c>
      <c r="D471" t="inlineStr">
        <is>
          <t>JÖNKÖPINGS LÄN</t>
        </is>
      </c>
      <c r="E471" t="inlineStr">
        <is>
          <t>SÄVSJÖ</t>
        </is>
      </c>
      <c r="G471" t="n">
        <v>1.4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49098-2023</t>
        </is>
      </c>
      <c r="B472" s="1" t="n">
        <v>45210</v>
      </c>
      <c r="C472" s="1" t="n">
        <v>45626</v>
      </c>
      <c r="D472" t="inlineStr">
        <is>
          <t>JÖNKÖPINGS LÄN</t>
        </is>
      </c>
      <c r="E472" t="inlineStr">
        <is>
          <t>SÄVSJÖ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49276-2023</t>
        </is>
      </c>
      <c r="B473" s="1" t="n">
        <v>45210</v>
      </c>
      <c r="C473" s="1" t="n">
        <v>45626</v>
      </c>
      <c r="D473" t="inlineStr">
        <is>
          <t>JÖNKÖPINGS LÄN</t>
        </is>
      </c>
      <c r="E473" t="inlineStr">
        <is>
          <t>SÄVSJÖ</t>
        </is>
      </c>
      <c r="G473" t="n">
        <v>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49292-2023</t>
        </is>
      </c>
      <c r="B474" s="1" t="n">
        <v>45210</v>
      </c>
      <c r="C474" s="1" t="n">
        <v>45626</v>
      </c>
      <c r="D474" t="inlineStr">
        <is>
          <t>JÖNKÖPINGS LÄN</t>
        </is>
      </c>
      <c r="E474" t="inlineStr">
        <is>
          <t>SÄVSJÖ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49406-2023</t>
        </is>
      </c>
      <c r="B475" s="1" t="n">
        <v>45211</v>
      </c>
      <c r="C475" s="1" t="n">
        <v>45626</v>
      </c>
      <c r="D475" t="inlineStr">
        <is>
          <t>JÖNKÖPINGS LÄN</t>
        </is>
      </c>
      <c r="E475" t="inlineStr">
        <is>
          <t>SÄVSJÖ</t>
        </is>
      </c>
      <c r="G475" t="n">
        <v>2.4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49449-2023</t>
        </is>
      </c>
      <c r="B476" s="1" t="n">
        <v>45211</v>
      </c>
      <c r="C476" s="1" t="n">
        <v>45626</v>
      </c>
      <c r="D476" t="inlineStr">
        <is>
          <t>JÖNKÖPINGS LÄN</t>
        </is>
      </c>
      <c r="E476" t="inlineStr">
        <is>
          <t>SÄVSJÖ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49598-2023</t>
        </is>
      </c>
      <c r="B477" s="1" t="n">
        <v>45211</v>
      </c>
      <c r="C477" s="1" t="n">
        <v>45626</v>
      </c>
      <c r="D477" t="inlineStr">
        <is>
          <t>JÖNKÖPINGS LÄN</t>
        </is>
      </c>
      <c r="E477" t="inlineStr">
        <is>
          <t>SÄVSJÖ</t>
        </is>
      </c>
      <c r="G477" t="n">
        <v>1.5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49708-2023</t>
        </is>
      </c>
      <c r="B478" s="1" t="n">
        <v>45212</v>
      </c>
      <c r="C478" s="1" t="n">
        <v>45626</v>
      </c>
      <c r="D478" t="inlineStr">
        <is>
          <t>JÖNKÖPINGS LÄN</t>
        </is>
      </c>
      <c r="E478" t="inlineStr">
        <is>
          <t>SÄVSJÖ</t>
        </is>
      </c>
      <c r="G478" t="n">
        <v>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49922-2023</t>
        </is>
      </c>
      <c r="B479" s="1" t="n">
        <v>45214</v>
      </c>
      <c r="C479" s="1" t="n">
        <v>45626</v>
      </c>
      <c r="D479" t="inlineStr">
        <is>
          <t>JÖNKÖPINGS LÄN</t>
        </is>
      </c>
      <c r="E479" t="inlineStr">
        <is>
          <t>SÄVSJÖ</t>
        </is>
      </c>
      <c r="G479" t="n">
        <v>1.8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50551-2023</t>
        </is>
      </c>
      <c r="B480" s="1" t="n">
        <v>45217</v>
      </c>
      <c r="C480" s="1" t="n">
        <v>45626</v>
      </c>
      <c r="D480" t="inlineStr">
        <is>
          <t>JÖNKÖPINGS LÄN</t>
        </is>
      </c>
      <c r="E480" t="inlineStr">
        <is>
          <t>SÄVSJÖ</t>
        </is>
      </c>
      <c r="G480" t="n">
        <v>2.5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51637-2023</t>
        </is>
      </c>
      <c r="B481" s="1" t="n">
        <v>45222</v>
      </c>
      <c r="C481" s="1" t="n">
        <v>45626</v>
      </c>
      <c r="D481" t="inlineStr">
        <is>
          <t>JÖNKÖPINGS LÄN</t>
        </is>
      </c>
      <c r="E481" t="inlineStr">
        <is>
          <t>SÄVSJÖ</t>
        </is>
      </c>
      <c r="G481" t="n">
        <v>1.6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51921-2023</t>
        </is>
      </c>
      <c r="B482" s="1" t="n">
        <v>45223</v>
      </c>
      <c r="C482" s="1" t="n">
        <v>45626</v>
      </c>
      <c r="D482" t="inlineStr">
        <is>
          <t>JÖNKÖPINGS LÄN</t>
        </is>
      </c>
      <c r="E482" t="inlineStr">
        <is>
          <t>SÄVSJÖ</t>
        </is>
      </c>
      <c r="G482" t="n">
        <v>2.6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51920-2023</t>
        </is>
      </c>
      <c r="B483" s="1" t="n">
        <v>45223</v>
      </c>
      <c r="C483" s="1" t="n">
        <v>45626</v>
      </c>
      <c r="D483" t="inlineStr">
        <is>
          <t>JÖNKÖPINGS LÄN</t>
        </is>
      </c>
      <c r="E483" t="inlineStr">
        <is>
          <t>SÄVSJÖ</t>
        </is>
      </c>
      <c r="G483" t="n">
        <v>1.6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51919-2023</t>
        </is>
      </c>
      <c r="B484" s="1" t="n">
        <v>45223</v>
      </c>
      <c r="C484" s="1" t="n">
        <v>45626</v>
      </c>
      <c r="D484" t="inlineStr">
        <is>
          <t>JÖNKÖPINGS LÄN</t>
        </is>
      </c>
      <c r="E484" t="inlineStr">
        <is>
          <t>SÄVSJÖ</t>
        </is>
      </c>
      <c r="G484" t="n">
        <v>1.9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52157-2023</t>
        </is>
      </c>
      <c r="B485" s="1" t="n">
        <v>45224</v>
      </c>
      <c r="C485" s="1" t="n">
        <v>45626</v>
      </c>
      <c r="D485" t="inlineStr">
        <is>
          <t>JÖNKÖPINGS LÄN</t>
        </is>
      </c>
      <c r="E485" t="inlineStr">
        <is>
          <t>SÄVSJÖ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54547-2023</t>
        </is>
      </c>
      <c r="B486" s="1" t="n">
        <v>45226</v>
      </c>
      <c r="C486" s="1" t="n">
        <v>45626</v>
      </c>
      <c r="D486" t="inlineStr">
        <is>
          <t>JÖNKÖPINGS LÄN</t>
        </is>
      </c>
      <c r="E486" t="inlineStr">
        <is>
          <t>SÄVSJÖ</t>
        </is>
      </c>
      <c r="F486" t="inlineStr">
        <is>
          <t>Kyrkan</t>
        </is>
      </c>
      <c r="G486" t="n">
        <v>1.8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54536-2023</t>
        </is>
      </c>
      <c r="B487" s="1" t="n">
        <v>45226</v>
      </c>
      <c r="C487" s="1" t="n">
        <v>45626</v>
      </c>
      <c r="D487" t="inlineStr">
        <is>
          <t>JÖNKÖPINGS LÄN</t>
        </is>
      </c>
      <c r="E487" t="inlineStr">
        <is>
          <t>SÄVSJÖ</t>
        </is>
      </c>
      <c r="F487" t="inlineStr">
        <is>
          <t>Kyrkan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54543-2023</t>
        </is>
      </c>
      <c r="B488" s="1" t="n">
        <v>45226</v>
      </c>
      <c r="C488" s="1" t="n">
        <v>45626</v>
      </c>
      <c r="D488" t="inlineStr">
        <is>
          <t>JÖNKÖPINGS LÄN</t>
        </is>
      </c>
      <c r="E488" t="inlineStr">
        <is>
          <t>SÄVSJÖ</t>
        </is>
      </c>
      <c r="F488" t="inlineStr">
        <is>
          <t>Kyrkan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54533-2023</t>
        </is>
      </c>
      <c r="B489" s="1" t="n">
        <v>45226</v>
      </c>
      <c r="C489" s="1" t="n">
        <v>45626</v>
      </c>
      <c r="D489" t="inlineStr">
        <is>
          <t>JÖNKÖPINGS LÄN</t>
        </is>
      </c>
      <c r="E489" t="inlineStr">
        <is>
          <t>SÄVSJÖ</t>
        </is>
      </c>
      <c r="F489" t="inlineStr">
        <is>
          <t>Kyrkan</t>
        </is>
      </c>
      <c r="G489" t="n">
        <v>0.3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53100-2023</t>
        </is>
      </c>
      <c r="B490" s="1" t="n">
        <v>45228</v>
      </c>
      <c r="C490" s="1" t="n">
        <v>45626</v>
      </c>
      <c r="D490" t="inlineStr">
        <is>
          <t>JÖNKÖPINGS LÄN</t>
        </is>
      </c>
      <c r="E490" t="inlineStr">
        <is>
          <t>SÄVSJÖ</t>
        </is>
      </c>
      <c r="G490" t="n">
        <v>1.5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53102-2023</t>
        </is>
      </c>
      <c r="B491" s="1" t="n">
        <v>45228</v>
      </c>
      <c r="C491" s="1" t="n">
        <v>45626</v>
      </c>
      <c r="D491" t="inlineStr">
        <is>
          <t>JÖNKÖPINGS LÄN</t>
        </is>
      </c>
      <c r="E491" t="inlineStr">
        <is>
          <t>SÄVSJÖ</t>
        </is>
      </c>
      <c r="G491" t="n">
        <v>5.3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53106-2023</t>
        </is>
      </c>
      <c r="B492" s="1" t="n">
        <v>45228</v>
      </c>
      <c r="C492" s="1" t="n">
        <v>45626</v>
      </c>
      <c r="D492" t="inlineStr">
        <is>
          <t>JÖNKÖPINGS LÄN</t>
        </is>
      </c>
      <c r="E492" t="inlineStr">
        <is>
          <t>SÄVSJÖ</t>
        </is>
      </c>
      <c r="G492" t="n">
        <v>6.1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53585-2023</t>
        </is>
      </c>
      <c r="B493" s="1" t="n">
        <v>45230</v>
      </c>
      <c r="C493" s="1" t="n">
        <v>45626</v>
      </c>
      <c r="D493" t="inlineStr">
        <is>
          <t>JÖNKÖPINGS LÄN</t>
        </is>
      </c>
      <c r="E493" t="inlineStr">
        <is>
          <t>SÄVSJÖ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55011-2023</t>
        </is>
      </c>
      <c r="B494" s="1" t="n">
        <v>45237</v>
      </c>
      <c r="C494" s="1" t="n">
        <v>45626</v>
      </c>
      <c r="D494" t="inlineStr">
        <is>
          <t>JÖNKÖPINGS LÄN</t>
        </is>
      </c>
      <c r="E494" t="inlineStr">
        <is>
          <t>SÄVSJÖ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55012-2023</t>
        </is>
      </c>
      <c r="B495" s="1" t="n">
        <v>45237</v>
      </c>
      <c r="C495" s="1" t="n">
        <v>45626</v>
      </c>
      <c r="D495" t="inlineStr">
        <is>
          <t>JÖNKÖPINGS LÄN</t>
        </is>
      </c>
      <c r="E495" t="inlineStr">
        <is>
          <t>SÄVSJÖ</t>
        </is>
      </c>
      <c r="G495" t="n">
        <v>5.4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55039-2023</t>
        </is>
      </c>
      <c r="B496" s="1" t="n">
        <v>45237</v>
      </c>
      <c r="C496" s="1" t="n">
        <v>45626</v>
      </c>
      <c r="D496" t="inlineStr">
        <is>
          <t>JÖNKÖPINGS LÄN</t>
        </is>
      </c>
      <c r="E496" t="inlineStr">
        <is>
          <t>SÄVSJÖ</t>
        </is>
      </c>
      <c r="G496" t="n">
        <v>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55153-2023</t>
        </is>
      </c>
      <c r="B497" s="1" t="n">
        <v>45237</v>
      </c>
      <c r="C497" s="1" t="n">
        <v>45626</v>
      </c>
      <c r="D497" t="inlineStr">
        <is>
          <t>JÖNKÖPINGS LÄN</t>
        </is>
      </c>
      <c r="E497" t="inlineStr">
        <is>
          <t>SÄVSJÖ</t>
        </is>
      </c>
      <c r="G497" t="n">
        <v>2.4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55482-2023</t>
        </is>
      </c>
      <c r="B498" s="1" t="n">
        <v>45238</v>
      </c>
      <c r="C498" s="1" t="n">
        <v>45626</v>
      </c>
      <c r="D498" t="inlineStr">
        <is>
          <t>JÖNKÖPINGS LÄN</t>
        </is>
      </c>
      <c r="E498" t="inlineStr">
        <is>
          <t>SÄVSJÖ</t>
        </is>
      </c>
      <c r="G498" t="n">
        <v>1.7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55357-2023</t>
        </is>
      </c>
      <c r="B499" s="1" t="n">
        <v>45238</v>
      </c>
      <c r="C499" s="1" t="n">
        <v>45626</v>
      </c>
      <c r="D499" t="inlineStr">
        <is>
          <t>JÖNKÖPINGS LÄN</t>
        </is>
      </c>
      <c r="E499" t="inlineStr">
        <is>
          <t>SÄVSJÖ</t>
        </is>
      </c>
      <c r="G499" t="n">
        <v>2.1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55381-2023</t>
        </is>
      </c>
      <c r="B500" s="1" t="n">
        <v>45238</v>
      </c>
      <c r="C500" s="1" t="n">
        <v>45626</v>
      </c>
      <c r="D500" t="inlineStr">
        <is>
          <t>JÖNKÖPINGS LÄN</t>
        </is>
      </c>
      <c r="E500" t="inlineStr">
        <is>
          <t>SÄVSJÖ</t>
        </is>
      </c>
      <c r="G500" t="n">
        <v>0.4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56097-2023</t>
        </is>
      </c>
      <c r="B501" s="1" t="n">
        <v>45240</v>
      </c>
      <c r="C501" s="1" t="n">
        <v>45626</v>
      </c>
      <c r="D501" t="inlineStr">
        <is>
          <t>JÖNKÖPINGS LÄN</t>
        </is>
      </c>
      <c r="E501" t="inlineStr">
        <is>
          <t>SÄVSJÖ</t>
        </is>
      </c>
      <c r="G501" t="n">
        <v>1.8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55936-2023</t>
        </is>
      </c>
      <c r="B502" s="1" t="n">
        <v>45240</v>
      </c>
      <c r="C502" s="1" t="n">
        <v>45626</v>
      </c>
      <c r="D502" t="inlineStr">
        <is>
          <t>JÖNKÖPINGS LÄN</t>
        </is>
      </c>
      <c r="E502" t="inlineStr">
        <is>
          <t>SÄVSJÖ</t>
        </is>
      </c>
      <c r="G502" t="n">
        <v>1.7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56089-2023</t>
        </is>
      </c>
      <c r="B503" s="1" t="n">
        <v>45240</v>
      </c>
      <c r="C503" s="1" t="n">
        <v>45626</v>
      </c>
      <c r="D503" t="inlineStr">
        <is>
          <t>JÖNKÖPINGS LÄN</t>
        </is>
      </c>
      <c r="E503" t="inlineStr">
        <is>
          <t>SÄVSJÖ</t>
        </is>
      </c>
      <c r="G503" t="n">
        <v>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56978-2023</t>
        </is>
      </c>
      <c r="B504" s="1" t="n">
        <v>45244</v>
      </c>
      <c r="C504" s="1" t="n">
        <v>45626</v>
      </c>
      <c r="D504" t="inlineStr">
        <is>
          <t>JÖNKÖPINGS LÄN</t>
        </is>
      </c>
      <c r="E504" t="inlineStr">
        <is>
          <t>SÄVSJÖ</t>
        </is>
      </c>
      <c r="G504" t="n">
        <v>3.5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57928-2023</t>
        </is>
      </c>
      <c r="B505" s="1" t="n">
        <v>45244</v>
      </c>
      <c r="C505" s="1" t="n">
        <v>45626</v>
      </c>
      <c r="D505" t="inlineStr">
        <is>
          <t>JÖNKÖPINGS LÄN</t>
        </is>
      </c>
      <c r="E505" t="inlineStr">
        <is>
          <t>SÄVSJÖ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57529-2023</t>
        </is>
      </c>
      <c r="B506" s="1" t="n">
        <v>45246</v>
      </c>
      <c r="C506" s="1" t="n">
        <v>45626</v>
      </c>
      <c r="D506" t="inlineStr">
        <is>
          <t>JÖNKÖPINGS LÄN</t>
        </is>
      </c>
      <c r="E506" t="inlineStr">
        <is>
          <t>SÄVSJÖ</t>
        </is>
      </c>
      <c r="G506" t="n">
        <v>0.8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57637-2023</t>
        </is>
      </c>
      <c r="B507" s="1" t="n">
        <v>45246</v>
      </c>
      <c r="C507" s="1" t="n">
        <v>45626</v>
      </c>
      <c r="D507" t="inlineStr">
        <is>
          <t>JÖNKÖPINGS LÄN</t>
        </is>
      </c>
      <c r="E507" t="inlineStr">
        <is>
          <t>SÄVSJÖ</t>
        </is>
      </c>
      <c r="G507" t="n">
        <v>0.7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57532-2023</t>
        </is>
      </c>
      <c r="B508" s="1" t="n">
        <v>45246</v>
      </c>
      <c r="C508" s="1" t="n">
        <v>45626</v>
      </c>
      <c r="D508" t="inlineStr">
        <is>
          <t>JÖNKÖPINGS LÄN</t>
        </is>
      </c>
      <c r="E508" t="inlineStr">
        <is>
          <t>SÄVSJÖ</t>
        </is>
      </c>
      <c r="G508" t="n">
        <v>3.3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57851-2023</t>
        </is>
      </c>
      <c r="B509" s="1" t="n">
        <v>45247</v>
      </c>
      <c r="C509" s="1" t="n">
        <v>45626</v>
      </c>
      <c r="D509" t="inlineStr">
        <is>
          <t>JÖNKÖPINGS LÄN</t>
        </is>
      </c>
      <c r="E509" t="inlineStr">
        <is>
          <t>SÄVSJÖ</t>
        </is>
      </c>
      <c r="G509" t="n">
        <v>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58016-2023</t>
        </is>
      </c>
      <c r="B510" s="1" t="n">
        <v>45247</v>
      </c>
      <c r="C510" s="1" t="n">
        <v>45626</v>
      </c>
      <c r="D510" t="inlineStr">
        <is>
          <t>JÖNKÖPINGS LÄN</t>
        </is>
      </c>
      <c r="E510" t="inlineStr">
        <is>
          <t>SÄVSJÖ</t>
        </is>
      </c>
      <c r="G510" t="n">
        <v>1.6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59054-2023</t>
        </is>
      </c>
      <c r="B511" s="1" t="n">
        <v>45252</v>
      </c>
      <c r="C511" s="1" t="n">
        <v>45626</v>
      </c>
      <c r="D511" t="inlineStr">
        <is>
          <t>JÖNKÖPINGS LÄN</t>
        </is>
      </c>
      <c r="E511" t="inlineStr">
        <is>
          <t>SÄVSJÖ</t>
        </is>
      </c>
      <c r="G511" t="n">
        <v>5.9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59057-2023</t>
        </is>
      </c>
      <c r="B512" s="1" t="n">
        <v>45252</v>
      </c>
      <c r="C512" s="1" t="n">
        <v>45626</v>
      </c>
      <c r="D512" t="inlineStr">
        <is>
          <t>JÖNKÖPINGS LÄN</t>
        </is>
      </c>
      <c r="E512" t="inlineStr">
        <is>
          <t>SÄVSJÖ</t>
        </is>
      </c>
      <c r="G512" t="n">
        <v>1.8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59056-2023</t>
        </is>
      </c>
      <c r="B513" s="1" t="n">
        <v>45252</v>
      </c>
      <c r="C513" s="1" t="n">
        <v>45626</v>
      </c>
      <c r="D513" t="inlineStr">
        <is>
          <t>JÖNKÖPINGS LÄN</t>
        </is>
      </c>
      <c r="E513" t="inlineStr">
        <is>
          <t>SÄVSJÖ</t>
        </is>
      </c>
      <c r="G513" t="n">
        <v>2.6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59125-2023</t>
        </is>
      </c>
      <c r="B514" s="1" t="n">
        <v>45253</v>
      </c>
      <c r="C514" s="1" t="n">
        <v>45626</v>
      </c>
      <c r="D514" t="inlineStr">
        <is>
          <t>JÖNKÖPINGS LÄN</t>
        </is>
      </c>
      <c r="E514" t="inlineStr">
        <is>
          <t>SÄVSJÖ</t>
        </is>
      </c>
      <c r="G514" t="n">
        <v>3.8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59221-2023</t>
        </is>
      </c>
      <c r="B515" s="1" t="n">
        <v>45253</v>
      </c>
      <c r="C515" s="1" t="n">
        <v>45626</v>
      </c>
      <c r="D515" t="inlineStr">
        <is>
          <t>JÖNKÖPINGS LÄN</t>
        </is>
      </c>
      <c r="E515" t="inlineStr">
        <is>
          <t>SÄVSJÖ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59126-2023</t>
        </is>
      </c>
      <c r="B516" s="1" t="n">
        <v>45253</v>
      </c>
      <c r="C516" s="1" t="n">
        <v>45626</v>
      </c>
      <c r="D516" t="inlineStr">
        <is>
          <t>JÖNKÖPINGS LÄN</t>
        </is>
      </c>
      <c r="E516" t="inlineStr">
        <is>
          <t>SÄVSJÖ</t>
        </is>
      </c>
      <c r="G516" t="n">
        <v>1.7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59408-2023</t>
        </is>
      </c>
      <c r="B517" s="1" t="n">
        <v>45253</v>
      </c>
      <c r="C517" s="1" t="n">
        <v>45626</v>
      </c>
      <c r="D517" t="inlineStr">
        <is>
          <t>JÖNKÖPINGS LÄN</t>
        </is>
      </c>
      <c r="E517" t="inlineStr">
        <is>
          <t>SÄVSJÖ</t>
        </is>
      </c>
      <c r="G517" t="n">
        <v>4.9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59420-2023</t>
        </is>
      </c>
      <c r="B518" s="1" t="n">
        <v>45254</v>
      </c>
      <c r="C518" s="1" t="n">
        <v>45626</v>
      </c>
      <c r="D518" t="inlineStr">
        <is>
          <t>JÖNKÖPINGS LÄN</t>
        </is>
      </c>
      <c r="E518" t="inlineStr">
        <is>
          <t>SÄVSJÖ</t>
        </is>
      </c>
      <c r="G518" t="n">
        <v>1.3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59479-2023</t>
        </is>
      </c>
      <c r="B519" s="1" t="n">
        <v>45253</v>
      </c>
      <c r="C519" s="1" t="n">
        <v>45626</v>
      </c>
      <c r="D519" t="inlineStr">
        <is>
          <t>JÖNKÖPINGS LÄN</t>
        </is>
      </c>
      <c r="E519" t="inlineStr">
        <is>
          <t>SÄVSJÖ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59443-2023</t>
        </is>
      </c>
      <c r="B520" s="1" t="n">
        <v>45254</v>
      </c>
      <c r="C520" s="1" t="n">
        <v>45626</v>
      </c>
      <c r="D520" t="inlineStr">
        <is>
          <t>JÖNKÖPINGS LÄN</t>
        </is>
      </c>
      <c r="E520" t="inlineStr">
        <is>
          <t>SÄVSJÖ</t>
        </is>
      </c>
      <c r="G520" t="n">
        <v>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60877-2023</t>
        </is>
      </c>
      <c r="B521" s="1" t="n">
        <v>45261</v>
      </c>
      <c r="C521" s="1" t="n">
        <v>45626</v>
      </c>
      <c r="D521" t="inlineStr">
        <is>
          <t>JÖNKÖPINGS LÄN</t>
        </is>
      </c>
      <c r="E521" t="inlineStr">
        <is>
          <t>SÄVSJÖ</t>
        </is>
      </c>
      <c r="G521" t="n">
        <v>2.7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60915-2023</t>
        </is>
      </c>
      <c r="B522" s="1" t="n">
        <v>45261</v>
      </c>
      <c r="C522" s="1" t="n">
        <v>45626</v>
      </c>
      <c r="D522" t="inlineStr">
        <is>
          <t>JÖNKÖPINGS LÄN</t>
        </is>
      </c>
      <c r="E522" t="inlineStr">
        <is>
          <t>SÄVSJÖ</t>
        </is>
      </c>
      <c r="G522" t="n">
        <v>0.6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60928-2023</t>
        </is>
      </c>
      <c r="B523" s="1" t="n">
        <v>45261</v>
      </c>
      <c r="C523" s="1" t="n">
        <v>45626</v>
      </c>
      <c r="D523" t="inlineStr">
        <is>
          <t>JÖNKÖPINGS LÄN</t>
        </is>
      </c>
      <c r="E523" t="inlineStr">
        <is>
          <t>SÄVSJÖ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62045-2023</t>
        </is>
      </c>
      <c r="B524" s="1" t="n">
        <v>45266</v>
      </c>
      <c r="C524" s="1" t="n">
        <v>45626</v>
      </c>
      <c r="D524" t="inlineStr">
        <is>
          <t>JÖNKÖPINGS LÄN</t>
        </is>
      </c>
      <c r="E524" t="inlineStr">
        <is>
          <t>SÄVSJÖ</t>
        </is>
      </c>
      <c r="G524" t="n">
        <v>8.4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62050-2023</t>
        </is>
      </c>
      <c r="B525" s="1" t="n">
        <v>45266</v>
      </c>
      <c r="C525" s="1" t="n">
        <v>45626</v>
      </c>
      <c r="D525" t="inlineStr">
        <is>
          <t>JÖNKÖPINGS LÄN</t>
        </is>
      </c>
      <c r="E525" t="inlineStr">
        <is>
          <t>SÄVSJÖ</t>
        </is>
      </c>
      <c r="G525" t="n">
        <v>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62163-2023</t>
        </is>
      </c>
      <c r="B526" s="1" t="n">
        <v>45267</v>
      </c>
      <c r="C526" s="1" t="n">
        <v>45626</v>
      </c>
      <c r="D526" t="inlineStr">
        <is>
          <t>JÖNKÖPINGS LÄN</t>
        </is>
      </c>
      <c r="E526" t="inlineStr">
        <is>
          <t>SÄVSJÖ</t>
        </is>
      </c>
      <c r="G526" t="n">
        <v>1.4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62180-2023</t>
        </is>
      </c>
      <c r="B527" s="1" t="n">
        <v>45267</v>
      </c>
      <c r="C527" s="1" t="n">
        <v>45626</v>
      </c>
      <c r="D527" t="inlineStr">
        <is>
          <t>JÖNKÖPINGS LÄN</t>
        </is>
      </c>
      <c r="E527" t="inlineStr">
        <is>
          <t>SÄVSJÖ</t>
        </is>
      </c>
      <c r="G527" t="n">
        <v>2.8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62178-2023</t>
        </is>
      </c>
      <c r="B528" s="1" t="n">
        <v>45267</v>
      </c>
      <c r="C528" s="1" t="n">
        <v>45626</v>
      </c>
      <c r="D528" t="inlineStr">
        <is>
          <t>JÖNKÖPINGS LÄN</t>
        </is>
      </c>
      <c r="E528" t="inlineStr">
        <is>
          <t>SÄVSJÖ</t>
        </is>
      </c>
      <c r="G528" t="n">
        <v>1.8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62182-2023</t>
        </is>
      </c>
      <c r="B529" s="1" t="n">
        <v>45267</v>
      </c>
      <c r="C529" s="1" t="n">
        <v>45626</v>
      </c>
      <c r="D529" t="inlineStr">
        <is>
          <t>JÖNKÖPINGS LÄN</t>
        </is>
      </c>
      <c r="E529" t="inlineStr">
        <is>
          <t>SÄVSJÖ</t>
        </is>
      </c>
      <c r="G529" t="n">
        <v>1.5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62177-2023</t>
        </is>
      </c>
      <c r="B530" s="1" t="n">
        <v>45267</v>
      </c>
      <c r="C530" s="1" t="n">
        <v>45626</v>
      </c>
      <c r="D530" t="inlineStr">
        <is>
          <t>JÖNKÖPINGS LÄN</t>
        </is>
      </c>
      <c r="E530" t="inlineStr">
        <is>
          <t>SÄVSJÖ</t>
        </is>
      </c>
      <c r="G530" t="n">
        <v>0.4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62229-2023</t>
        </is>
      </c>
      <c r="B531" s="1" t="n">
        <v>45267</v>
      </c>
      <c r="C531" s="1" t="n">
        <v>45626</v>
      </c>
      <c r="D531" t="inlineStr">
        <is>
          <t>JÖNKÖPINGS LÄN</t>
        </is>
      </c>
      <c r="E531" t="inlineStr">
        <is>
          <t>SÄVSJÖ</t>
        </is>
      </c>
      <c r="G531" t="n">
        <v>2.8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62416-2023</t>
        </is>
      </c>
      <c r="B532" s="1" t="n">
        <v>45268</v>
      </c>
      <c r="C532" s="1" t="n">
        <v>45626</v>
      </c>
      <c r="D532" t="inlineStr">
        <is>
          <t>JÖNKÖPINGS LÄN</t>
        </is>
      </c>
      <c r="E532" t="inlineStr">
        <is>
          <t>SÄVSJÖ</t>
        </is>
      </c>
      <c r="G532" t="n">
        <v>1.7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62421-2023</t>
        </is>
      </c>
      <c r="B533" s="1" t="n">
        <v>45268</v>
      </c>
      <c r="C533" s="1" t="n">
        <v>45626</v>
      </c>
      <c r="D533" t="inlineStr">
        <is>
          <t>JÖNKÖPINGS LÄN</t>
        </is>
      </c>
      <c r="E533" t="inlineStr">
        <is>
          <t>SÄVSJÖ</t>
        </is>
      </c>
      <c r="G533" t="n">
        <v>2.1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62670-2023</t>
        </is>
      </c>
      <c r="B534" s="1" t="n">
        <v>45271</v>
      </c>
      <c r="C534" s="1" t="n">
        <v>45626</v>
      </c>
      <c r="D534" t="inlineStr">
        <is>
          <t>JÖNKÖPINGS LÄN</t>
        </is>
      </c>
      <c r="E534" t="inlineStr">
        <is>
          <t>SÄVSJÖ</t>
        </is>
      </c>
      <c r="G534" t="n">
        <v>8.4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63490-2023</t>
        </is>
      </c>
      <c r="B535" s="1" t="n">
        <v>45274</v>
      </c>
      <c r="C535" s="1" t="n">
        <v>45626</v>
      </c>
      <c r="D535" t="inlineStr">
        <is>
          <t>JÖNKÖPINGS LÄN</t>
        </is>
      </c>
      <c r="E535" t="inlineStr">
        <is>
          <t>SÄVSJÖ</t>
        </is>
      </c>
      <c r="G535" t="n">
        <v>1.9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63308-2023</t>
        </is>
      </c>
      <c r="B536" s="1" t="n">
        <v>45274</v>
      </c>
      <c r="C536" s="1" t="n">
        <v>45626</v>
      </c>
      <c r="D536" t="inlineStr">
        <is>
          <t>JÖNKÖPINGS LÄN</t>
        </is>
      </c>
      <c r="E536" t="inlineStr">
        <is>
          <t>SÄVSJÖ</t>
        </is>
      </c>
      <c r="G536" t="n">
        <v>2.1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63679-2023</t>
        </is>
      </c>
      <c r="B537" s="1" t="n">
        <v>45275</v>
      </c>
      <c r="C537" s="1" t="n">
        <v>45626</v>
      </c>
      <c r="D537" t="inlineStr">
        <is>
          <t>JÖNKÖPINGS LÄN</t>
        </is>
      </c>
      <c r="E537" t="inlineStr">
        <is>
          <t>SÄVSJÖ</t>
        </is>
      </c>
      <c r="G537" t="n">
        <v>0.7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64528-2023</t>
        </is>
      </c>
      <c r="B538" s="1" t="n">
        <v>45281</v>
      </c>
      <c r="C538" s="1" t="n">
        <v>45626</v>
      </c>
      <c r="D538" t="inlineStr">
        <is>
          <t>JÖNKÖPINGS LÄN</t>
        </is>
      </c>
      <c r="E538" t="inlineStr">
        <is>
          <t>SÄVSJÖ</t>
        </is>
      </c>
      <c r="G538" t="n">
        <v>1.5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64522-2023</t>
        </is>
      </c>
      <c r="B539" s="1" t="n">
        <v>45281</v>
      </c>
      <c r="C539" s="1" t="n">
        <v>45626</v>
      </c>
      <c r="D539" t="inlineStr">
        <is>
          <t>JÖNKÖPINGS LÄN</t>
        </is>
      </c>
      <c r="E539" t="inlineStr">
        <is>
          <t>SÄVSJÖ</t>
        </is>
      </c>
      <c r="G539" t="n">
        <v>4.3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64573-2023</t>
        </is>
      </c>
      <c r="B540" s="1" t="n">
        <v>45281</v>
      </c>
      <c r="C540" s="1" t="n">
        <v>45626</v>
      </c>
      <c r="D540" t="inlineStr">
        <is>
          <t>JÖNKÖPINGS LÄN</t>
        </is>
      </c>
      <c r="E540" t="inlineStr">
        <is>
          <t>SÄVSJÖ</t>
        </is>
      </c>
      <c r="G540" t="n">
        <v>1.7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64667-2023</t>
        </is>
      </c>
      <c r="B541" s="1" t="n">
        <v>45281</v>
      </c>
      <c r="C541" s="1" t="n">
        <v>45626</v>
      </c>
      <c r="D541" t="inlineStr">
        <is>
          <t>JÖNKÖPINGS LÄN</t>
        </is>
      </c>
      <c r="E541" t="inlineStr">
        <is>
          <t>SÄVSJÖ</t>
        </is>
      </c>
      <c r="G541" t="n">
        <v>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303-2024</t>
        </is>
      </c>
      <c r="B542" s="1" t="n">
        <v>45295</v>
      </c>
      <c r="C542" s="1" t="n">
        <v>45626</v>
      </c>
      <c r="D542" t="inlineStr">
        <is>
          <t>JÖNKÖPINGS LÄN</t>
        </is>
      </c>
      <c r="E542" t="inlineStr">
        <is>
          <t>SÄVSJÖ</t>
        </is>
      </c>
      <c r="G542" t="n">
        <v>0.9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899-2024</t>
        </is>
      </c>
      <c r="B543" s="1" t="n">
        <v>45301</v>
      </c>
      <c r="C543" s="1" t="n">
        <v>45626</v>
      </c>
      <c r="D543" t="inlineStr">
        <is>
          <t>JÖNKÖPINGS LÄN</t>
        </is>
      </c>
      <c r="E543" t="inlineStr">
        <is>
          <t>SÄVSJÖ</t>
        </is>
      </c>
      <c r="G543" t="n">
        <v>1.8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908-2024</t>
        </is>
      </c>
      <c r="B544" s="1" t="n">
        <v>45301</v>
      </c>
      <c r="C544" s="1" t="n">
        <v>45626</v>
      </c>
      <c r="D544" t="inlineStr">
        <is>
          <t>JÖNKÖPINGS LÄN</t>
        </is>
      </c>
      <c r="E544" t="inlineStr">
        <is>
          <t>SÄVSJÖ</t>
        </is>
      </c>
      <c r="G544" t="n">
        <v>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910-2024</t>
        </is>
      </c>
      <c r="B545" s="1" t="n">
        <v>45301</v>
      </c>
      <c r="C545" s="1" t="n">
        <v>45626</v>
      </c>
      <c r="D545" t="inlineStr">
        <is>
          <t>JÖNKÖPINGS LÄN</t>
        </is>
      </c>
      <c r="E545" t="inlineStr">
        <is>
          <t>SÄVSJÖ</t>
        </is>
      </c>
      <c r="G545" t="n">
        <v>2.5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907-2024</t>
        </is>
      </c>
      <c r="B546" s="1" t="n">
        <v>45301</v>
      </c>
      <c r="C546" s="1" t="n">
        <v>45626</v>
      </c>
      <c r="D546" t="inlineStr">
        <is>
          <t>JÖNKÖPINGS LÄN</t>
        </is>
      </c>
      <c r="E546" t="inlineStr">
        <is>
          <t>SÄVSJÖ</t>
        </is>
      </c>
      <c r="G546" t="n">
        <v>0.9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1201-2024</t>
        </is>
      </c>
      <c r="B547" s="1" t="n">
        <v>45302</v>
      </c>
      <c r="C547" s="1" t="n">
        <v>45626</v>
      </c>
      <c r="D547" t="inlineStr">
        <is>
          <t>JÖNKÖPINGS LÄN</t>
        </is>
      </c>
      <c r="E547" t="inlineStr">
        <is>
          <t>SÄVSJÖ</t>
        </is>
      </c>
      <c r="G547" t="n">
        <v>2.2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2560-2024</t>
        </is>
      </c>
      <c r="B548" s="1" t="n">
        <v>45313</v>
      </c>
      <c r="C548" s="1" t="n">
        <v>45626</v>
      </c>
      <c r="D548" t="inlineStr">
        <is>
          <t>JÖNKÖPINGS LÄN</t>
        </is>
      </c>
      <c r="E548" t="inlineStr">
        <is>
          <t>SÄVSJÖ</t>
        </is>
      </c>
      <c r="G548" t="n">
        <v>2.8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2715-2024</t>
        </is>
      </c>
      <c r="B549" s="1" t="n">
        <v>45314</v>
      </c>
      <c r="C549" s="1" t="n">
        <v>45626</v>
      </c>
      <c r="D549" t="inlineStr">
        <is>
          <t>JÖNKÖPINGS LÄN</t>
        </is>
      </c>
      <c r="E549" t="inlineStr">
        <is>
          <t>SÄVSJÖ</t>
        </is>
      </c>
      <c r="G549" t="n">
        <v>2.1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2827-2024</t>
        </is>
      </c>
      <c r="B550" s="1" t="n">
        <v>45314</v>
      </c>
      <c r="C550" s="1" t="n">
        <v>45626</v>
      </c>
      <c r="D550" t="inlineStr">
        <is>
          <t>JÖNKÖPINGS LÄN</t>
        </is>
      </c>
      <c r="E550" t="inlineStr">
        <is>
          <t>SÄVSJÖ</t>
        </is>
      </c>
      <c r="G550" t="n">
        <v>1.4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2855-2024</t>
        </is>
      </c>
      <c r="B551" s="1" t="n">
        <v>45315</v>
      </c>
      <c r="C551" s="1" t="n">
        <v>45626</v>
      </c>
      <c r="D551" t="inlineStr">
        <is>
          <t>JÖNKÖPINGS LÄN</t>
        </is>
      </c>
      <c r="E551" t="inlineStr">
        <is>
          <t>SÄVSJÖ</t>
        </is>
      </c>
      <c r="G551" t="n">
        <v>1.2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2868-2024</t>
        </is>
      </c>
      <c r="B552" s="1" t="n">
        <v>45315</v>
      </c>
      <c r="C552" s="1" t="n">
        <v>45626</v>
      </c>
      <c r="D552" t="inlineStr">
        <is>
          <t>JÖNKÖPINGS LÄN</t>
        </is>
      </c>
      <c r="E552" t="inlineStr">
        <is>
          <t>SÄVSJÖ</t>
        </is>
      </c>
      <c r="G552" t="n">
        <v>2.9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2854-2024</t>
        </is>
      </c>
      <c r="B553" s="1" t="n">
        <v>45315</v>
      </c>
      <c r="C553" s="1" t="n">
        <v>45626</v>
      </c>
      <c r="D553" t="inlineStr">
        <is>
          <t>JÖNKÖPINGS LÄN</t>
        </is>
      </c>
      <c r="E553" t="inlineStr">
        <is>
          <t>SÄVSJÖ</t>
        </is>
      </c>
      <c r="G553" t="n">
        <v>3.5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2860-2024</t>
        </is>
      </c>
      <c r="B554" s="1" t="n">
        <v>45315</v>
      </c>
      <c r="C554" s="1" t="n">
        <v>45626</v>
      </c>
      <c r="D554" t="inlineStr">
        <is>
          <t>JÖNKÖPINGS LÄN</t>
        </is>
      </c>
      <c r="E554" t="inlineStr">
        <is>
          <t>SÄVSJÖ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2856-2024</t>
        </is>
      </c>
      <c r="B555" s="1" t="n">
        <v>45315</v>
      </c>
      <c r="C555" s="1" t="n">
        <v>45626</v>
      </c>
      <c r="D555" t="inlineStr">
        <is>
          <t>JÖNKÖPINGS LÄN</t>
        </is>
      </c>
      <c r="E555" t="inlineStr">
        <is>
          <t>SÄVSJÖ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3306-2024</t>
        </is>
      </c>
      <c r="B556" s="1" t="n">
        <v>45317</v>
      </c>
      <c r="C556" s="1" t="n">
        <v>45626</v>
      </c>
      <c r="D556" t="inlineStr">
        <is>
          <t>JÖNKÖPINGS LÄN</t>
        </is>
      </c>
      <c r="E556" t="inlineStr">
        <is>
          <t>SÄVSJÖ</t>
        </is>
      </c>
      <c r="G556" t="n">
        <v>19.9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3599-2024</t>
        </is>
      </c>
      <c r="B557" s="1" t="n">
        <v>45320</v>
      </c>
      <c r="C557" s="1" t="n">
        <v>45626</v>
      </c>
      <c r="D557" t="inlineStr">
        <is>
          <t>JÖNKÖPINGS LÄN</t>
        </is>
      </c>
      <c r="E557" t="inlineStr">
        <is>
          <t>SÄVSJÖ</t>
        </is>
      </c>
      <c r="G557" t="n">
        <v>0.5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3600-2024</t>
        </is>
      </c>
      <c r="B558" s="1" t="n">
        <v>45320</v>
      </c>
      <c r="C558" s="1" t="n">
        <v>45626</v>
      </c>
      <c r="D558" t="inlineStr">
        <is>
          <t>JÖNKÖPINGS LÄN</t>
        </is>
      </c>
      <c r="E558" t="inlineStr">
        <is>
          <t>SÄVSJÖ</t>
        </is>
      </c>
      <c r="G558" t="n">
        <v>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3598-2024</t>
        </is>
      </c>
      <c r="B559" s="1" t="n">
        <v>45320</v>
      </c>
      <c r="C559" s="1" t="n">
        <v>45626</v>
      </c>
      <c r="D559" t="inlineStr">
        <is>
          <t>JÖNKÖPINGS LÄN</t>
        </is>
      </c>
      <c r="E559" t="inlineStr">
        <is>
          <t>SÄVSJÖ</t>
        </is>
      </c>
      <c r="G559" t="n">
        <v>0.5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3662-2024</t>
        </is>
      </c>
      <c r="B560" s="1" t="n">
        <v>45321</v>
      </c>
      <c r="C560" s="1" t="n">
        <v>45626</v>
      </c>
      <c r="D560" t="inlineStr">
        <is>
          <t>JÖNKÖPINGS LÄN</t>
        </is>
      </c>
      <c r="E560" t="inlineStr">
        <is>
          <t>SÄVSJÖ</t>
        </is>
      </c>
      <c r="G560" t="n">
        <v>0.8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4215-2024</t>
        </is>
      </c>
      <c r="B561" s="1" t="n">
        <v>45324</v>
      </c>
      <c r="C561" s="1" t="n">
        <v>45626</v>
      </c>
      <c r="D561" t="inlineStr">
        <is>
          <t>JÖNKÖPINGS LÄN</t>
        </is>
      </c>
      <c r="E561" t="inlineStr">
        <is>
          <t>SÄVSJÖ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4687-2024</t>
        </is>
      </c>
      <c r="B562" s="1" t="n">
        <v>45328</v>
      </c>
      <c r="C562" s="1" t="n">
        <v>45626</v>
      </c>
      <c r="D562" t="inlineStr">
        <is>
          <t>JÖNKÖPINGS LÄN</t>
        </is>
      </c>
      <c r="E562" t="inlineStr">
        <is>
          <t>SÄVSJÖ</t>
        </is>
      </c>
      <c r="G562" t="n">
        <v>2.8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4911-2024</t>
        </is>
      </c>
      <c r="B563" s="1" t="n">
        <v>45329</v>
      </c>
      <c r="C563" s="1" t="n">
        <v>45626</v>
      </c>
      <c r="D563" t="inlineStr">
        <is>
          <t>JÖNKÖPINGS LÄN</t>
        </is>
      </c>
      <c r="E563" t="inlineStr">
        <is>
          <t>SÄVSJÖ</t>
        </is>
      </c>
      <c r="G563" t="n">
        <v>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5676-2024</t>
        </is>
      </c>
      <c r="B564" s="1" t="n">
        <v>45334</v>
      </c>
      <c r="C564" s="1" t="n">
        <v>45626</v>
      </c>
      <c r="D564" t="inlineStr">
        <is>
          <t>JÖNKÖPINGS LÄN</t>
        </is>
      </c>
      <c r="E564" t="inlineStr">
        <is>
          <t>SÄVSJÖ</t>
        </is>
      </c>
      <c r="G564" t="n">
        <v>1.3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5671-2024</t>
        </is>
      </c>
      <c r="B565" s="1" t="n">
        <v>45334</v>
      </c>
      <c r="C565" s="1" t="n">
        <v>45626</v>
      </c>
      <c r="D565" t="inlineStr">
        <is>
          <t>JÖNKÖPINGS LÄN</t>
        </is>
      </c>
      <c r="E565" t="inlineStr">
        <is>
          <t>SÄVSJÖ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5679-2024</t>
        </is>
      </c>
      <c r="B566" s="1" t="n">
        <v>45334</v>
      </c>
      <c r="C566" s="1" t="n">
        <v>45626</v>
      </c>
      <c r="D566" t="inlineStr">
        <is>
          <t>JÖNKÖPINGS LÄN</t>
        </is>
      </c>
      <c r="E566" t="inlineStr">
        <is>
          <t>SÄVSJÖ</t>
        </is>
      </c>
      <c r="G566" t="n">
        <v>3.7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5673-2024</t>
        </is>
      </c>
      <c r="B567" s="1" t="n">
        <v>45334</v>
      </c>
      <c r="C567" s="1" t="n">
        <v>45626</v>
      </c>
      <c r="D567" t="inlineStr">
        <is>
          <t>JÖNKÖPINGS LÄN</t>
        </is>
      </c>
      <c r="E567" t="inlineStr">
        <is>
          <t>SÄVSJÖ</t>
        </is>
      </c>
      <c r="G567" t="n">
        <v>0.7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6414-2024</t>
        </is>
      </c>
      <c r="B568" s="1" t="n">
        <v>45338</v>
      </c>
      <c r="C568" s="1" t="n">
        <v>45626</v>
      </c>
      <c r="D568" t="inlineStr">
        <is>
          <t>JÖNKÖPINGS LÄN</t>
        </is>
      </c>
      <c r="E568" t="inlineStr">
        <is>
          <t>SÄVSJÖ</t>
        </is>
      </c>
      <c r="G568" t="n">
        <v>2.2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6292-2024</t>
        </is>
      </c>
      <c r="B569" s="1" t="n">
        <v>45338</v>
      </c>
      <c r="C569" s="1" t="n">
        <v>45626</v>
      </c>
      <c r="D569" t="inlineStr">
        <is>
          <t>JÖNKÖPINGS LÄN</t>
        </is>
      </c>
      <c r="E569" t="inlineStr">
        <is>
          <t>SÄVSJÖ</t>
        </is>
      </c>
      <c r="G569" t="n">
        <v>3.2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6649-2024</t>
        </is>
      </c>
      <c r="B570" s="1" t="n">
        <v>45341</v>
      </c>
      <c r="C570" s="1" t="n">
        <v>45626</v>
      </c>
      <c r="D570" t="inlineStr">
        <is>
          <t>JÖNKÖPINGS LÄN</t>
        </is>
      </c>
      <c r="E570" t="inlineStr">
        <is>
          <t>SÄVSJÖ</t>
        </is>
      </c>
      <c r="G570" t="n">
        <v>0.6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6744-2024</t>
        </is>
      </c>
      <c r="B571" s="1" t="n">
        <v>45342</v>
      </c>
      <c r="C571" s="1" t="n">
        <v>45626</v>
      </c>
      <c r="D571" t="inlineStr">
        <is>
          <t>JÖNKÖPINGS LÄN</t>
        </is>
      </c>
      <c r="E571" t="inlineStr">
        <is>
          <t>SÄVSJÖ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6747-2024</t>
        </is>
      </c>
      <c r="B572" s="1" t="n">
        <v>45342</v>
      </c>
      <c r="C572" s="1" t="n">
        <v>45626</v>
      </c>
      <c r="D572" t="inlineStr">
        <is>
          <t>JÖNKÖPINGS LÄN</t>
        </is>
      </c>
      <c r="E572" t="inlineStr">
        <is>
          <t>SÄVSJÖ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7391-2024</t>
        </is>
      </c>
      <c r="B573" s="1" t="n">
        <v>45345</v>
      </c>
      <c r="C573" s="1" t="n">
        <v>45626</v>
      </c>
      <c r="D573" t="inlineStr">
        <is>
          <t>JÖNKÖPINGS LÄN</t>
        </is>
      </c>
      <c r="E573" t="inlineStr">
        <is>
          <t>SÄVSJÖ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7422-2024</t>
        </is>
      </c>
      <c r="B574" s="1" t="n">
        <v>45345</v>
      </c>
      <c r="C574" s="1" t="n">
        <v>45626</v>
      </c>
      <c r="D574" t="inlineStr">
        <is>
          <t>JÖNKÖPINGS LÄN</t>
        </is>
      </c>
      <c r="E574" t="inlineStr">
        <is>
          <t>SÄVSJÖ</t>
        </is>
      </c>
      <c r="F574" t="inlineStr">
        <is>
          <t>Kyrkan</t>
        </is>
      </c>
      <c r="G574" t="n">
        <v>3.4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7432-2024</t>
        </is>
      </c>
      <c r="B575" s="1" t="n">
        <v>45345</v>
      </c>
      <c r="C575" s="1" t="n">
        <v>45626</v>
      </c>
      <c r="D575" t="inlineStr">
        <is>
          <t>JÖNKÖPINGS LÄN</t>
        </is>
      </c>
      <c r="E575" t="inlineStr">
        <is>
          <t>SÄVSJÖ</t>
        </is>
      </c>
      <c r="F575" t="inlineStr">
        <is>
          <t>Kyrkan</t>
        </is>
      </c>
      <c r="G575" t="n">
        <v>0.8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7529-2024</t>
        </is>
      </c>
      <c r="B576" s="1" t="n">
        <v>45348</v>
      </c>
      <c r="C576" s="1" t="n">
        <v>45626</v>
      </c>
      <c r="D576" t="inlineStr">
        <is>
          <t>JÖNKÖPINGS LÄN</t>
        </is>
      </c>
      <c r="E576" t="inlineStr">
        <is>
          <t>SÄVSJÖ</t>
        </is>
      </c>
      <c r="F576" t="inlineStr">
        <is>
          <t>Kyrkan</t>
        </is>
      </c>
      <c r="G576" t="n">
        <v>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7917-2024</t>
        </is>
      </c>
      <c r="B577" s="1" t="n">
        <v>45350</v>
      </c>
      <c r="C577" s="1" t="n">
        <v>45626</v>
      </c>
      <c r="D577" t="inlineStr">
        <is>
          <t>JÖNKÖPINGS LÄN</t>
        </is>
      </c>
      <c r="E577" t="inlineStr">
        <is>
          <t>SÄVSJÖ</t>
        </is>
      </c>
      <c r="G577" t="n">
        <v>0.4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8373-2024</t>
        </is>
      </c>
      <c r="B578" s="1" t="n">
        <v>45352</v>
      </c>
      <c r="C578" s="1" t="n">
        <v>45626</v>
      </c>
      <c r="D578" t="inlineStr">
        <is>
          <t>JÖNKÖPINGS LÄN</t>
        </is>
      </c>
      <c r="E578" t="inlineStr">
        <is>
          <t>SÄVSJÖ</t>
        </is>
      </c>
      <c r="G578" t="n">
        <v>0.6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8536-2024</t>
        </is>
      </c>
      <c r="B579" s="1" t="n">
        <v>45355</v>
      </c>
      <c r="C579" s="1" t="n">
        <v>45626</v>
      </c>
      <c r="D579" t="inlineStr">
        <is>
          <t>JÖNKÖPINGS LÄN</t>
        </is>
      </c>
      <c r="E579" t="inlineStr">
        <is>
          <t>SÄVSJÖ</t>
        </is>
      </c>
      <c r="G579" t="n">
        <v>6.5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8572-2024</t>
        </is>
      </c>
      <c r="B580" s="1" t="n">
        <v>45355</v>
      </c>
      <c r="C580" s="1" t="n">
        <v>45626</v>
      </c>
      <c r="D580" t="inlineStr">
        <is>
          <t>JÖNKÖPINGS LÄN</t>
        </is>
      </c>
      <c r="E580" t="inlineStr">
        <is>
          <t>SÄVSJÖ</t>
        </is>
      </c>
      <c r="G580" t="n">
        <v>0.8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10050-2024</t>
        </is>
      </c>
      <c r="B581" s="1" t="n">
        <v>45364</v>
      </c>
      <c r="C581" s="1" t="n">
        <v>45626</v>
      </c>
      <c r="D581" t="inlineStr">
        <is>
          <t>JÖNKÖPINGS LÄN</t>
        </is>
      </c>
      <c r="E581" t="inlineStr">
        <is>
          <t>SÄVSJÖ</t>
        </is>
      </c>
      <c r="G581" t="n">
        <v>1.6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10284-2024</t>
        </is>
      </c>
      <c r="B582" s="1" t="n">
        <v>45365</v>
      </c>
      <c r="C582" s="1" t="n">
        <v>45626</v>
      </c>
      <c r="D582" t="inlineStr">
        <is>
          <t>JÖNKÖPINGS LÄN</t>
        </is>
      </c>
      <c r="E582" t="inlineStr">
        <is>
          <t>SÄVSJÖ</t>
        </is>
      </c>
      <c r="G582" t="n">
        <v>1.9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10367-2024</t>
        </is>
      </c>
      <c r="B583" s="1" t="n">
        <v>45365</v>
      </c>
      <c r="C583" s="1" t="n">
        <v>45626</v>
      </c>
      <c r="D583" t="inlineStr">
        <is>
          <t>JÖNKÖPINGS LÄN</t>
        </is>
      </c>
      <c r="E583" t="inlineStr">
        <is>
          <t>SÄVSJÖ</t>
        </is>
      </c>
      <c r="G583" t="n">
        <v>1.9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10516-2024</t>
        </is>
      </c>
      <c r="B584" s="1" t="n">
        <v>45366</v>
      </c>
      <c r="C584" s="1" t="n">
        <v>45626</v>
      </c>
      <c r="D584" t="inlineStr">
        <is>
          <t>JÖNKÖPINGS LÄN</t>
        </is>
      </c>
      <c r="E584" t="inlineStr">
        <is>
          <t>SÄVSJÖ</t>
        </is>
      </c>
      <c r="G584" t="n">
        <v>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11011-2024</t>
        </is>
      </c>
      <c r="B585" s="1" t="n">
        <v>45370</v>
      </c>
      <c r="C585" s="1" t="n">
        <v>45626</v>
      </c>
      <c r="D585" t="inlineStr">
        <is>
          <t>JÖNKÖPINGS LÄN</t>
        </is>
      </c>
      <c r="E585" t="inlineStr">
        <is>
          <t>SÄVSJÖ</t>
        </is>
      </c>
      <c r="G585" t="n">
        <v>0.6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11239-2024</t>
        </is>
      </c>
      <c r="B586" s="1" t="n">
        <v>45371</v>
      </c>
      <c r="C586" s="1" t="n">
        <v>45626</v>
      </c>
      <c r="D586" t="inlineStr">
        <is>
          <t>JÖNKÖPINGS LÄN</t>
        </is>
      </c>
      <c r="E586" t="inlineStr">
        <is>
          <t>SÄVSJÖ</t>
        </is>
      </c>
      <c r="G586" t="n">
        <v>0.5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11258-2024</t>
        </is>
      </c>
      <c r="B587" s="1" t="n">
        <v>45371</v>
      </c>
      <c r="C587" s="1" t="n">
        <v>45626</v>
      </c>
      <c r="D587" t="inlineStr">
        <is>
          <t>JÖNKÖPINGS LÄN</t>
        </is>
      </c>
      <c r="E587" t="inlineStr">
        <is>
          <t>SÄVSJÖ</t>
        </is>
      </c>
      <c r="G587" t="n">
        <v>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11266-2024</t>
        </is>
      </c>
      <c r="B588" s="1" t="n">
        <v>45371</v>
      </c>
      <c r="C588" s="1" t="n">
        <v>45626</v>
      </c>
      <c r="D588" t="inlineStr">
        <is>
          <t>JÖNKÖPINGS LÄN</t>
        </is>
      </c>
      <c r="E588" t="inlineStr">
        <is>
          <t>SÄVSJÖ</t>
        </is>
      </c>
      <c r="G588" t="n">
        <v>5.4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11263-2024</t>
        </is>
      </c>
      <c r="B589" s="1" t="n">
        <v>45371</v>
      </c>
      <c r="C589" s="1" t="n">
        <v>45626</v>
      </c>
      <c r="D589" t="inlineStr">
        <is>
          <t>JÖNKÖPINGS LÄN</t>
        </is>
      </c>
      <c r="E589" t="inlineStr">
        <is>
          <t>SÄVSJÖ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11573-2024</t>
        </is>
      </c>
      <c r="B590" s="1" t="n">
        <v>45373</v>
      </c>
      <c r="C590" s="1" t="n">
        <v>45626</v>
      </c>
      <c r="D590" t="inlineStr">
        <is>
          <t>JÖNKÖPINGS LÄN</t>
        </is>
      </c>
      <c r="E590" t="inlineStr">
        <is>
          <t>SÄVSJÖ</t>
        </is>
      </c>
      <c r="G590" t="n">
        <v>1.3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12378-2024</t>
        </is>
      </c>
      <c r="B591" s="1" t="n">
        <v>45379</v>
      </c>
      <c r="C591" s="1" t="n">
        <v>45626</v>
      </c>
      <c r="D591" t="inlineStr">
        <is>
          <t>JÖNKÖPINGS LÄN</t>
        </is>
      </c>
      <c r="E591" t="inlineStr">
        <is>
          <t>SÄVSJÖ</t>
        </is>
      </c>
      <c r="G591" t="n">
        <v>9.5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14948-2024</t>
        </is>
      </c>
      <c r="B592" s="1" t="n">
        <v>45398</v>
      </c>
      <c r="C592" s="1" t="n">
        <v>45626</v>
      </c>
      <c r="D592" t="inlineStr">
        <is>
          <t>JÖNKÖPINGS LÄN</t>
        </is>
      </c>
      <c r="E592" t="inlineStr">
        <is>
          <t>SÄVSJÖ</t>
        </is>
      </c>
      <c r="G592" t="n">
        <v>1.2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15220-2024</t>
        </is>
      </c>
      <c r="B593" s="1" t="n">
        <v>45400</v>
      </c>
      <c r="C593" s="1" t="n">
        <v>45626</v>
      </c>
      <c r="D593" t="inlineStr">
        <is>
          <t>JÖNKÖPINGS LÄN</t>
        </is>
      </c>
      <c r="E593" t="inlineStr">
        <is>
          <t>SÄVSJÖ</t>
        </is>
      </c>
      <c r="G593" t="n">
        <v>2.5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16379-2024</t>
        </is>
      </c>
      <c r="B594" s="1" t="n">
        <v>45407</v>
      </c>
      <c r="C594" s="1" t="n">
        <v>45626</v>
      </c>
      <c r="D594" t="inlineStr">
        <is>
          <t>JÖNKÖPINGS LÄN</t>
        </is>
      </c>
      <c r="E594" t="inlineStr">
        <is>
          <t>SÄVSJÖ</t>
        </is>
      </c>
      <c r="G594" t="n">
        <v>1.9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16365-2024</t>
        </is>
      </c>
      <c r="B595" s="1" t="n">
        <v>45407</v>
      </c>
      <c r="C595" s="1" t="n">
        <v>45626</v>
      </c>
      <c r="D595" t="inlineStr">
        <is>
          <t>JÖNKÖPINGS LÄN</t>
        </is>
      </c>
      <c r="E595" t="inlineStr">
        <is>
          <t>SÄVSJÖ</t>
        </is>
      </c>
      <c r="G595" t="n">
        <v>2.2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16368-2024</t>
        </is>
      </c>
      <c r="B596" s="1" t="n">
        <v>45407</v>
      </c>
      <c r="C596" s="1" t="n">
        <v>45626</v>
      </c>
      <c r="D596" t="inlineStr">
        <is>
          <t>JÖNKÖPINGS LÄN</t>
        </is>
      </c>
      <c r="E596" t="inlineStr">
        <is>
          <t>SÄVSJÖ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16372-2024</t>
        </is>
      </c>
      <c r="B597" s="1" t="n">
        <v>45407</v>
      </c>
      <c r="C597" s="1" t="n">
        <v>45626</v>
      </c>
      <c r="D597" t="inlineStr">
        <is>
          <t>JÖNKÖPINGS LÄN</t>
        </is>
      </c>
      <c r="E597" t="inlineStr">
        <is>
          <t>SÄVSJÖ</t>
        </is>
      </c>
      <c r="G597" t="n">
        <v>0.5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16724-2024</t>
        </is>
      </c>
      <c r="B598" s="1" t="n">
        <v>45409</v>
      </c>
      <c r="C598" s="1" t="n">
        <v>45626</v>
      </c>
      <c r="D598" t="inlineStr">
        <is>
          <t>JÖNKÖPINGS LÄN</t>
        </is>
      </c>
      <c r="E598" t="inlineStr">
        <is>
          <t>SÄVSJÖ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16723-2024</t>
        </is>
      </c>
      <c r="B599" s="1" t="n">
        <v>45409</v>
      </c>
      <c r="C599" s="1" t="n">
        <v>45626</v>
      </c>
      <c r="D599" t="inlineStr">
        <is>
          <t>JÖNKÖPINGS LÄN</t>
        </is>
      </c>
      <c r="E599" t="inlineStr">
        <is>
          <t>SÄVSJÖ</t>
        </is>
      </c>
      <c r="G599" t="n">
        <v>0.5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16842-2024</t>
        </is>
      </c>
      <c r="B600" s="1" t="n">
        <v>45411</v>
      </c>
      <c r="C600" s="1" t="n">
        <v>45626</v>
      </c>
      <c r="D600" t="inlineStr">
        <is>
          <t>JÖNKÖPINGS LÄN</t>
        </is>
      </c>
      <c r="E600" t="inlineStr">
        <is>
          <t>SÄVSJÖ</t>
        </is>
      </c>
      <c r="G600" t="n">
        <v>0.9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17127-2024</t>
        </is>
      </c>
      <c r="B601" s="1" t="n">
        <v>45412</v>
      </c>
      <c r="C601" s="1" t="n">
        <v>45626</v>
      </c>
      <c r="D601" t="inlineStr">
        <is>
          <t>JÖNKÖPINGS LÄN</t>
        </is>
      </c>
      <c r="E601" t="inlineStr">
        <is>
          <t>SÄVSJÖ</t>
        </is>
      </c>
      <c r="G601" t="n">
        <v>1.1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17308-2024</t>
        </is>
      </c>
      <c r="B602" s="1" t="n">
        <v>45414</v>
      </c>
      <c r="C602" s="1" t="n">
        <v>45626</v>
      </c>
      <c r="D602" t="inlineStr">
        <is>
          <t>JÖNKÖPINGS LÄN</t>
        </is>
      </c>
      <c r="E602" t="inlineStr">
        <is>
          <t>SÄVSJÖ</t>
        </is>
      </c>
      <c r="G602" t="n">
        <v>1.5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17679-2024</t>
        </is>
      </c>
      <c r="B603" s="1" t="n">
        <v>45418</v>
      </c>
      <c r="C603" s="1" t="n">
        <v>45626</v>
      </c>
      <c r="D603" t="inlineStr">
        <is>
          <t>JÖNKÖPINGS LÄN</t>
        </is>
      </c>
      <c r="E603" t="inlineStr">
        <is>
          <t>SÄVSJÖ</t>
        </is>
      </c>
      <c r="G603" t="n">
        <v>1.4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17859-2024</t>
        </is>
      </c>
      <c r="B604" s="1" t="n">
        <v>45419</v>
      </c>
      <c r="C604" s="1" t="n">
        <v>45626</v>
      </c>
      <c r="D604" t="inlineStr">
        <is>
          <t>JÖNKÖPINGS LÄN</t>
        </is>
      </c>
      <c r="E604" t="inlineStr">
        <is>
          <t>SÄVSJÖ</t>
        </is>
      </c>
      <c r="G604" t="n">
        <v>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17883-2024</t>
        </is>
      </c>
      <c r="B605" s="1" t="n">
        <v>45419</v>
      </c>
      <c r="C605" s="1" t="n">
        <v>45626</v>
      </c>
      <c r="D605" t="inlineStr">
        <is>
          <t>JÖNKÖPINGS LÄN</t>
        </is>
      </c>
      <c r="E605" t="inlineStr">
        <is>
          <t>SÄVSJÖ</t>
        </is>
      </c>
      <c r="G605" t="n">
        <v>1.4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18063-2024</t>
        </is>
      </c>
      <c r="B606" s="1" t="n">
        <v>45420</v>
      </c>
      <c r="C606" s="1" t="n">
        <v>45626</v>
      </c>
      <c r="D606" t="inlineStr">
        <is>
          <t>JÖNKÖPINGS LÄN</t>
        </is>
      </c>
      <c r="E606" t="inlineStr">
        <is>
          <t>SÄVSJÖ</t>
        </is>
      </c>
      <c r="G606" t="n">
        <v>2.5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18476-2024</t>
        </is>
      </c>
      <c r="B607" s="1" t="n">
        <v>45425</v>
      </c>
      <c r="C607" s="1" t="n">
        <v>45626</v>
      </c>
      <c r="D607" t="inlineStr">
        <is>
          <t>JÖNKÖPINGS LÄN</t>
        </is>
      </c>
      <c r="E607" t="inlineStr">
        <is>
          <t>SÄVSJÖ</t>
        </is>
      </c>
      <c r="G607" t="n">
        <v>0.6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18697-2024</t>
        </is>
      </c>
      <c r="B608" s="1" t="n">
        <v>45426</v>
      </c>
      <c r="C608" s="1" t="n">
        <v>45626</v>
      </c>
      <c r="D608" t="inlineStr">
        <is>
          <t>JÖNKÖPINGS LÄN</t>
        </is>
      </c>
      <c r="E608" t="inlineStr">
        <is>
          <t>SÄVSJÖ</t>
        </is>
      </c>
      <c r="G608" t="n">
        <v>6.5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18978-2024</t>
        </is>
      </c>
      <c r="B609" s="1" t="n">
        <v>45427</v>
      </c>
      <c r="C609" s="1" t="n">
        <v>45626</v>
      </c>
      <c r="D609" t="inlineStr">
        <is>
          <t>JÖNKÖPINGS LÄN</t>
        </is>
      </c>
      <c r="E609" t="inlineStr">
        <is>
          <t>SÄVSJÖ</t>
        </is>
      </c>
      <c r="G609" t="n">
        <v>0.9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18975-2024</t>
        </is>
      </c>
      <c r="B610" s="1" t="n">
        <v>45427</v>
      </c>
      <c r="C610" s="1" t="n">
        <v>45626</v>
      </c>
      <c r="D610" t="inlineStr">
        <is>
          <t>JÖNKÖPINGS LÄN</t>
        </is>
      </c>
      <c r="E610" t="inlineStr">
        <is>
          <t>SÄVSJÖ</t>
        </is>
      </c>
      <c r="G610" t="n">
        <v>1.3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19856-2024</t>
        </is>
      </c>
      <c r="B611" s="1" t="n">
        <v>45433</v>
      </c>
      <c r="C611" s="1" t="n">
        <v>45626</v>
      </c>
      <c r="D611" t="inlineStr">
        <is>
          <t>JÖNKÖPINGS LÄN</t>
        </is>
      </c>
      <c r="E611" t="inlineStr">
        <is>
          <t>SÄVSJÖ</t>
        </is>
      </c>
      <c r="G611" t="n">
        <v>3.7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19862-2024</t>
        </is>
      </c>
      <c r="B612" s="1" t="n">
        <v>45433</v>
      </c>
      <c r="C612" s="1" t="n">
        <v>45626</v>
      </c>
      <c r="D612" t="inlineStr">
        <is>
          <t>JÖNKÖPINGS LÄN</t>
        </is>
      </c>
      <c r="E612" t="inlineStr">
        <is>
          <t>SÄVSJÖ</t>
        </is>
      </c>
      <c r="G612" t="n">
        <v>1.9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20048-2024</t>
        </is>
      </c>
      <c r="B613" s="1" t="n">
        <v>45434</v>
      </c>
      <c r="C613" s="1" t="n">
        <v>45626</v>
      </c>
      <c r="D613" t="inlineStr">
        <is>
          <t>JÖNKÖPINGS LÄN</t>
        </is>
      </c>
      <c r="E613" t="inlineStr">
        <is>
          <t>SÄVSJÖ</t>
        </is>
      </c>
      <c r="G613" t="n">
        <v>2.7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20570-2024</t>
        </is>
      </c>
      <c r="B614" s="1" t="n">
        <v>45436</v>
      </c>
      <c r="C614" s="1" t="n">
        <v>45626</v>
      </c>
      <c r="D614" t="inlineStr">
        <is>
          <t>JÖNKÖPINGS LÄN</t>
        </is>
      </c>
      <c r="E614" t="inlineStr">
        <is>
          <t>SÄVSJÖ</t>
        </is>
      </c>
      <c r="G614" t="n">
        <v>1.5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22394-2024</t>
        </is>
      </c>
      <c r="B615" s="1" t="n">
        <v>45446</v>
      </c>
      <c r="C615" s="1" t="n">
        <v>45626</v>
      </c>
      <c r="D615" t="inlineStr">
        <is>
          <t>JÖNKÖPINGS LÄN</t>
        </is>
      </c>
      <c r="E615" t="inlineStr">
        <is>
          <t>SÄVSJÖ</t>
        </is>
      </c>
      <c r="G615" t="n">
        <v>1.2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22224-2024</t>
        </is>
      </c>
      <c r="B616" s="1" t="n">
        <v>45446</v>
      </c>
      <c r="C616" s="1" t="n">
        <v>45626</v>
      </c>
      <c r="D616" t="inlineStr">
        <is>
          <t>JÖNKÖPINGS LÄN</t>
        </is>
      </c>
      <c r="E616" t="inlineStr">
        <is>
          <t>SÄVSJÖ</t>
        </is>
      </c>
      <c r="G616" t="n">
        <v>6.3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22222-2024</t>
        </is>
      </c>
      <c r="B617" s="1" t="n">
        <v>45446</v>
      </c>
      <c r="C617" s="1" t="n">
        <v>45626</v>
      </c>
      <c r="D617" t="inlineStr">
        <is>
          <t>JÖNKÖPINGS LÄN</t>
        </is>
      </c>
      <c r="E617" t="inlineStr">
        <is>
          <t>SÄVSJÖ</t>
        </is>
      </c>
      <c r="G617" t="n">
        <v>5.3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22733-2024</t>
        </is>
      </c>
      <c r="B618" s="1" t="n">
        <v>45448</v>
      </c>
      <c r="C618" s="1" t="n">
        <v>45626</v>
      </c>
      <c r="D618" t="inlineStr">
        <is>
          <t>JÖNKÖPINGS LÄN</t>
        </is>
      </c>
      <c r="E618" t="inlineStr">
        <is>
          <t>SÄVSJÖ</t>
        </is>
      </c>
      <c r="G618" t="n">
        <v>2.2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22730-2024</t>
        </is>
      </c>
      <c r="B619" s="1" t="n">
        <v>45448</v>
      </c>
      <c r="C619" s="1" t="n">
        <v>45626</v>
      </c>
      <c r="D619" t="inlineStr">
        <is>
          <t>JÖNKÖPINGS LÄN</t>
        </is>
      </c>
      <c r="E619" t="inlineStr">
        <is>
          <t>SÄVSJÖ</t>
        </is>
      </c>
      <c r="G619" t="n">
        <v>1.8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22953-2024</t>
        </is>
      </c>
      <c r="B620" s="1" t="n">
        <v>45449</v>
      </c>
      <c r="C620" s="1" t="n">
        <v>45626</v>
      </c>
      <c r="D620" t="inlineStr">
        <is>
          <t>JÖNKÖPINGS LÄN</t>
        </is>
      </c>
      <c r="E620" t="inlineStr">
        <is>
          <t>SÄVSJÖ</t>
        </is>
      </c>
      <c r="G620" t="n">
        <v>4.6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23465-2024</t>
        </is>
      </c>
      <c r="B621" s="1" t="n">
        <v>45453</v>
      </c>
      <c r="C621" s="1" t="n">
        <v>45626</v>
      </c>
      <c r="D621" t="inlineStr">
        <is>
          <t>JÖNKÖPINGS LÄN</t>
        </is>
      </c>
      <c r="E621" t="inlineStr">
        <is>
          <t>SÄVSJÖ</t>
        </is>
      </c>
      <c r="G621" t="n">
        <v>1.6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23637-2024</t>
        </is>
      </c>
      <c r="B622" s="1" t="n">
        <v>45454</v>
      </c>
      <c r="C622" s="1" t="n">
        <v>45626</v>
      </c>
      <c r="D622" t="inlineStr">
        <is>
          <t>JÖNKÖPINGS LÄN</t>
        </is>
      </c>
      <c r="E622" t="inlineStr">
        <is>
          <t>SÄVSJÖ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23885-2024</t>
        </is>
      </c>
      <c r="B623" s="1" t="n">
        <v>45455</v>
      </c>
      <c r="C623" s="1" t="n">
        <v>45626</v>
      </c>
      <c r="D623" t="inlineStr">
        <is>
          <t>JÖNKÖPINGS LÄN</t>
        </is>
      </c>
      <c r="E623" t="inlineStr">
        <is>
          <t>SÄVSJÖ</t>
        </is>
      </c>
      <c r="G623" t="n">
        <v>0.7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24703-2024</t>
        </is>
      </c>
      <c r="B624" s="1" t="n">
        <v>45460</v>
      </c>
      <c r="C624" s="1" t="n">
        <v>45626</v>
      </c>
      <c r="D624" t="inlineStr">
        <is>
          <t>JÖNKÖPINGS LÄN</t>
        </is>
      </c>
      <c r="E624" t="inlineStr">
        <is>
          <t>SÄVSJÖ</t>
        </is>
      </c>
      <c r="G624" t="n">
        <v>1.2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24709-2024</t>
        </is>
      </c>
      <c r="B625" s="1" t="n">
        <v>45460</v>
      </c>
      <c r="C625" s="1" t="n">
        <v>45626</v>
      </c>
      <c r="D625" t="inlineStr">
        <is>
          <t>JÖNKÖPINGS LÄN</t>
        </is>
      </c>
      <c r="E625" t="inlineStr">
        <is>
          <t>SÄVSJÖ</t>
        </is>
      </c>
      <c r="G625" t="n">
        <v>1.4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24555-2024</t>
        </is>
      </c>
      <c r="B626" s="1" t="n">
        <v>45460</v>
      </c>
      <c r="C626" s="1" t="n">
        <v>45626</v>
      </c>
      <c r="D626" t="inlineStr">
        <is>
          <t>JÖNKÖPINGS LÄN</t>
        </is>
      </c>
      <c r="E626" t="inlineStr">
        <is>
          <t>SÄVSJÖ</t>
        </is>
      </c>
      <c r="G626" t="n">
        <v>1.7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24714-2024</t>
        </is>
      </c>
      <c r="B627" s="1" t="n">
        <v>45460</v>
      </c>
      <c r="C627" s="1" t="n">
        <v>45626</v>
      </c>
      <c r="D627" t="inlineStr">
        <is>
          <t>JÖNKÖPINGS LÄN</t>
        </is>
      </c>
      <c r="E627" t="inlineStr">
        <is>
          <t>SÄVSJÖ</t>
        </is>
      </c>
      <c r="G627" t="n">
        <v>0.6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24702-2024</t>
        </is>
      </c>
      <c r="B628" s="1" t="n">
        <v>45460</v>
      </c>
      <c r="C628" s="1" t="n">
        <v>45626</v>
      </c>
      <c r="D628" t="inlineStr">
        <is>
          <t>JÖNKÖPINGS LÄN</t>
        </is>
      </c>
      <c r="E628" t="inlineStr">
        <is>
          <t>SÄVSJÖ</t>
        </is>
      </c>
      <c r="G628" t="n">
        <v>5.6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26380-2024</t>
        </is>
      </c>
      <c r="B629" s="1" t="n">
        <v>45469</v>
      </c>
      <c r="C629" s="1" t="n">
        <v>45626</v>
      </c>
      <c r="D629" t="inlineStr">
        <is>
          <t>JÖNKÖPINGS LÄN</t>
        </is>
      </c>
      <c r="E629" t="inlineStr">
        <is>
          <t>SÄVSJÖ</t>
        </is>
      </c>
      <c r="G629" t="n">
        <v>2.1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27024-2024</t>
        </is>
      </c>
      <c r="B630" s="1" t="n">
        <v>45471</v>
      </c>
      <c r="C630" s="1" t="n">
        <v>45626</v>
      </c>
      <c r="D630" t="inlineStr">
        <is>
          <t>JÖNKÖPINGS LÄN</t>
        </is>
      </c>
      <c r="E630" t="inlineStr">
        <is>
          <t>SÄVSJÖ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27022-2024</t>
        </is>
      </c>
      <c r="B631" s="1" t="n">
        <v>45471</v>
      </c>
      <c r="C631" s="1" t="n">
        <v>45626</v>
      </c>
      <c r="D631" t="inlineStr">
        <is>
          <t>JÖNKÖPINGS LÄN</t>
        </is>
      </c>
      <c r="E631" t="inlineStr">
        <is>
          <t>SÄVSJÖ</t>
        </is>
      </c>
      <c r="G631" t="n">
        <v>1.6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28128-2024</t>
        </is>
      </c>
      <c r="B632" s="1" t="n">
        <v>45476</v>
      </c>
      <c r="C632" s="1" t="n">
        <v>45626</v>
      </c>
      <c r="D632" t="inlineStr">
        <is>
          <t>JÖNKÖPINGS LÄN</t>
        </is>
      </c>
      <c r="E632" t="inlineStr">
        <is>
          <t>SÄVSJÖ</t>
        </is>
      </c>
      <c r="G632" t="n">
        <v>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28011-2024</t>
        </is>
      </c>
      <c r="B633" s="1" t="n">
        <v>45476</v>
      </c>
      <c r="C633" s="1" t="n">
        <v>45626</v>
      </c>
      <c r="D633" t="inlineStr">
        <is>
          <t>JÖNKÖPINGS LÄN</t>
        </is>
      </c>
      <c r="E633" t="inlineStr">
        <is>
          <t>SÄVSJÖ</t>
        </is>
      </c>
      <c r="G633" t="n">
        <v>2.9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29069-2024</t>
        </is>
      </c>
      <c r="B634" s="1" t="n">
        <v>45481</v>
      </c>
      <c r="C634" s="1" t="n">
        <v>45626</v>
      </c>
      <c r="D634" t="inlineStr">
        <is>
          <t>JÖNKÖPINGS LÄN</t>
        </is>
      </c>
      <c r="E634" t="inlineStr">
        <is>
          <t>SÄVSJÖ</t>
        </is>
      </c>
      <c r="G634" t="n">
        <v>2.1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29070-2024</t>
        </is>
      </c>
      <c r="B635" s="1" t="n">
        <v>45481</v>
      </c>
      <c r="C635" s="1" t="n">
        <v>45626</v>
      </c>
      <c r="D635" t="inlineStr">
        <is>
          <t>JÖNKÖPINGS LÄN</t>
        </is>
      </c>
      <c r="E635" t="inlineStr">
        <is>
          <t>SÄVSJÖ</t>
        </is>
      </c>
      <c r="G635" t="n">
        <v>1.3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30824-2024</t>
        </is>
      </c>
      <c r="B636" s="1" t="n">
        <v>45497</v>
      </c>
      <c r="C636" s="1" t="n">
        <v>45626</v>
      </c>
      <c r="D636" t="inlineStr">
        <is>
          <t>JÖNKÖPINGS LÄN</t>
        </is>
      </c>
      <c r="E636" t="inlineStr">
        <is>
          <t>SÄVSJÖ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31784-2024</t>
        </is>
      </c>
      <c r="B637" s="1" t="n">
        <v>45509</v>
      </c>
      <c r="C637" s="1" t="n">
        <v>45626</v>
      </c>
      <c r="D637" t="inlineStr">
        <is>
          <t>JÖNKÖPINGS LÄN</t>
        </is>
      </c>
      <c r="E637" t="inlineStr">
        <is>
          <t>SÄVSJÖ</t>
        </is>
      </c>
      <c r="G637" t="n">
        <v>1.6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33154-2024</t>
        </is>
      </c>
      <c r="B638" s="1" t="n">
        <v>45518</v>
      </c>
      <c r="C638" s="1" t="n">
        <v>45626</v>
      </c>
      <c r="D638" t="inlineStr">
        <is>
          <t>JÖNKÖPINGS LÄN</t>
        </is>
      </c>
      <c r="E638" t="inlineStr">
        <is>
          <t>SÄVSJÖ</t>
        </is>
      </c>
      <c r="G638" t="n">
        <v>1.1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33377-2024</t>
        </is>
      </c>
      <c r="B639" s="1" t="n">
        <v>45519</v>
      </c>
      <c r="C639" s="1" t="n">
        <v>45626</v>
      </c>
      <c r="D639" t="inlineStr">
        <is>
          <t>JÖNKÖPINGS LÄN</t>
        </is>
      </c>
      <c r="E639" t="inlineStr">
        <is>
          <t>SÄVSJÖ</t>
        </is>
      </c>
      <c r="G639" t="n">
        <v>2.8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33517-2024</t>
        </is>
      </c>
      <c r="B640" s="1" t="n">
        <v>45519</v>
      </c>
      <c r="C640" s="1" t="n">
        <v>45626</v>
      </c>
      <c r="D640" t="inlineStr">
        <is>
          <t>JÖNKÖPINGS LÄN</t>
        </is>
      </c>
      <c r="E640" t="inlineStr">
        <is>
          <t>SÄVSJÖ</t>
        </is>
      </c>
      <c r="G640" t="n">
        <v>11.2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34287-2024</t>
        </is>
      </c>
      <c r="B641" s="1" t="n">
        <v>45524</v>
      </c>
      <c r="C641" s="1" t="n">
        <v>45626</v>
      </c>
      <c r="D641" t="inlineStr">
        <is>
          <t>JÖNKÖPINGS LÄN</t>
        </is>
      </c>
      <c r="E641" t="inlineStr">
        <is>
          <t>SÄVSJÖ</t>
        </is>
      </c>
      <c r="G641" t="n">
        <v>2.3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35159-2024</t>
        </is>
      </c>
      <c r="B642" s="1" t="n">
        <v>45530</v>
      </c>
      <c r="C642" s="1" t="n">
        <v>45626</v>
      </c>
      <c r="D642" t="inlineStr">
        <is>
          <t>JÖNKÖPINGS LÄN</t>
        </is>
      </c>
      <c r="E642" t="inlineStr">
        <is>
          <t>SÄVSJÖ</t>
        </is>
      </c>
      <c r="G642" t="n">
        <v>1.9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35379-2024</t>
        </is>
      </c>
      <c r="B643" s="1" t="n">
        <v>45531</v>
      </c>
      <c r="C643" s="1" t="n">
        <v>45626</v>
      </c>
      <c r="D643" t="inlineStr">
        <is>
          <t>JÖNKÖPINGS LÄN</t>
        </is>
      </c>
      <c r="E643" t="inlineStr">
        <is>
          <t>SÄVSJÖ</t>
        </is>
      </c>
      <c r="G643" t="n">
        <v>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35773-2024</t>
        </is>
      </c>
      <c r="B644" s="1" t="n">
        <v>45532</v>
      </c>
      <c r="C644" s="1" t="n">
        <v>45626</v>
      </c>
      <c r="D644" t="inlineStr">
        <is>
          <t>JÖNKÖPINGS LÄN</t>
        </is>
      </c>
      <c r="E644" t="inlineStr">
        <is>
          <t>SÄVSJÖ</t>
        </is>
      </c>
      <c r="G644" t="n">
        <v>1.7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35843-2024</t>
        </is>
      </c>
      <c r="B645" s="1" t="n">
        <v>45532</v>
      </c>
      <c r="C645" s="1" t="n">
        <v>45626</v>
      </c>
      <c r="D645" t="inlineStr">
        <is>
          <t>JÖNKÖPINGS LÄN</t>
        </is>
      </c>
      <c r="E645" t="inlineStr">
        <is>
          <t>SÄVSJÖ</t>
        </is>
      </c>
      <c r="G645" t="n">
        <v>1.2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36183-2024</t>
        </is>
      </c>
      <c r="B646" s="1" t="n">
        <v>45534</v>
      </c>
      <c r="C646" s="1" t="n">
        <v>45626</v>
      </c>
      <c r="D646" t="inlineStr">
        <is>
          <t>JÖNKÖPINGS LÄN</t>
        </is>
      </c>
      <c r="E646" t="inlineStr">
        <is>
          <t>SÄVSJÖ</t>
        </is>
      </c>
      <c r="G646" t="n">
        <v>2.6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36392-2024</t>
        </is>
      </c>
      <c r="B647" s="1" t="n">
        <v>45534</v>
      </c>
      <c r="C647" s="1" t="n">
        <v>45626</v>
      </c>
      <c r="D647" t="inlineStr">
        <is>
          <t>JÖNKÖPINGS LÄN</t>
        </is>
      </c>
      <c r="E647" t="inlineStr">
        <is>
          <t>SÄVSJÖ</t>
        </is>
      </c>
      <c r="G647" t="n">
        <v>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36390-2024</t>
        </is>
      </c>
      <c r="B648" s="1" t="n">
        <v>45534</v>
      </c>
      <c r="C648" s="1" t="n">
        <v>45626</v>
      </c>
      <c r="D648" t="inlineStr">
        <is>
          <t>JÖNKÖPINGS LÄN</t>
        </is>
      </c>
      <c r="E648" t="inlineStr">
        <is>
          <t>SÄVSJÖ</t>
        </is>
      </c>
      <c r="G648" t="n">
        <v>2.1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36389-2024</t>
        </is>
      </c>
      <c r="B649" s="1" t="n">
        <v>45534</v>
      </c>
      <c r="C649" s="1" t="n">
        <v>45626</v>
      </c>
      <c r="D649" t="inlineStr">
        <is>
          <t>JÖNKÖPINGS LÄN</t>
        </is>
      </c>
      <c r="E649" t="inlineStr">
        <is>
          <t>SÄVSJÖ</t>
        </is>
      </c>
      <c r="G649" t="n">
        <v>0.6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36393-2024</t>
        </is>
      </c>
      <c r="B650" s="1" t="n">
        <v>45534</v>
      </c>
      <c r="C650" s="1" t="n">
        <v>45626</v>
      </c>
      <c r="D650" t="inlineStr">
        <is>
          <t>JÖNKÖPINGS LÄN</t>
        </is>
      </c>
      <c r="E650" t="inlineStr">
        <is>
          <t>SÄVSJÖ</t>
        </is>
      </c>
      <c r="G650" t="n">
        <v>1.3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36391-2024</t>
        </is>
      </c>
      <c r="B651" s="1" t="n">
        <v>45534</v>
      </c>
      <c r="C651" s="1" t="n">
        <v>45626</v>
      </c>
      <c r="D651" t="inlineStr">
        <is>
          <t>JÖNKÖPINGS LÄN</t>
        </is>
      </c>
      <c r="E651" t="inlineStr">
        <is>
          <t>SÄVSJÖ</t>
        </is>
      </c>
      <c r="G651" t="n">
        <v>2.1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37614-2024</t>
        </is>
      </c>
      <c r="B652" s="1" t="n">
        <v>45541</v>
      </c>
      <c r="C652" s="1" t="n">
        <v>45626</v>
      </c>
      <c r="D652" t="inlineStr">
        <is>
          <t>JÖNKÖPINGS LÄN</t>
        </is>
      </c>
      <c r="E652" t="inlineStr">
        <is>
          <t>SÄVSJÖ</t>
        </is>
      </c>
      <c r="G652" t="n">
        <v>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37608-2024</t>
        </is>
      </c>
      <c r="B653" s="1" t="n">
        <v>45541</v>
      </c>
      <c r="C653" s="1" t="n">
        <v>45626</v>
      </c>
      <c r="D653" t="inlineStr">
        <is>
          <t>JÖNKÖPINGS LÄN</t>
        </is>
      </c>
      <c r="E653" t="inlineStr">
        <is>
          <t>SÄVSJÖ</t>
        </is>
      </c>
      <c r="G653" t="n">
        <v>2.4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37611-2024</t>
        </is>
      </c>
      <c r="B654" s="1" t="n">
        <v>45541</v>
      </c>
      <c r="C654" s="1" t="n">
        <v>45626</v>
      </c>
      <c r="D654" t="inlineStr">
        <is>
          <t>JÖNKÖPINGS LÄN</t>
        </is>
      </c>
      <c r="E654" t="inlineStr">
        <is>
          <t>SÄVSJÖ</t>
        </is>
      </c>
      <c r="G654" t="n">
        <v>3.4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37815-2024</t>
        </is>
      </c>
      <c r="B655" s="1" t="n">
        <v>45544</v>
      </c>
      <c r="C655" s="1" t="n">
        <v>45626</v>
      </c>
      <c r="D655" t="inlineStr">
        <is>
          <t>JÖNKÖPINGS LÄN</t>
        </is>
      </c>
      <c r="E655" t="inlineStr">
        <is>
          <t>SÄVSJÖ</t>
        </is>
      </c>
      <c r="G655" t="n">
        <v>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37814-2024</t>
        </is>
      </c>
      <c r="B656" s="1" t="n">
        <v>45544</v>
      </c>
      <c r="C656" s="1" t="n">
        <v>45626</v>
      </c>
      <c r="D656" t="inlineStr">
        <is>
          <t>JÖNKÖPINGS LÄN</t>
        </is>
      </c>
      <c r="E656" t="inlineStr">
        <is>
          <t>SÄVSJÖ</t>
        </is>
      </c>
      <c r="G656" t="n">
        <v>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38390-2024</t>
        </is>
      </c>
      <c r="B657" s="1" t="n">
        <v>45546</v>
      </c>
      <c r="C657" s="1" t="n">
        <v>45626</v>
      </c>
      <c r="D657" t="inlineStr">
        <is>
          <t>JÖNKÖPINGS LÄN</t>
        </is>
      </c>
      <c r="E657" t="inlineStr">
        <is>
          <t>SÄVSJÖ</t>
        </is>
      </c>
      <c r="G657" t="n">
        <v>0.6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38389-2024</t>
        </is>
      </c>
      <c r="B658" s="1" t="n">
        <v>45546</v>
      </c>
      <c r="C658" s="1" t="n">
        <v>45626</v>
      </c>
      <c r="D658" t="inlineStr">
        <is>
          <t>JÖNKÖPINGS LÄN</t>
        </is>
      </c>
      <c r="E658" t="inlineStr">
        <is>
          <t>SÄVSJÖ</t>
        </is>
      </c>
      <c r="G658" t="n">
        <v>1.2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38491-2024</t>
        </is>
      </c>
      <c r="B659" s="1" t="n">
        <v>45546</v>
      </c>
      <c r="C659" s="1" t="n">
        <v>45626</v>
      </c>
      <c r="D659" t="inlineStr">
        <is>
          <t>JÖNKÖPINGS LÄN</t>
        </is>
      </c>
      <c r="E659" t="inlineStr">
        <is>
          <t>SÄVSJÖ</t>
        </is>
      </c>
      <c r="G659" t="n">
        <v>1.2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38813-2024</t>
        </is>
      </c>
      <c r="B660" s="1" t="n">
        <v>45547</v>
      </c>
      <c r="C660" s="1" t="n">
        <v>45626</v>
      </c>
      <c r="D660" t="inlineStr">
        <is>
          <t>JÖNKÖPINGS LÄN</t>
        </is>
      </c>
      <c r="E660" t="inlineStr">
        <is>
          <t>SÄVSJÖ</t>
        </is>
      </c>
      <c r="G660" t="n">
        <v>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38914-2024</t>
        </is>
      </c>
      <c r="B661" s="1" t="n">
        <v>45547</v>
      </c>
      <c r="C661" s="1" t="n">
        <v>45626</v>
      </c>
      <c r="D661" t="inlineStr">
        <is>
          <t>JÖNKÖPINGS LÄN</t>
        </is>
      </c>
      <c r="E661" t="inlineStr">
        <is>
          <t>SÄVSJÖ</t>
        </is>
      </c>
      <c r="G661" t="n">
        <v>1.8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39045-2024</t>
        </is>
      </c>
      <c r="B662" s="1" t="n">
        <v>45548</v>
      </c>
      <c r="C662" s="1" t="n">
        <v>45626</v>
      </c>
      <c r="D662" t="inlineStr">
        <is>
          <t>JÖNKÖPINGS LÄN</t>
        </is>
      </c>
      <c r="E662" t="inlineStr">
        <is>
          <t>SÄVSJÖ</t>
        </is>
      </c>
      <c r="G662" t="n">
        <v>6.2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40082-2024</t>
        </is>
      </c>
      <c r="B663" s="1" t="n">
        <v>45554</v>
      </c>
      <c r="C663" s="1" t="n">
        <v>45626</v>
      </c>
      <c r="D663" t="inlineStr">
        <is>
          <t>JÖNKÖPINGS LÄN</t>
        </is>
      </c>
      <c r="E663" t="inlineStr">
        <is>
          <t>SÄVSJÖ</t>
        </is>
      </c>
      <c r="G663" t="n">
        <v>1.7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40204-2024</t>
        </is>
      </c>
      <c r="B664" s="1" t="n">
        <v>45554</v>
      </c>
      <c r="C664" s="1" t="n">
        <v>45626</v>
      </c>
      <c r="D664" t="inlineStr">
        <is>
          <t>JÖNKÖPINGS LÄN</t>
        </is>
      </c>
      <c r="E664" t="inlineStr">
        <is>
          <t>SÄVSJÖ</t>
        </is>
      </c>
      <c r="G664" t="n">
        <v>2.5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40917-2024</t>
        </is>
      </c>
      <c r="B665" s="1" t="n">
        <v>45558</v>
      </c>
      <c r="C665" s="1" t="n">
        <v>45626</v>
      </c>
      <c r="D665" t="inlineStr">
        <is>
          <t>JÖNKÖPINGS LÄN</t>
        </is>
      </c>
      <c r="E665" t="inlineStr">
        <is>
          <t>SÄVSJÖ</t>
        </is>
      </c>
      <c r="G665" t="n">
        <v>6.9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43446-2024</t>
        </is>
      </c>
      <c r="B666" s="1" t="n">
        <v>45568</v>
      </c>
      <c r="C666" s="1" t="n">
        <v>45626</v>
      </c>
      <c r="D666" t="inlineStr">
        <is>
          <t>JÖNKÖPINGS LÄN</t>
        </is>
      </c>
      <c r="E666" t="inlineStr">
        <is>
          <t>SÄVSJÖ</t>
        </is>
      </c>
      <c r="G666" t="n">
        <v>3.3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43332-2024</t>
        </is>
      </c>
      <c r="B667" s="1" t="n">
        <v>45568</v>
      </c>
      <c r="C667" s="1" t="n">
        <v>45626</v>
      </c>
      <c r="D667" t="inlineStr">
        <is>
          <t>JÖNKÖPINGS LÄN</t>
        </is>
      </c>
      <c r="E667" t="inlineStr">
        <is>
          <t>SÄVSJÖ</t>
        </is>
      </c>
      <c r="G667" t="n">
        <v>1.6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44064-2024</t>
        </is>
      </c>
      <c r="B668" s="1" t="n">
        <v>45572</v>
      </c>
      <c r="C668" s="1" t="n">
        <v>45626</v>
      </c>
      <c r="D668" t="inlineStr">
        <is>
          <t>JÖNKÖPINGS LÄN</t>
        </is>
      </c>
      <c r="E668" t="inlineStr">
        <is>
          <t>SÄVSJÖ</t>
        </is>
      </c>
      <c r="G668" t="n">
        <v>6.4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44077-2024</t>
        </is>
      </c>
      <c r="B669" s="1" t="n">
        <v>45572</v>
      </c>
      <c r="C669" s="1" t="n">
        <v>45626</v>
      </c>
      <c r="D669" t="inlineStr">
        <is>
          <t>JÖNKÖPINGS LÄN</t>
        </is>
      </c>
      <c r="E669" t="inlineStr">
        <is>
          <t>SÄVSJÖ</t>
        </is>
      </c>
      <c r="G669" t="n">
        <v>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44075-2024</t>
        </is>
      </c>
      <c r="B670" s="1" t="n">
        <v>45572</v>
      </c>
      <c r="C670" s="1" t="n">
        <v>45626</v>
      </c>
      <c r="D670" t="inlineStr">
        <is>
          <t>JÖNKÖPINGS LÄN</t>
        </is>
      </c>
      <c r="E670" t="inlineStr">
        <is>
          <t>SÄVSJÖ</t>
        </is>
      </c>
      <c r="G670" t="n">
        <v>5.7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44210-2024</t>
        </is>
      </c>
      <c r="B671" s="1" t="n">
        <v>45573</v>
      </c>
      <c r="C671" s="1" t="n">
        <v>45626</v>
      </c>
      <c r="D671" t="inlineStr">
        <is>
          <t>JÖNKÖPINGS LÄN</t>
        </is>
      </c>
      <c r="E671" t="inlineStr">
        <is>
          <t>SÄVSJÖ</t>
        </is>
      </c>
      <c r="G671" t="n">
        <v>2.7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44397-2024</t>
        </is>
      </c>
      <c r="B672" s="1" t="n">
        <v>45573</v>
      </c>
      <c r="C672" s="1" t="n">
        <v>45626</v>
      </c>
      <c r="D672" t="inlineStr">
        <is>
          <t>JÖNKÖPINGS LÄN</t>
        </is>
      </c>
      <c r="E672" t="inlineStr">
        <is>
          <t>SÄVSJÖ</t>
        </is>
      </c>
      <c r="G672" t="n">
        <v>1.6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44919-2024</t>
        </is>
      </c>
      <c r="B673" s="1" t="n">
        <v>45575</v>
      </c>
      <c r="C673" s="1" t="n">
        <v>45626</v>
      </c>
      <c r="D673" t="inlineStr">
        <is>
          <t>JÖNKÖPINGS LÄN</t>
        </is>
      </c>
      <c r="E673" t="inlineStr">
        <is>
          <t>SÄVSJÖ</t>
        </is>
      </c>
      <c r="G673" t="n">
        <v>4.2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44978-2024</t>
        </is>
      </c>
      <c r="B674" s="1" t="n">
        <v>45575</v>
      </c>
      <c r="C674" s="1" t="n">
        <v>45626</v>
      </c>
      <c r="D674" t="inlineStr">
        <is>
          <t>JÖNKÖPINGS LÄN</t>
        </is>
      </c>
      <c r="E674" t="inlineStr">
        <is>
          <t>SÄVSJÖ</t>
        </is>
      </c>
      <c r="G674" t="n">
        <v>0.8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45780-2024</t>
        </is>
      </c>
      <c r="B675" s="1" t="n">
        <v>45579</v>
      </c>
      <c r="C675" s="1" t="n">
        <v>45626</v>
      </c>
      <c r="D675" t="inlineStr">
        <is>
          <t>JÖNKÖPINGS LÄN</t>
        </is>
      </c>
      <c r="E675" t="inlineStr">
        <is>
          <t>SÄVSJÖ</t>
        </is>
      </c>
      <c r="G675" t="n">
        <v>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46924-2024</t>
        </is>
      </c>
      <c r="B676" s="1" t="n">
        <v>45584</v>
      </c>
      <c r="C676" s="1" t="n">
        <v>45626</v>
      </c>
      <c r="D676" t="inlineStr">
        <is>
          <t>JÖNKÖPINGS LÄN</t>
        </is>
      </c>
      <c r="E676" t="inlineStr">
        <is>
          <t>SÄVSJÖ</t>
        </is>
      </c>
      <c r="G676" t="n">
        <v>2.1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47271-2024</t>
        </is>
      </c>
      <c r="B677" s="1" t="n">
        <v>45586</v>
      </c>
      <c r="C677" s="1" t="n">
        <v>45626</v>
      </c>
      <c r="D677" t="inlineStr">
        <is>
          <t>JÖNKÖPINGS LÄN</t>
        </is>
      </c>
      <c r="E677" t="inlineStr">
        <is>
          <t>SÄVSJÖ</t>
        </is>
      </c>
      <c r="G677" t="n">
        <v>1.6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47411-2024</t>
        </is>
      </c>
      <c r="B678" s="1" t="n">
        <v>45587</v>
      </c>
      <c r="C678" s="1" t="n">
        <v>45626</v>
      </c>
      <c r="D678" t="inlineStr">
        <is>
          <t>JÖNKÖPINGS LÄN</t>
        </is>
      </c>
      <c r="E678" t="inlineStr">
        <is>
          <t>SÄVSJÖ</t>
        </is>
      </c>
      <c r="G678" t="n">
        <v>2.7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47891-2024</t>
        </is>
      </c>
      <c r="B679" s="1" t="n">
        <v>45588</v>
      </c>
      <c r="C679" s="1" t="n">
        <v>45626</v>
      </c>
      <c r="D679" t="inlineStr">
        <is>
          <t>JÖNKÖPINGS LÄN</t>
        </is>
      </c>
      <c r="E679" t="inlineStr">
        <is>
          <t>SÄVSJÖ</t>
        </is>
      </c>
      <c r="G679" t="n">
        <v>3.6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48815-2024</t>
        </is>
      </c>
      <c r="B680" s="1" t="n">
        <v>45593</v>
      </c>
      <c r="C680" s="1" t="n">
        <v>45626</v>
      </c>
      <c r="D680" t="inlineStr">
        <is>
          <t>JÖNKÖPINGS LÄN</t>
        </is>
      </c>
      <c r="E680" t="inlineStr">
        <is>
          <t>SÄVSJÖ</t>
        </is>
      </c>
      <c r="G680" t="n">
        <v>0.7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50491-2024</t>
        </is>
      </c>
      <c r="B681" s="1" t="n">
        <v>45601</v>
      </c>
      <c r="C681" s="1" t="n">
        <v>45626</v>
      </c>
      <c r="D681" t="inlineStr">
        <is>
          <t>JÖNKÖPINGS LÄN</t>
        </is>
      </c>
      <c r="E681" t="inlineStr">
        <is>
          <t>SÄVSJÖ</t>
        </is>
      </c>
      <c r="G681" t="n">
        <v>1.4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50564-2024</t>
        </is>
      </c>
      <c r="B682" s="1" t="n">
        <v>45601</v>
      </c>
      <c r="C682" s="1" t="n">
        <v>45626</v>
      </c>
      <c r="D682" t="inlineStr">
        <is>
          <t>JÖNKÖPINGS LÄN</t>
        </is>
      </c>
      <c r="E682" t="inlineStr">
        <is>
          <t>SÄVSJÖ</t>
        </is>
      </c>
      <c r="G682" t="n">
        <v>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50493-2024</t>
        </is>
      </c>
      <c r="B683" s="1" t="n">
        <v>45601</v>
      </c>
      <c r="C683" s="1" t="n">
        <v>45626</v>
      </c>
      <c r="D683" t="inlineStr">
        <is>
          <t>JÖNKÖPINGS LÄN</t>
        </is>
      </c>
      <c r="E683" t="inlineStr">
        <is>
          <t>SÄVSJÖ</t>
        </is>
      </c>
      <c r="G683" t="n">
        <v>0.4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50722-2024</t>
        </is>
      </c>
      <c r="B684" s="1" t="n">
        <v>45602</v>
      </c>
      <c r="C684" s="1" t="n">
        <v>45626</v>
      </c>
      <c r="D684" t="inlineStr">
        <is>
          <t>JÖNKÖPINGS LÄN</t>
        </is>
      </c>
      <c r="E684" t="inlineStr">
        <is>
          <t>SÄVSJÖ</t>
        </is>
      </c>
      <c r="G684" t="n">
        <v>1.6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50922-2024</t>
        </is>
      </c>
      <c r="B685" s="1" t="n">
        <v>45602</v>
      </c>
      <c r="C685" s="1" t="n">
        <v>45626</v>
      </c>
      <c r="D685" t="inlineStr">
        <is>
          <t>JÖNKÖPINGS LÄN</t>
        </is>
      </c>
      <c r="E685" t="inlineStr">
        <is>
          <t>SÄVSJÖ</t>
        </is>
      </c>
      <c r="G685" t="n">
        <v>1.1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50928-2024</t>
        </is>
      </c>
      <c r="B686" s="1" t="n">
        <v>45602</v>
      </c>
      <c r="C686" s="1" t="n">
        <v>45626</v>
      </c>
      <c r="D686" t="inlineStr">
        <is>
          <t>JÖNKÖPINGS LÄN</t>
        </is>
      </c>
      <c r="E686" t="inlineStr">
        <is>
          <t>SÄVSJÖ</t>
        </is>
      </c>
      <c r="G686" t="n">
        <v>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50923-2024</t>
        </is>
      </c>
      <c r="B687" s="1" t="n">
        <v>45602</v>
      </c>
      <c r="C687" s="1" t="n">
        <v>45626</v>
      </c>
      <c r="D687" t="inlineStr">
        <is>
          <t>JÖNKÖPINGS LÄN</t>
        </is>
      </c>
      <c r="E687" t="inlineStr">
        <is>
          <t>SÄVSJÖ</t>
        </is>
      </c>
      <c r="G687" t="n">
        <v>0.7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51174-2024</t>
        </is>
      </c>
      <c r="B688" s="1" t="n">
        <v>45603</v>
      </c>
      <c r="C688" s="1" t="n">
        <v>45626</v>
      </c>
      <c r="D688" t="inlineStr">
        <is>
          <t>JÖNKÖPINGS LÄN</t>
        </is>
      </c>
      <c r="E688" t="inlineStr">
        <is>
          <t>SÄVSJÖ</t>
        </is>
      </c>
      <c r="G688" t="n">
        <v>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51804-2024</t>
        </is>
      </c>
      <c r="B689" s="1" t="n">
        <v>45607</v>
      </c>
      <c r="C689" s="1" t="n">
        <v>45626</v>
      </c>
      <c r="D689" t="inlineStr">
        <is>
          <t>JÖNKÖPINGS LÄN</t>
        </is>
      </c>
      <c r="E689" t="inlineStr">
        <is>
          <t>SÄVSJÖ</t>
        </is>
      </c>
      <c r="G689" t="n">
        <v>0.6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51809-2024</t>
        </is>
      </c>
      <c r="B690" s="1" t="n">
        <v>45607</v>
      </c>
      <c r="C690" s="1" t="n">
        <v>45626</v>
      </c>
      <c r="D690" t="inlineStr">
        <is>
          <t>JÖNKÖPINGS LÄN</t>
        </is>
      </c>
      <c r="E690" t="inlineStr">
        <is>
          <t>SÄVSJÖ</t>
        </is>
      </c>
      <c r="G690" t="n">
        <v>0.5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51933-2024</t>
        </is>
      </c>
      <c r="B691" s="1" t="n">
        <v>45607</v>
      </c>
      <c r="C691" s="1" t="n">
        <v>45626</v>
      </c>
      <c r="D691" t="inlineStr">
        <is>
          <t>JÖNKÖPINGS LÄN</t>
        </is>
      </c>
      <c r="E691" t="inlineStr">
        <is>
          <t>SÄVSJÖ</t>
        </is>
      </c>
      <c r="G691" t="n">
        <v>0.9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51998-2024</t>
        </is>
      </c>
      <c r="B692" s="1" t="n">
        <v>45607</v>
      </c>
      <c r="C692" s="1" t="n">
        <v>45626</v>
      </c>
      <c r="D692" t="inlineStr">
        <is>
          <t>JÖNKÖPINGS LÄN</t>
        </is>
      </c>
      <c r="E692" t="inlineStr">
        <is>
          <t>SÄVSJÖ</t>
        </is>
      </c>
      <c r="F692" t="inlineStr">
        <is>
          <t>Övriga Aktiebolag</t>
        </is>
      </c>
      <c r="G692" t="n">
        <v>2.9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52020-2024</t>
        </is>
      </c>
      <c r="B693" s="1" t="n">
        <v>45607</v>
      </c>
      <c r="C693" s="1" t="n">
        <v>45626</v>
      </c>
      <c r="D693" t="inlineStr">
        <is>
          <t>JÖNKÖPINGS LÄN</t>
        </is>
      </c>
      <c r="E693" t="inlineStr">
        <is>
          <t>SÄVSJÖ</t>
        </is>
      </c>
      <c r="G693" t="n">
        <v>0.7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51938-2024</t>
        </is>
      </c>
      <c r="B694" s="1" t="n">
        <v>45607</v>
      </c>
      <c r="C694" s="1" t="n">
        <v>45626</v>
      </c>
      <c r="D694" t="inlineStr">
        <is>
          <t>JÖNKÖPINGS LÄN</t>
        </is>
      </c>
      <c r="E694" t="inlineStr">
        <is>
          <t>SÄVSJÖ</t>
        </is>
      </c>
      <c r="G694" t="n">
        <v>5.4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52037-2024</t>
        </is>
      </c>
      <c r="B695" s="1" t="n">
        <v>45608</v>
      </c>
      <c r="C695" s="1" t="n">
        <v>45626</v>
      </c>
      <c r="D695" t="inlineStr">
        <is>
          <t>JÖNKÖPINGS LÄN</t>
        </is>
      </c>
      <c r="E695" t="inlineStr">
        <is>
          <t>SÄVSJÖ</t>
        </is>
      </c>
      <c r="G695" t="n">
        <v>6.2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52965-2024</t>
        </is>
      </c>
      <c r="B696" s="1" t="n">
        <v>45611</v>
      </c>
      <c r="C696" s="1" t="n">
        <v>45626</v>
      </c>
      <c r="D696" t="inlineStr">
        <is>
          <t>JÖNKÖPINGS LÄN</t>
        </is>
      </c>
      <c r="E696" t="inlineStr">
        <is>
          <t>SÄVSJÖ</t>
        </is>
      </c>
      <c r="G696" t="n">
        <v>0.7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53147-2024</t>
        </is>
      </c>
      <c r="B697" s="1" t="n">
        <v>45611</v>
      </c>
      <c r="C697" s="1" t="n">
        <v>45626</v>
      </c>
      <c r="D697" t="inlineStr">
        <is>
          <t>JÖNKÖPINGS LÄN</t>
        </is>
      </c>
      <c r="E697" t="inlineStr">
        <is>
          <t>SÄVSJÖ</t>
        </is>
      </c>
      <c r="G697" t="n">
        <v>2.1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53020-2024</t>
        </is>
      </c>
      <c r="B698" s="1" t="n">
        <v>45611</v>
      </c>
      <c r="C698" s="1" t="n">
        <v>45626</v>
      </c>
      <c r="D698" t="inlineStr">
        <is>
          <t>JÖNKÖPINGS LÄN</t>
        </is>
      </c>
      <c r="E698" t="inlineStr">
        <is>
          <t>SÄVSJÖ</t>
        </is>
      </c>
      <c r="G698" t="n">
        <v>1.8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53154-2024</t>
        </is>
      </c>
      <c r="B699" s="1" t="n">
        <v>45611</v>
      </c>
      <c r="C699" s="1" t="n">
        <v>45626</v>
      </c>
      <c r="D699" t="inlineStr">
        <is>
          <t>JÖNKÖPINGS LÄN</t>
        </is>
      </c>
      <c r="E699" t="inlineStr">
        <is>
          <t>SÄVSJÖ</t>
        </is>
      </c>
      <c r="G699" t="n">
        <v>1.2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54157-2024</t>
        </is>
      </c>
      <c r="B700" s="1" t="n">
        <v>45616</v>
      </c>
      <c r="C700" s="1" t="n">
        <v>45626</v>
      </c>
      <c r="D700" t="inlineStr">
        <is>
          <t>JÖNKÖPINGS LÄN</t>
        </is>
      </c>
      <c r="E700" t="inlineStr">
        <is>
          <t>SÄVSJÖ</t>
        </is>
      </c>
      <c r="G700" t="n">
        <v>6.9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54391-2024</t>
        </is>
      </c>
      <c r="B701" s="1" t="n">
        <v>45617</v>
      </c>
      <c r="C701" s="1" t="n">
        <v>45626</v>
      </c>
      <c r="D701" t="inlineStr">
        <is>
          <t>JÖNKÖPINGS LÄN</t>
        </is>
      </c>
      <c r="E701" t="inlineStr">
        <is>
          <t>SÄVSJÖ</t>
        </is>
      </c>
      <c r="G701" t="n">
        <v>0.8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54819-2024</t>
        </is>
      </c>
      <c r="B702" s="1" t="n">
        <v>45618</v>
      </c>
      <c r="C702" s="1" t="n">
        <v>45626</v>
      </c>
      <c r="D702" t="inlineStr">
        <is>
          <t>JÖNKÖPINGS LÄN</t>
        </is>
      </c>
      <c r="E702" t="inlineStr">
        <is>
          <t>SÄVSJÖ</t>
        </is>
      </c>
      <c r="G702" t="n">
        <v>1.8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55855-2024</t>
        </is>
      </c>
      <c r="B703" s="1" t="n">
        <v>45623</v>
      </c>
      <c r="C703" s="1" t="n">
        <v>45626</v>
      </c>
      <c r="D703" t="inlineStr">
        <is>
          <t>JÖNKÖPINGS LÄN</t>
        </is>
      </c>
      <c r="E703" t="inlineStr">
        <is>
          <t>SÄVSJÖ</t>
        </is>
      </c>
      <c r="G703" t="n">
        <v>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55736-2024</t>
        </is>
      </c>
      <c r="B704" s="1" t="n">
        <v>45623</v>
      </c>
      <c r="C704" s="1" t="n">
        <v>45626</v>
      </c>
      <c r="D704" t="inlineStr">
        <is>
          <t>JÖNKÖPINGS LÄN</t>
        </is>
      </c>
      <c r="E704" t="inlineStr">
        <is>
          <t>SÄVSJÖ</t>
        </is>
      </c>
      <c r="G704" t="n">
        <v>1.5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55881-2024</t>
        </is>
      </c>
      <c r="B705" s="1" t="n">
        <v>45623</v>
      </c>
      <c r="C705" s="1" t="n">
        <v>45626</v>
      </c>
      <c r="D705" t="inlineStr">
        <is>
          <t>JÖNKÖPINGS LÄN</t>
        </is>
      </c>
      <c r="E705" t="inlineStr">
        <is>
          <t>SÄVSJÖ</t>
        </is>
      </c>
      <c r="G705" t="n">
        <v>2.7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55909-2024</t>
        </is>
      </c>
      <c r="B706" s="1" t="n">
        <v>45623</v>
      </c>
      <c r="C706" s="1" t="n">
        <v>45626</v>
      </c>
      <c r="D706" t="inlineStr">
        <is>
          <t>JÖNKÖPINGS LÄN</t>
        </is>
      </c>
      <c r="E706" t="inlineStr">
        <is>
          <t>SÄVSJÖ</t>
        </is>
      </c>
      <c r="F706" t="inlineStr">
        <is>
          <t>Kommuner</t>
        </is>
      </c>
      <c r="G706" t="n">
        <v>0.2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56108-2024</t>
        </is>
      </c>
      <c r="B707" s="1" t="n">
        <v>45624</v>
      </c>
      <c r="C707" s="1" t="n">
        <v>45626</v>
      </c>
      <c r="D707" t="inlineStr">
        <is>
          <t>JÖNKÖPINGS LÄN</t>
        </is>
      </c>
      <c r="E707" t="inlineStr">
        <is>
          <t>SÄVSJÖ</t>
        </is>
      </c>
      <c r="G707" t="n">
        <v>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56112-2024</t>
        </is>
      </c>
      <c r="B708" s="1" t="n">
        <v>45624</v>
      </c>
      <c r="C708" s="1" t="n">
        <v>45626</v>
      </c>
      <c r="D708" t="inlineStr">
        <is>
          <t>JÖNKÖPINGS LÄN</t>
        </is>
      </c>
      <c r="E708" t="inlineStr">
        <is>
          <t>SÄVSJÖ</t>
        </is>
      </c>
      <c r="G708" t="n">
        <v>1.7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56360-2024</t>
        </is>
      </c>
      <c r="B709" s="1" t="n">
        <v>45625</v>
      </c>
      <c r="C709" s="1" t="n">
        <v>45626</v>
      </c>
      <c r="D709" t="inlineStr">
        <is>
          <t>JÖNKÖPINGS LÄN</t>
        </is>
      </c>
      <c r="E709" t="inlineStr">
        <is>
          <t>SÄVSJÖ</t>
        </is>
      </c>
      <c r="G709" t="n">
        <v>7.2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56361-2024</t>
        </is>
      </c>
      <c r="B710" s="1" t="n">
        <v>45625</v>
      </c>
      <c r="C710" s="1" t="n">
        <v>45626</v>
      </c>
      <c r="D710" t="inlineStr">
        <is>
          <t>JÖNKÖPINGS LÄN</t>
        </is>
      </c>
      <c r="E710" t="inlineStr">
        <is>
          <t>SÄVSJÖ</t>
        </is>
      </c>
      <c r="G710" t="n">
        <v>1.6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>
      <c r="A711" t="inlineStr">
        <is>
          <t>A 56359-2024</t>
        </is>
      </c>
      <c r="B711" s="1" t="n">
        <v>45625</v>
      </c>
      <c r="C711" s="1" t="n">
        <v>45626</v>
      </c>
      <c r="D711" t="inlineStr">
        <is>
          <t>JÖNKÖPINGS LÄN</t>
        </is>
      </c>
      <c r="E711" t="inlineStr">
        <is>
          <t>SÄVSJÖ</t>
        </is>
      </c>
      <c r="G711" t="n">
        <v>0.7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2024-11-30T18:52:53Z</dcterms:created>
  <dcterms:modified xmlns:dcterms="http://purl.org/dc/terms/" xmlns:xsi="http://www.w3.org/2001/XMLSchema-instance" xsi:type="dcterms:W3CDTF">2024-11-30T18:52:54Z</dcterms:modified>
</cp:coreProperties>
</file>