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46268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46268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46268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46268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46268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46268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46268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46268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46268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46268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46268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46268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8198-2024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45351</v>
      </c>
      <c r="E15" s="1" t="n">
        <v>46268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Småfruktigt blågryn</t>
        </is>
      </c>
      <c r="W15">
        <f>HYPERLINK("https://klasma.github.io/Logging_0684/artfynd/A 8198-2024 artfynd.xlsx", "A 8198-2024")</f>
        <v/>
      </c>
      <c r="X15">
        <f>HYPERLINK("https://klasma.github.io/Logging_0684/kartor/A 8198-2024 karta.png", "A 8198-2024")</f>
        <v/>
      </c>
      <c r="Y15">
        <f>HYPERLINK("https://klasma.github.io/Logging_0684/kartor_geotiff/A 8198-2024 georefererad karta.tif", "A 8198-2024")</f>
        <v/>
      </c>
      <c r="AA15">
        <f>HYPERLINK("https://klasma.github.io/Logging_0684/klagomål/A 8198-2024 FSC-klagomål.docx", "A 8198-2024")</f>
        <v/>
      </c>
      <c r="AB15">
        <f>HYPERLINK("https://klasma.github.io/Logging_0684/klagomålsmail/A 8198-2024 FSC-klagomål mail.docx", "A 8198-2024")</f>
        <v/>
      </c>
      <c r="AC15">
        <f>HYPERLINK("https://klasma.github.io/Logging_0684/tillsyn/A 8198-2024 tillsynsbegäran.docx", "A 8198-2024")</f>
        <v/>
      </c>
      <c r="AD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46268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46268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46268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46268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35891-2026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46266</v>
      </c>
      <c r="E20" s="1" t="n">
        <v>46268</v>
      </c>
      <c r="F20" t="inlineStr">
        <is>
          <t>JÖNKÖPINGS LÄN</t>
        </is>
      </c>
      <c r="G20" t="inlineStr">
        <is>
          <t>SÄVSJÖ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Pilfibbla</t>
        </is>
      </c>
      <c r="W20">
        <f>HYPERLINK("https://klasma.github.io/Logging_0684/artfynd/A 35891-2026 artfynd.xlsx", "A 35891-2026")</f>
        <v/>
      </c>
      <c r="X20">
        <f>HYPERLINK("https://klasma.github.io/Logging_0684/kartor/A 35891-2026 karta.png", "A 35891-2026")</f>
        <v/>
      </c>
      <c r="Y20">
        <f>HYPERLINK("https://klasma.github.io/Logging_0684/kartor_geotiff/A 35891-2026 georefererad karta.tif", "A 35891-2026")</f>
        <v/>
      </c>
      <c r="AA20">
        <f>HYPERLINK("https://klasma.github.io/Logging_0684/klagomål/A 35891-2026 FSC-klagomål.docx", "A 35891-2026")</f>
        <v/>
      </c>
      <c r="AB20">
        <f>HYPERLINK("https://klasma.github.io/Logging_0684/klagomålsmail/A 35891-2026 FSC-klagomål mail.docx", "A 35891-2026")</f>
        <v/>
      </c>
      <c r="AC20">
        <f>HYPERLINK("https://klasma.github.io/Logging_0684/tillsyn/A 35891-2026 tillsynsbegäran.docx", "A 35891-2026")</f>
        <v/>
      </c>
      <c r="AD20">
        <f>HYPERLINK("https://klasma.github.io/Logging_0684/tillsynsmail/A 35891-2026 tillsynsbegäran mail.docx", "A 35891-2026")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46268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A 10775-2025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45722</v>
      </c>
      <c r="E22" s="1" t="n">
        <v>46268</v>
      </c>
      <c r="F22" t="inlineStr">
        <is>
          <t>JÖNKÖPINGS LÄN</t>
        </is>
      </c>
      <c r="G22" t="inlineStr">
        <is>
          <t>SÄVSJÖ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HYPERLINK("https://klasma.github.io/Logging_0684/artfynd/A 10775-2025 artfynd.xlsx", "A 10775-2025")</f>
        <v/>
      </c>
      <c r="X22">
        <f>HYPERLINK("https://klasma.github.io/Logging_0684/kartor/A 10775-2025 karta.png", "A 10775-2025")</f>
        <v/>
      </c>
      <c r="Y22">
        <f>HYPERLINK("https://klasma.github.io/Logging_0684/kartor_geotiff/A 10775-2025 georefererad karta.tif", "A 10775-2025")</f>
        <v/>
      </c>
      <c r="AA22">
        <f>HYPERLINK("https://klasma.github.io/Logging_0684/klagomål/A 10775-2025 FSC-klagomål.docx", "A 10775-2025")</f>
        <v/>
      </c>
      <c r="AB22">
        <f>HYPERLINK("https://klasma.github.io/Logging_0684/klagomålsmail/A 10775-2025 FSC-klagomål mail.docx", "A 10775-2025")</f>
        <v/>
      </c>
      <c r="AC22">
        <f>HYPERLINK("https://klasma.github.io/Logging_0684/tillsyn/A 10775-2025 tillsynsbegäran.docx", "A 10775-2025")</f>
        <v/>
      </c>
      <c r="AD22">
        <f>HYPERLINK("https://klasma.github.io/Logging_0684/tillsynsmail/A 10775-2025 tillsynsbegäran mail.docx", "A 10775-2025")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46268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46268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46268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46268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46268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46268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46268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46268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46268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46268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46268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46268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46268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46268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46268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46268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46268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46268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46268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46268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46268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46268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46268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46268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46268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46268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46268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46268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46268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46268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46268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46268</v>
      </c>
      <c r="F54" t="inlineStr">
        <is>
          <t>JÖNKÖPINGS LÄN</t>
        </is>
      </c>
      <c r="G54" t="inlineStr">
        <is>
          <t>SÄVSJÖ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46268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46268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46268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46268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46268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46268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46268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46268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46268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46268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46268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46514-2021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46268</v>
      </c>
      <c r="F66" t="inlineStr">
        <is>
          <t>JÖNKÖPINGS LÄN</t>
        </is>
      </c>
      <c r="G66" t="inlineStr">
        <is>
          <t>SÄVSJÖ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46268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44798</v>
      </c>
      <c r="E68" s="1" t="n">
        <v>46268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46268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46268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46268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44610</v>
      </c>
      <c r="E72" s="1" t="n">
        <v>46268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46268</v>
      </c>
      <c r="F73" t="inlineStr">
        <is>
          <t>JÖNKÖPINGS LÄN</t>
        </is>
      </c>
      <c r="G73" t="inlineStr">
        <is>
          <t>SÄVSJÖ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45094</v>
      </c>
      <c r="E74" s="1" t="n">
        <v>46268</v>
      </c>
      <c r="F74" t="inlineStr">
        <is>
          <t>JÖNKÖPINGS LÄN</t>
        </is>
      </c>
      <c r="G74" t="inlineStr">
        <is>
          <t>SÄVSJÖ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46268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46268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46268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46268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46268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46268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46268</v>
      </c>
      <c r="F81" t="inlineStr">
        <is>
          <t>JÖNKÖPINGS LÄN</t>
        </is>
      </c>
      <c r="G81" t="inlineStr">
        <is>
          <t>SÄVSJÖ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46268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46268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46268</v>
      </c>
      <c r="F84" t="inlineStr">
        <is>
          <t>JÖNKÖPINGS LÄN</t>
        </is>
      </c>
      <c r="G84" t="inlineStr">
        <is>
          <t>SÄVSJÖ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45350</v>
      </c>
      <c r="E85" s="1" t="n">
        <v>46268</v>
      </c>
      <c r="F85" t="inlineStr">
        <is>
          <t>JÖNKÖPINGS LÄN</t>
        </is>
      </c>
      <c r="G85" t="inlineStr">
        <is>
          <t>SÄVSJÖ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46268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46268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46268</v>
      </c>
      <c r="F88" t="inlineStr">
        <is>
          <t>JÖNKÖPINGS LÄN</t>
        </is>
      </c>
      <c r="G88" t="inlineStr">
        <is>
          <t>SÄVSJÖ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45534</v>
      </c>
      <c r="E89" s="1" t="n">
        <v>46268</v>
      </c>
      <c r="F89" t="inlineStr">
        <is>
          <t>JÖNKÖPINGS LÄN</t>
        </is>
      </c>
      <c r="G89" t="inlineStr">
        <is>
          <t>SÄVSJÖ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45733</v>
      </c>
      <c r="E90" s="1" t="n">
        <v>46268</v>
      </c>
      <c r="F90" t="inlineStr">
        <is>
          <t>JÖNKÖPINGS LÄN</t>
        </is>
      </c>
      <c r="G90" t="inlineStr">
        <is>
          <t>SÄVSJÖ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46268</v>
      </c>
      <c r="F91" t="inlineStr">
        <is>
          <t>JÖNKÖPINGS LÄN</t>
        </is>
      </c>
      <c r="G91" t="inlineStr">
        <is>
          <t>SÄVSJÖ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46268</v>
      </c>
      <c r="F92" t="inlineStr">
        <is>
          <t>JÖNKÖPINGS LÄN</t>
        </is>
      </c>
      <c r="G92" t="inlineStr">
        <is>
          <t>SÄVSJÖ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46268</v>
      </c>
      <c r="F93" t="inlineStr">
        <is>
          <t>JÖNKÖPINGS LÄN</t>
        </is>
      </c>
      <c r="G93" t="inlineStr">
        <is>
          <t>SÄVSJÖ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46268</v>
      </c>
      <c r="F94" t="inlineStr">
        <is>
          <t>JÖNKÖPINGS LÄN</t>
        </is>
      </c>
      <c r="G94" t="inlineStr">
        <is>
          <t>SÄVSJÖ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46268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46268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45634</v>
      </c>
      <c r="E97" s="1" t="n">
        <v>46268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45634</v>
      </c>
      <c r="E98" s="1" t="n">
        <v>46268</v>
      </c>
      <c r="F98" t="inlineStr">
        <is>
          <t>JÖNKÖPINGS LÄN</t>
        </is>
      </c>
      <c r="G98" t="inlineStr">
        <is>
          <t>SÄVSJÖ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45094</v>
      </c>
      <c r="E99" s="1" t="n">
        <v>46268</v>
      </c>
      <c r="F99" t="inlineStr">
        <is>
          <t>JÖNKÖPINGS LÄN</t>
        </is>
      </c>
      <c r="G99" t="inlineStr">
        <is>
          <t>SÄVSJÖ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46268</v>
      </c>
      <c r="F100" t="inlineStr">
        <is>
          <t>JÖNKÖPINGS LÄN</t>
        </is>
      </c>
      <c r="G100" t="inlineStr">
        <is>
          <t>SÄVSJÖ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46268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46268</v>
      </c>
      <c r="F102" t="inlineStr">
        <is>
          <t>JÖNKÖPINGS LÄN</t>
        </is>
      </c>
      <c r="G102" t="inlineStr">
        <is>
          <t>SÄVSJÖ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45001</v>
      </c>
      <c r="E103" s="1" t="n">
        <v>46268</v>
      </c>
      <c r="F103" t="inlineStr">
        <is>
          <t>JÖNKÖPINGS LÄN</t>
        </is>
      </c>
      <c r="G103" t="inlineStr">
        <is>
          <t>SÄVSJÖ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18135-2023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46268</v>
      </c>
      <c r="F104" t="inlineStr">
        <is>
          <t>JÖNKÖPINGS LÄN</t>
        </is>
      </c>
      <c r="G104" t="inlineStr">
        <is>
          <t>SÄVSJÖ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46268</v>
      </c>
      <c r="F105" t="inlineStr">
        <is>
          <t>JÖNKÖPINGS LÄN</t>
        </is>
      </c>
      <c r="G105" t="inlineStr">
        <is>
          <t>SÄVSJÖ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46268</v>
      </c>
      <c r="F106" t="inlineStr">
        <is>
          <t>JÖNKÖPINGS LÄN</t>
        </is>
      </c>
      <c r="G106" t="inlineStr">
        <is>
          <t>SÄVSJÖ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46268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46268</v>
      </c>
      <c r="F108" t="inlineStr">
        <is>
          <t>JÖNKÖPINGS LÄN</t>
        </is>
      </c>
      <c r="G108" t="inlineStr">
        <is>
          <t>SÄVSJÖ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46268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46268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46268</v>
      </c>
      <c r="F111" t="inlineStr">
        <is>
          <t>JÖNKÖPINGS LÄN</t>
        </is>
      </c>
      <c r="G111" t="inlineStr">
        <is>
          <t>SÄVSJÖ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46268</v>
      </c>
      <c r="F112" t="inlineStr">
        <is>
          <t>JÖNKÖPINGS LÄN</t>
        </is>
      </c>
      <c r="G112" t="inlineStr">
        <is>
          <t>SÄVSJÖ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46268</v>
      </c>
      <c r="F113" t="inlineStr">
        <is>
          <t>JÖNKÖPINGS LÄN</t>
        </is>
      </c>
      <c r="G113" t="inlineStr">
        <is>
          <t>SÄVSJÖ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46268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46268</v>
      </c>
      <c r="F115" t="inlineStr">
        <is>
          <t>JÖNKÖPINGS LÄN</t>
        </is>
      </c>
      <c r="G115" t="inlineStr">
        <is>
          <t>SÄVSJÖ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45067</v>
      </c>
      <c r="E116" s="1" t="n">
        <v>46268</v>
      </c>
      <c r="F116" t="inlineStr">
        <is>
          <t>JÖNKÖPINGS LÄN</t>
        </is>
      </c>
      <c r="G116" t="inlineStr">
        <is>
          <t>SÄVSJÖ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46268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46268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46268</v>
      </c>
      <c r="F119" t="inlineStr">
        <is>
          <t>JÖNKÖPINGS LÄN</t>
        </is>
      </c>
      <c r="G119" t="inlineStr">
        <is>
          <t>SÄVSJÖ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47405-2021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46268</v>
      </c>
      <c r="F120" t="inlineStr">
        <is>
          <t>JÖNKÖPINGS LÄN</t>
        </is>
      </c>
      <c r="G120" t="inlineStr">
        <is>
          <t>SÄVSJÖ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46268</v>
      </c>
      <c r="F121" t="inlineStr">
        <is>
          <t>JÖNKÖPINGS LÄN</t>
        </is>
      </c>
      <c r="G121" t="inlineStr">
        <is>
          <t>SÄVSJÖ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30162-2023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45110</v>
      </c>
      <c r="E122" s="1" t="n">
        <v>46268</v>
      </c>
      <c r="F122" t="inlineStr">
        <is>
          <t>JÖNKÖPINGS LÄN</t>
        </is>
      </c>
      <c r="G122" t="inlineStr">
        <is>
          <t>SÄVSJÖ</t>
        </is>
      </c>
      <c r="H122" t="inlineStr">
        <is>
          <t>Kommuner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54827-2021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44474</v>
      </c>
      <c r="E123" s="1" t="n">
        <v>46268</v>
      </c>
      <c r="F123" t="inlineStr">
        <is>
          <t>JÖNKÖPINGS LÄN</t>
        </is>
      </c>
      <c r="G123" t="inlineStr">
        <is>
          <t>SÄVSJÖ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46268</v>
      </c>
      <c r="F124" t="inlineStr">
        <is>
          <t>JÖNKÖPINGS LÄN</t>
        </is>
      </c>
      <c r="G124" t="inlineStr">
        <is>
          <t>SÄVSJÖ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46268</v>
      </c>
      <c r="F125" t="inlineStr">
        <is>
          <t>JÖNKÖPINGS LÄN</t>
        </is>
      </c>
      <c r="G125" t="inlineStr">
        <is>
          <t>SÄVSJÖ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46268</v>
      </c>
      <c r="F126" t="inlineStr">
        <is>
          <t>JÖNKÖPINGS LÄN</t>
        </is>
      </c>
      <c r="G126" t="inlineStr">
        <is>
          <t>SÄVSJÖ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63920-2021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44509</v>
      </c>
      <c r="E127" s="1" t="n">
        <v>46268</v>
      </c>
      <c r="F127" t="inlineStr">
        <is>
          <t>JÖNKÖPINGS LÄN</t>
        </is>
      </c>
      <c r="G127" t="inlineStr">
        <is>
          <t>SÄVSJÖ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46268</v>
      </c>
      <c r="F128" t="inlineStr">
        <is>
          <t>JÖNKÖPINGS LÄN</t>
        </is>
      </c>
      <c r="G128" t="inlineStr">
        <is>
          <t>SÄVSJÖ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45228</v>
      </c>
      <c r="E129" s="1" t="n">
        <v>46268</v>
      </c>
      <c r="F129" t="inlineStr">
        <is>
          <t>JÖNKÖPINGS LÄN</t>
        </is>
      </c>
      <c r="G129" t="inlineStr">
        <is>
          <t>SÄVSJÖ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46268</v>
      </c>
      <c r="F130" t="inlineStr">
        <is>
          <t>JÖNKÖPINGS LÄN</t>
        </is>
      </c>
      <c r="G130" t="inlineStr">
        <is>
          <t>SÄVSJÖ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46268</v>
      </c>
      <c r="F131" t="inlineStr">
        <is>
          <t>JÖNKÖPINGS LÄN</t>
        </is>
      </c>
      <c r="G131" t="inlineStr">
        <is>
          <t>SÄVSJÖ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46268</v>
      </c>
      <c r="F132" t="inlineStr">
        <is>
          <t>JÖNKÖPINGS LÄN</t>
        </is>
      </c>
      <c r="G132" t="inlineStr">
        <is>
          <t>SÄVSJÖ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46268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45371</v>
      </c>
      <c r="E134" s="1" t="n">
        <v>46268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45102</v>
      </c>
      <c r="E135" s="1" t="n">
        <v>46268</v>
      </c>
      <c r="F135" t="inlineStr">
        <is>
          <t>JÖNKÖPINGS LÄN</t>
        </is>
      </c>
      <c r="G135" t="inlineStr">
        <is>
          <t>SÄVSJÖ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46268</v>
      </c>
      <c r="F136" t="inlineStr">
        <is>
          <t>JÖNKÖPINGS LÄN</t>
        </is>
      </c>
      <c r="G136" t="inlineStr">
        <is>
          <t>SÄVSJÖ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46268</v>
      </c>
      <c r="F137" t="inlineStr">
        <is>
          <t>JÖNKÖPINGS LÄN</t>
        </is>
      </c>
      <c r="G137" t="inlineStr">
        <is>
          <t>SÄVSJÖ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38914-2024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45547</v>
      </c>
      <c r="E138" s="1" t="n">
        <v>46268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45302</v>
      </c>
      <c r="E139" s="1" t="n">
        <v>46268</v>
      </c>
      <c r="F139" t="inlineStr">
        <is>
          <t>JÖNKÖPINGS LÄN</t>
        </is>
      </c>
      <c r="G139" t="inlineStr">
        <is>
          <t>SÄVSJÖ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61545-2021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46268</v>
      </c>
      <c r="F140" t="inlineStr">
        <is>
          <t>JÖNKÖPINGS LÄN</t>
        </is>
      </c>
      <c r="G140" t="inlineStr">
        <is>
          <t>SÄVSJÖ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46268</v>
      </c>
      <c r="F141" t="inlineStr">
        <is>
          <t>JÖNKÖPINGS LÄN</t>
        </is>
      </c>
      <c r="G141" t="inlineStr">
        <is>
          <t>SÄVSJÖ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46268</v>
      </c>
      <c r="F142" t="inlineStr">
        <is>
          <t>JÖNKÖPINGS LÄN</t>
        </is>
      </c>
      <c r="G142" t="inlineStr">
        <is>
          <t>SÄVSJÖ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46268</v>
      </c>
      <c r="F143" t="inlineStr">
        <is>
          <t>JÖNKÖPINGS LÄN</t>
        </is>
      </c>
      <c r="G143" t="inlineStr">
        <is>
          <t>SÄVSJÖ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46268</v>
      </c>
      <c r="F144" t="inlineStr">
        <is>
          <t>JÖNKÖPINGS LÄN</t>
        </is>
      </c>
      <c r="G144" t="inlineStr">
        <is>
          <t>SÄVSJÖ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44929</v>
      </c>
      <c r="E145" s="1" t="n">
        <v>46268</v>
      </c>
      <c r="F145" t="inlineStr">
        <is>
          <t>JÖNKÖPINGS LÄN</t>
        </is>
      </c>
      <c r="G145" t="inlineStr">
        <is>
          <t>SÄVSJÖ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46268</v>
      </c>
      <c r="F146" t="inlineStr">
        <is>
          <t>JÖNKÖPINGS LÄN</t>
        </is>
      </c>
      <c r="G146" t="inlineStr">
        <is>
          <t>SÄVSJÖ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45953</v>
      </c>
      <c r="E147" s="1" t="n">
        <v>46268</v>
      </c>
      <c r="F147" t="inlineStr">
        <is>
          <t>JÖNKÖPINGS LÄN</t>
        </is>
      </c>
      <c r="G147" t="inlineStr">
        <is>
          <t>SÄVSJÖ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46268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46268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50627-2022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44866</v>
      </c>
      <c r="E150" s="1" t="n">
        <v>46268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30162-2023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45110</v>
      </c>
      <c r="E151" s="1" t="n">
        <v>46268</v>
      </c>
      <c r="F151" t="inlineStr">
        <is>
          <t>JÖNKÖPINGS LÄN</t>
        </is>
      </c>
      <c r="G151" t="inlineStr">
        <is>
          <t>SÄVSJÖ</t>
        </is>
      </c>
      <c r="H151" t="inlineStr">
        <is>
          <t>Kommuner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46268</v>
      </c>
      <c r="F152" t="inlineStr">
        <is>
          <t>JÖNKÖPINGS LÄN</t>
        </is>
      </c>
      <c r="G152" t="inlineStr">
        <is>
          <t>SÄVSJÖ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46268</v>
      </c>
      <c r="F153" t="inlineStr">
        <is>
          <t>JÖNKÖPINGS LÄN</t>
        </is>
      </c>
      <c r="G153" t="inlineStr">
        <is>
          <t>SÄVSJÖ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12807-2022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44642</v>
      </c>
      <c r="E154" s="1" t="n">
        <v>46268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46268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46268</v>
      </c>
      <c r="F156" t="inlineStr">
        <is>
          <t>JÖNKÖPINGS LÄN</t>
        </is>
      </c>
      <c r="G156" t="inlineStr">
        <is>
          <t>SÄVSJÖ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46268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46268</v>
      </c>
      <c r="F158" t="inlineStr">
        <is>
          <t>JÖNKÖPINGS LÄN</t>
        </is>
      </c>
      <c r="G158" t="inlineStr">
        <is>
          <t>SÄVSJÖ</t>
        </is>
      </c>
      <c r="H158" t="inlineStr">
        <is>
          <t>Kyrkan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46268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54275-2025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45964</v>
      </c>
      <c r="E160" s="1" t="n">
        <v>46268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46268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46268</v>
      </c>
      <c r="F162" t="inlineStr">
        <is>
          <t>JÖNKÖPINGS LÄN</t>
        </is>
      </c>
      <c r="G162" t="inlineStr">
        <is>
          <t>SÄVSJÖ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46268</v>
      </c>
      <c r="F163" t="inlineStr">
        <is>
          <t>JÖNKÖPINGS LÄN</t>
        </is>
      </c>
      <c r="G163" t="inlineStr">
        <is>
          <t>SÄVSJÖ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46268</v>
      </c>
      <c r="F164" t="inlineStr">
        <is>
          <t>JÖNKÖPINGS LÄN</t>
        </is>
      </c>
      <c r="G164" t="inlineStr">
        <is>
          <t>SÄVSJÖ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46268</v>
      </c>
      <c r="F165" t="inlineStr">
        <is>
          <t>JÖNKÖPINGS LÄN</t>
        </is>
      </c>
      <c r="G165" t="inlineStr">
        <is>
          <t>SÄVSJÖ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46268</v>
      </c>
      <c r="F166" t="inlineStr">
        <is>
          <t>JÖNKÖPINGS LÄN</t>
        </is>
      </c>
      <c r="G166" t="inlineStr">
        <is>
          <t>SÄVSJÖ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46268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46268</v>
      </c>
      <c r="F168" t="inlineStr">
        <is>
          <t>JÖNKÖPINGS LÄN</t>
        </is>
      </c>
      <c r="G168" t="inlineStr">
        <is>
          <t>SÄVSJÖ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46268</v>
      </c>
      <c r="F169" t="inlineStr">
        <is>
          <t>JÖNKÖPINGS LÄN</t>
        </is>
      </c>
      <c r="G169" t="inlineStr">
        <is>
          <t>SÄVSJÖ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46070</v>
      </c>
      <c r="E170" s="1" t="n">
        <v>46268</v>
      </c>
      <c r="F170" t="inlineStr">
        <is>
          <t>JÖNKÖPINGS LÄN</t>
        </is>
      </c>
      <c r="G170" t="inlineStr">
        <is>
          <t>SÄVSJÖ</t>
        </is>
      </c>
      <c r="H170" t="inlineStr">
        <is>
          <t>Kyrkan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46268</v>
      </c>
      <c r="F171" t="inlineStr">
        <is>
          <t>JÖNKÖPINGS LÄN</t>
        </is>
      </c>
      <c r="G171" t="inlineStr">
        <is>
          <t>SÄVSJÖ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46268</v>
      </c>
      <c r="F172" t="inlineStr">
        <is>
          <t>JÖNKÖPINGS LÄN</t>
        </is>
      </c>
      <c r="G172" t="inlineStr">
        <is>
          <t>SÄVSJÖ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46268</v>
      </c>
      <c r="F173" t="inlineStr">
        <is>
          <t>JÖNKÖPINGS LÄN</t>
        </is>
      </c>
      <c r="G173" t="inlineStr">
        <is>
          <t>SÄVSJÖ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46307-2021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44442</v>
      </c>
      <c r="E174" s="1" t="n">
        <v>46268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25.6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46268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46268</v>
      </c>
      <c r="F176" t="inlineStr">
        <is>
          <t>JÖNKÖPINGS LÄN</t>
        </is>
      </c>
      <c r="G176" t="inlineStr">
        <is>
          <t>SÄVSJÖ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46268</v>
      </c>
      <c r="F177" t="inlineStr">
        <is>
          <t>JÖNKÖPINGS LÄN</t>
        </is>
      </c>
      <c r="G177" t="inlineStr">
        <is>
          <t>SÄVSJÖ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45634</v>
      </c>
      <c r="E178" s="1" t="n">
        <v>46268</v>
      </c>
      <c r="F178" t="inlineStr">
        <is>
          <t>JÖNKÖPINGS LÄN</t>
        </is>
      </c>
      <c r="G178" t="inlineStr">
        <is>
          <t>SÄVSJÖ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46268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46268</v>
      </c>
      <c r="F180" t="inlineStr">
        <is>
          <t>JÖNKÖPINGS LÄN</t>
        </is>
      </c>
      <c r="G180" t="inlineStr">
        <is>
          <t>SÄVSJÖ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45433</v>
      </c>
      <c r="E181" s="1" t="n">
        <v>46268</v>
      </c>
      <c r="F181" t="inlineStr">
        <is>
          <t>JÖNKÖPINGS LÄN</t>
        </is>
      </c>
      <c r="G181" t="inlineStr">
        <is>
          <t>SÄVSJÖ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46268</v>
      </c>
      <c r="F182" t="inlineStr">
        <is>
          <t>JÖNKÖPINGS LÄN</t>
        </is>
      </c>
      <c r="G182" t="inlineStr">
        <is>
          <t>SÄVSJÖ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46268</v>
      </c>
      <c r="F183" t="inlineStr">
        <is>
          <t>JÖNKÖPINGS LÄN</t>
        </is>
      </c>
      <c r="G183" t="inlineStr">
        <is>
          <t>SÄVSJÖ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46268</v>
      </c>
      <c r="F184" t="inlineStr">
        <is>
          <t>JÖNKÖPINGS LÄN</t>
        </is>
      </c>
      <c r="G184" t="inlineStr">
        <is>
          <t>SÄVSJÖ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45053</v>
      </c>
      <c r="E185" s="1" t="n">
        <v>46268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46268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46268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46087</v>
      </c>
      <c r="E188" s="1" t="n">
        <v>46268</v>
      </c>
      <c r="F188" t="inlineStr">
        <is>
          <t>JÖNKÖPINGS LÄN</t>
        </is>
      </c>
      <c r="G188" t="inlineStr">
        <is>
          <t>SÄVSJÖ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46268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60331-2025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45993</v>
      </c>
      <c r="E190" s="1" t="n">
        <v>46268</v>
      </c>
      <c r="F190" t="inlineStr">
        <is>
          <t>JÖNKÖPINGS LÄN</t>
        </is>
      </c>
      <c r="G190" t="inlineStr">
        <is>
          <t>SÄVSJÖ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48815-2024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46268</v>
      </c>
      <c r="F191" t="inlineStr">
        <is>
          <t>JÖNKÖPINGS LÄN</t>
        </is>
      </c>
      <c r="G191" t="inlineStr">
        <is>
          <t>SÄVSJÖ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46268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46268</v>
      </c>
      <c r="F193" t="inlineStr">
        <is>
          <t>JÖNKÖPINGS LÄN</t>
        </is>
      </c>
      <c r="G193" t="inlineStr">
        <is>
          <t>SÄVSJÖ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46268</v>
      </c>
      <c r="F194" t="inlineStr">
        <is>
          <t>JÖNKÖPINGS LÄN</t>
        </is>
      </c>
      <c r="G194" t="inlineStr">
        <is>
          <t>SÄVSJÖ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44820</v>
      </c>
      <c r="E195" s="1" t="n">
        <v>46268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46268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45419</v>
      </c>
      <c r="E197" s="1" t="n">
        <v>46268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46268</v>
      </c>
      <c r="F198" t="inlineStr">
        <is>
          <t>JÖNKÖPINGS LÄN</t>
        </is>
      </c>
      <c r="G198" t="inlineStr">
        <is>
          <t>SÄVSJÖ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46268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46097</v>
      </c>
      <c r="E200" s="1" t="n">
        <v>46268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46268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62870-2025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46008</v>
      </c>
      <c r="E202" s="1" t="n">
        <v>46268</v>
      </c>
      <c r="F202" t="inlineStr">
        <is>
          <t>JÖNKÖPINGS LÄN</t>
        </is>
      </c>
      <c r="G202" t="inlineStr">
        <is>
          <t>SÄVSJÖ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45694</v>
      </c>
      <c r="E203" s="1" t="n">
        <v>46268</v>
      </c>
      <c r="F203" t="inlineStr">
        <is>
          <t>JÖNKÖPINGS LÄN</t>
        </is>
      </c>
      <c r="G203" t="inlineStr">
        <is>
          <t>SÄVSJÖ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46268</v>
      </c>
      <c r="F204" t="inlineStr">
        <is>
          <t>JÖNKÖPINGS LÄN</t>
        </is>
      </c>
      <c r="G204" t="inlineStr">
        <is>
          <t>SÄVSJÖ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46268</v>
      </c>
      <c r="F205" t="inlineStr">
        <is>
          <t>JÖNKÖPINGS LÄN</t>
        </is>
      </c>
      <c r="G205" t="inlineStr">
        <is>
          <t>SÄVSJÖ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46268</v>
      </c>
      <c r="F206" t="inlineStr">
        <is>
          <t>JÖNKÖPINGS LÄN</t>
        </is>
      </c>
      <c r="G206" t="inlineStr">
        <is>
          <t>SÄVSJÖ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46268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46268</v>
      </c>
      <c r="F208" t="inlineStr">
        <is>
          <t>JÖNKÖPINGS LÄN</t>
        </is>
      </c>
      <c r="G208" t="inlineStr">
        <is>
          <t>SÄVSJÖ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46268</v>
      </c>
      <c r="F209" t="inlineStr">
        <is>
          <t>JÖNKÖPINGS LÄN</t>
        </is>
      </c>
      <c r="G209" t="inlineStr">
        <is>
          <t>SÄVSJÖ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44951</v>
      </c>
      <c r="E210" s="1" t="n">
        <v>46268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46268</v>
      </c>
      <c r="F211" t="inlineStr">
        <is>
          <t>JÖNKÖPINGS LÄN</t>
        </is>
      </c>
      <c r="G211" t="inlineStr">
        <is>
          <t>SÄVSJÖ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46017</v>
      </c>
      <c r="E212" s="1" t="n">
        <v>46268</v>
      </c>
      <c r="F212" t="inlineStr">
        <is>
          <t>JÖNKÖPINGS LÄN</t>
        </is>
      </c>
      <c r="G212" t="inlineStr">
        <is>
          <t>SÄVSJÖ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46268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46268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7285-2023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44970</v>
      </c>
      <c r="E215" s="1" t="n">
        <v>46268</v>
      </c>
      <c r="F215" t="inlineStr">
        <is>
          <t>JÖNKÖPINGS LÄN</t>
        </is>
      </c>
      <c r="G215" t="inlineStr">
        <is>
          <t>SÄVSJÖ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46268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46101</v>
      </c>
      <c r="E217" s="1" t="n">
        <v>46268</v>
      </c>
      <c r="F217" t="inlineStr">
        <is>
          <t>JÖNKÖPINGS LÄN</t>
        </is>
      </c>
      <c r="G217" t="inlineStr">
        <is>
          <t>SÄVSJÖ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50629-2022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44866</v>
      </c>
      <c r="E218" s="1" t="n">
        <v>46268</v>
      </c>
      <c r="F218" t="inlineStr">
        <is>
          <t>JÖNKÖPINGS LÄN</t>
        </is>
      </c>
      <c r="G218" t="inlineStr">
        <is>
          <t>SÄVSJÖ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46268</v>
      </c>
      <c r="F219" t="inlineStr">
        <is>
          <t>JÖNKÖPINGS LÄN</t>
        </is>
      </c>
      <c r="G219" t="inlineStr">
        <is>
          <t>SÄVSJÖ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45338</v>
      </c>
      <c r="E220" s="1" t="n">
        <v>46268</v>
      </c>
      <c r="F220" t="inlineStr">
        <is>
          <t>JÖNKÖPINGS LÄN</t>
        </is>
      </c>
      <c r="G220" t="inlineStr">
        <is>
          <t>SÄVSJÖ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46268</v>
      </c>
      <c r="F221" t="inlineStr">
        <is>
          <t>JÖNKÖPINGS LÄN</t>
        </is>
      </c>
      <c r="G221" t="inlineStr">
        <is>
          <t>SÄVSJÖ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46113</v>
      </c>
      <c r="E222" s="1" t="n">
        <v>46268</v>
      </c>
      <c r="F222" t="inlineStr">
        <is>
          <t>JÖNKÖPINGS LÄN</t>
        </is>
      </c>
      <c r="G222" t="inlineStr">
        <is>
          <t>SÄVSJÖ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46268</v>
      </c>
      <c r="F223" t="inlineStr">
        <is>
          <t>JÖNKÖPINGS LÄN</t>
        </is>
      </c>
      <c r="G223" t="inlineStr">
        <is>
          <t>SÄVSJÖ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46268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46268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45534</v>
      </c>
      <c r="E226" s="1" t="n">
        <v>46268</v>
      </c>
      <c r="F226" t="inlineStr">
        <is>
          <t>JÖNKÖPINGS LÄN</t>
        </is>
      </c>
      <c r="G226" t="inlineStr">
        <is>
          <t>SÄVSJÖ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46268</v>
      </c>
      <c r="F227" t="inlineStr">
        <is>
          <t>JÖNKÖPINGS LÄN</t>
        </is>
      </c>
      <c r="G227" t="inlineStr">
        <is>
          <t>SÄVSJÖ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46268</v>
      </c>
      <c r="F228" t="inlineStr">
        <is>
          <t>JÖNKÖPINGS LÄN</t>
        </is>
      </c>
      <c r="G228" t="inlineStr">
        <is>
          <t>SÄVSJÖ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46268</v>
      </c>
      <c r="F229" t="inlineStr">
        <is>
          <t>JÖNKÖPINGS LÄN</t>
        </is>
      </c>
      <c r="G229" t="inlineStr">
        <is>
          <t>SÄVSJÖ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45209</v>
      </c>
      <c r="E230" s="1" t="n">
        <v>46268</v>
      </c>
      <c r="F230" t="inlineStr">
        <is>
          <t>JÖNKÖPINGS LÄN</t>
        </is>
      </c>
      <c r="G230" t="inlineStr">
        <is>
          <t>SÄVSJÖ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45204</v>
      </c>
      <c r="E231" s="1" t="n">
        <v>46268</v>
      </c>
      <c r="F231" t="inlineStr">
        <is>
          <t>JÖNKÖPINGS LÄN</t>
        </is>
      </c>
      <c r="G231" t="inlineStr">
        <is>
          <t>SÄVSJÖ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46268</v>
      </c>
      <c r="F232" t="inlineStr">
        <is>
          <t>JÖNKÖPINGS LÄN</t>
        </is>
      </c>
      <c r="G232" t="inlineStr">
        <is>
          <t>SÄVSJÖ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46268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45407</v>
      </c>
      <c r="E234" s="1" t="n">
        <v>46268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45407</v>
      </c>
      <c r="E235" s="1" t="n">
        <v>46268</v>
      </c>
      <c r="F235" t="inlineStr">
        <is>
          <t>JÖNKÖPINGS LÄN</t>
        </is>
      </c>
      <c r="G235" t="inlineStr">
        <is>
          <t>SÄVSJÖ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907-2024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45301</v>
      </c>
      <c r="E236" s="1" t="n">
        <v>46268</v>
      </c>
      <c r="F236" t="inlineStr">
        <is>
          <t>JÖNKÖPINGS LÄN</t>
        </is>
      </c>
      <c r="G236" t="inlineStr">
        <is>
          <t>SÄVSJÖ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46268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46268</v>
      </c>
      <c r="F238" t="inlineStr">
        <is>
          <t>JÖNKÖPINGS LÄN</t>
        </is>
      </c>
      <c r="G238" t="inlineStr">
        <is>
          <t>SÄVSJÖ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45785</v>
      </c>
      <c r="E239" s="1" t="n">
        <v>46268</v>
      </c>
      <c r="F239" t="inlineStr">
        <is>
          <t>JÖNKÖPINGS LÄN</t>
        </is>
      </c>
      <c r="G239" t="inlineStr">
        <is>
          <t>SÄVSJÖ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45315</v>
      </c>
      <c r="E240" s="1" t="n">
        <v>46268</v>
      </c>
      <c r="F240" t="inlineStr">
        <is>
          <t>JÖNKÖPINGS LÄN</t>
        </is>
      </c>
      <c r="G240" t="inlineStr">
        <is>
          <t>SÄVSJÖ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62961-2021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44505</v>
      </c>
      <c r="E241" s="1" t="n">
        <v>46268</v>
      </c>
      <c r="F241" t="inlineStr">
        <is>
          <t>JÖNKÖPINGS LÄN</t>
        </is>
      </c>
      <c r="G241" t="inlineStr">
        <is>
          <t>SÄVSJÖ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45446</v>
      </c>
      <c r="E242" s="1" t="n">
        <v>46268</v>
      </c>
      <c r="F242" t="inlineStr">
        <is>
          <t>JÖNKÖPINGS LÄN</t>
        </is>
      </c>
      <c r="G242" t="inlineStr">
        <is>
          <t>SÄVSJÖ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46268</v>
      </c>
      <c r="F243" t="inlineStr">
        <is>
          <t>JÖNKÖPINGS LÄN</t>
        </is>
      </c>
      <c r="G243" t="inlineStr">
        <is>
          <t>SÄVSJÖ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46268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45879</v>
      </c>
      <c r="E245" s="1" t="n">
        <v>46268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46268</v>
      </c>
      <c r="F246" t="inlineStr">
        <is>
          <t>JÖNKÖPINGS LÄN</t>
        </is>
      </c>
      <c r="G246" t="inlineStr">
        <is>
          <t>SÄVSJÖ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45669</v>
      </c>
      <c r="E247" s="1" t="n">
        <v>46268</v>
      </c>
      <c r="F247" t="inlineStr">
        <is>
          <t>JÖNKÖPINGS LÄN</t>
        </is>
      </c>
      <c r="G247" t="inlineStr">
        <is>
          <t>SÄVSJÖ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46268</v>
      </c>
      <c r="F248" t="inlineStr">
        <is>
          <t>JÖNKÖPINGS LÄN</t>
        </is>
      </c>
      <c r="G248" t="inlineStr">
        <is>
          <t>SÄVSJÖ</t>
        </is>
      </c>
      <c r="H248" t="inlineStr">
        <is>
          <t>Övriga Aktiebolag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45768</v>
      </c>
      <c r="E249" s="1" t="n">
        <v>46268</v>
      </c>
      <c r="F249" t="inlineStr">
        <is>
          <t>JÖNKÖPINGS LÄN</t>
        </is>
      </c>
      <c r="G249" t="inlineStr">
        <is>
          <t>SÄVSJÖ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46268</v>
      </c>
      <c r="F250" t="inlineStr">
        <is>
          <t>JÖNKÖPINGS LÄN</t>
        </is>
      </c>
      <c r="G250" t="inlineStr">
        <is>
          <t>SÄVSJÖ</t>
        </is>
      </c>
      <c r="H250" t="inlineStr">
        <is>
          <t>Kyrkan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45067</v>
      </c>
      <c r="E251" s="1" t="n">
        <v>46268</v>
      </c>
      <c r="F251" t="inlineStr">
        <is>
          <t>JÖNKÖPINGS LÄN</t>
        </is>
      </c>
      <c r="G251" t="inlineStr">
        <is>
          <t>SÄVSJÖ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46268</v>
      </c>
      <c r="F252" t="inlineStr">
        <is>
          <t>JÖNKÖPINGS LÄN</t>
        </is>
      </c>
      <c r="G252" t="inlineStr">
        <is>
          <t>SÄVSJÖ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46268</v>
      </c>
      <c r="F253" t="inlineStr">
        <is>
          <t>JÖNKÖPINGS LÄN</t>
        </is>
      </c>
      <c r="G253" t="inlineStr">
        <is>
          <t>SÄVSJÖ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45771</v>
      </c>
      <c r="E254" s="1" t="n">
        <v>46268</v>
      </c>
      <c r="F254" t="inlineStr">
        <is>
          <t>JÖNKÖPINGS LÄN</t>
        </is>
      </c>
      <c r="G254" t="inlineStr">
        <is>
          <t>SÄVSJÖ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46268</v>
      </c>
      <c r="F255" t="inlineStr">
        <is>
          <t>JÖNKÖPINGS LÄN</t>
        </is>
      </c>
      <c r="G255" t="inlineStr">
        <is>
          <t>SÄVSJÖ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46268</v>
      </c>
      <c r="F256" t="inlineStr">
        <is>
          <t>JÖNKÖPINGS LÄN</t>
        </is>
      </c>
      <c r="G256" t="inlineStr">
        <is>
          <t>SÄVSJÖ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44957</v>
      </c>
      <c r="E257" s="1" t="n">
        <v>46268</v>
      </c>
      <c r="F257" t="inlineStr">
        <is>
          <t>JÖNKÖPINGS LÄN</t>
        </is>
      </c>
      <c r="G257" t="inlineStr">
        <is>
          <t>SÄVSJÖ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46268</v>
      </c>
      <c r="F258" t="inlineStr">
        <is>
          <t>JÖNKÖPINGS LÄN</t>
        </is>
      </c>
      <c r="G258" t="inlineStr">
        <is>
          <t>SÄVSJÖ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46268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45037</v>
      </c>
      <c r="E260" s="1" t="n">
        <v>46268</v>
      </c>
      <c r="F260" t="inlineStr">
        <is>
          <t>JÖNKÖPINGS LÄN</t>
        </is>
      </c>
      <c r="G260" t="inlineStr">
        <is>
          <t>SÄVSJÖ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46268</v>
      </c>
      <c r="F261" t="inlineStr">
        <is>
          <t>JÖNKÖPINGS LÄN</t>
        </is>
      </c>
      <c r="G261" t="inlineStr">
        <is>
          <t>SÄVSJÖ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46268</v>
      </c>
      <c r="F262" t="inlineStr">
        <is>
          <t>JÖNKÖPINGS LÄN</t>
        </is>
      </c>
      <c r="G262" t="inlineStr">
        <is>
          <t>SÄVSJÖ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50493-2024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46268</v>
      </c>
      <c r="F263" t="inlineStr">
        <is>
          <t>JÖNKÖPINGS LÄN</t>
        </is>
      </c>
      <c r="G263" t="inlineStr">
        <is>
          <t>SÄVSJÖ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44830</v>
      </c>
      <c r="E264" s="1" t="n">
        <v>46268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46268</v>
      </c>
      <c r="F265" t="inlineStr">
        <is>
          <t>JÖNKÖPINGS LÄN</t>
        </is>
      </c>
      <c r="G265" t="inlineStr">
        <is>
          <t>SÄVSJÖ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37108-2022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44806</v>
      </c>
      <c r="E266" s="1" t="n">
        <v>46268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45469</v>
      </c>
      <c r="E267" s="1" t="n">
        <v>46268</v>
      </c>
      <c r="F267" t="inlineStr">
        <is>
          <t>JÖNKÖPINGS LÄN</t>
        </is>
      </c>
      <c r="G267" t="inlineStr">
        <is>
          <t>SÄVSJÖ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45534</v>
      </c>
      <c r="E268" s="1" t="n">
        <v>46268</v>
      </c>
      <c r="F268" t="inlineStr">
        <is>
          <t>JÖNKÖPINGS LÄN</t>
        </is>
      </c>
      <c r="G268" t="inlineStr">
        <is>
          <t>SÄVSJÖ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46268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46268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46268</v>
      </c>
      <c r="F271" t="inlineStr">
        <is>
          <t>JÖNKÖPINGS LÄN</t>
        </is>
      </c>
      <c r="G271" t="inlineStr">
        <is>
          <t>SÄVSJÖ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46164</v>
      </c>
      <c r="E272" s="1" t="n">
        <v>46268</v>
      </c>
      <c r="F272" t="inlineStr">
        <is>
          <t>JÖNKÖPINGS LÄN</t>
        </is>
      </c>
      <c r="G272" t="inlineStr">
        <is>
          <t>SÄVSJÖ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23816-2026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46165</v>
      </c>
      <c r="E273" s="1" t="n">
        <v>46268</v>
      </c>
      <c r="F273" t="inlineStr">
        <is>
          <t>JÖNKÖPINGS LÄN</t>
        </is>
      </c>
      <c r="G273" t="inlineStr">
        <is>
          <t>SÄVSJÖ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45127</v>
      </c>
      <c r="E274" s="1" t="n">
        <v>46268</v>
      </c>
      <c r="F274" t="inlineStr">
        <is>
          <t>JÖNKÖPINGS LÄN</t>
        </is>
      </c>
      <c r="G274" t="inlineStr">
        <is>
          <t>SÄVSJÖ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46168</v>
      </c>
      <c r="E275" s="1" t="n">
        <v>46268</v>
      </c>
      <c r="F275" t="inlineStr">
        <is>
          <t>JÖNKÖPINGS LÄN</t>
        </is>
      </c>
      <c r="G275" t="inlineStr">
        <is>
          <t>SÄVSJÖ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55258-2021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44475</v>
      </c>
      <c r="E276" s="1" t="n">
        <v>46268</v>
      </c>
      <c r="F276" t="inlineStr">
        <is>
          <t>JÖNKÖPINGS LÄN</t>
        </is>
      </c>
      <c r="G276" t="inlineStr">
        <is>
          <t>SÄVSJÖ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45411</v>
      </c>
      <c r="E277" s="1" t="n">
        <v>46268</v>
      </c>
      <c r="F277" t="inlineStr">
        <is>
          <t>JÖNKÖPINGS LÄN</t>
        </is>
      </c>
      <c r="G277" t="inlineStr">
        <is>
          <t>SÄVSJÖ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45253</v>
      </c>
      <c r="E278" s="1" t="n">
        <v>46268</v>
      </c>
      <c r="F278" t="inlineStr">
        <is>
          <t>JÖNKÖPINGS LÄN</t>
        </is>
      </c>
      <c r="G278" t="inlineStr">
        <is>
          <t>SÄVSJÖ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64126-2021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44510</v>
      </c>
      <c r="E279" s="1" t="n">
        <v>46268</v>
      </c>
      <c r="F279" t="inlineStr">
        <is>
          <t>JÖNKÖPINGS LÄN</t>
        </is>
      </c>
      <c r="G279" t="inlineStr">
        <is>
          <t>SÄVSJÖ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62421-2023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45268</v>
      </c>
      <c r="E280" s="1" t="n">
        <v>46268</v>
      </c>
      <c r="F280" t="inlineStr">
        <is>
          <t>JÖNKÖPINGS LÄN</t>
        </is>
      </c>
      <c r="G280" t="inlineStr">
        <is>
          <t>SÄVSJÖ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45341</v>
      </c>
      <c r="E281" s="1" t="n">
        <v>46268</v>
      </c>
      <c r="F281" t="inlineStr">
        <is>
          <t>JÖNKÖPINGS LÄN</t>
        </is>
      </c>
      <c r="G281" t="inlineStr">
        <is>
          <t>SÄVSJÖ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46268</v>
      </c>
      <c r="F282" t="inlineStr">
        <is>
          <t>JÖNKÖPINGS LÄN</t>
        </is>
      </c>
      <c r="G282" t="inlineStr">
        <is>
          <t>SÄVSJÖ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46268</v>
      </c>
      <c r="F283" t="inlineStr">
        <is>
          <t>JÖNKÖPINGS LÄN</t>
        </is>
      </c>
      <c r="G283" t="inlineStr">
        <is>
          <t>SÄVSJÖ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46268</v>
      </c>
      <c r="F284" t="inlineStr">
        <is>
          <t>JÖNKÖPINGS LÄN</t>
        </is>
      </c>
      <c r="G284" t="inlineStr">
        <is>
          <t>SÄVSJÖ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37611-2024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46268</v>
      </c>
      <c r="F285" t="inlineStr">
        <is>
          <t>JÖNKÖPINGS LÄN</t>
        </is>
      </c>
      <c r="G285" t="inlineStr">
        <is>
          <t>SÄVSJÖ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46268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46268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45748</v>
      </c>
      <c r="E288" s="1" t="n">
        <v>46268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46268</v>
      </c>
      <c r="F289" t="inlineStr">
        <is>
          <t>JÖNKÖPINGS LÄN</t>
        </is>
      </c>
      <c r="G289" t="inlineStr">
        <is>
          <t>SÄVSJÖ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46268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46268</v>
      </c>
      <c r="F291" t="inlineStr">
        <is>
          <t>JÖNKÖPINGS LÄN</t>
        </is>
      </c>
      <c r="G291" t="inlineStr">
        <is>
          <t>SÄVSJÖ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46268</v>
      </c>
      <c r="F292" t="inlineStr">
        <is>
          <t>JÖNKÖPINGS LÄN</t>
        </is>
      </c>
      <c r="G292" t="inlineStr">
        <is>
          <t>SÄVSJÖ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45301</v>
      </c>
      <c r="E293" s="1" t="n">
        <v>46268</v>
      </c>
      <c r="F293" t="inlineStr">
        <is>
          <t>JÖNKÖPINGS LÄN</t>
        </is>
      </c>
      <c r="G293" t="inlineStr">
        <is>
          <t>SÄVSJÖ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46268</v>
      </c>
      <c r="F294" t="inlineStr">
        <is>
          <t>JÖNKÖPINGS LÄN</t>
        </is>
      </c>
      <c r="G294" t="inlineStr">
        <is>
          <t>SÄVSJÖ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31721-2026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46226</v>
      </c>
      <c r="E295" s="1" t="n">
        <v>46268</v>
      </c>
      <c r="F295" t="inlineStr">
        <is>
          <t>JÖNKÖPINGS LÄN</t>
        </is>
      </c>
      <c r="G295" t="inlineStr">
        <is>
          <t>SÄVSJÖ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44872</v>
      </c>
      <c r="E296" s="1" t="n">
        <v>46268</v>
      </c>
      <c r="F296" t="inlineStr">
        <is>
          <t>JÖNKÖPINGS LÄN</t>
        </is>
      </c>
      <c r="G296" t="inlineStr">
        <is>
          <t>SÄVSJÖ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45008</v>
      </c>
      <c r="E297" s="1" t="n">
        <v>46268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46268</v>
      </c>
      <c r="F298" t="inlineStr">
        <is>
          <t>JÖNKÖPINGS LÄN</t>
        </is>
      </c>
      <c r="G298" t="inlineStr">
        <is>
          <t>SÄVSJÖ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46268</v>
      </c>
      <c r="F299" t="inlineStr">
        <is>
          <t>JÖNKÖPINGS LÄN</t>
        </is>
      </c>
      <c r="G299" t="inlineStr">
        <is>
          <t>SÄVSJÖ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46268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46268</v>
      </c>
      <c r="F301" t="inlineStr">
        <is>
          <t>JÖNKÖPINGS LÄN</t>
        </is>
      </c>
      <c r="G301" t="inlineStr">
        <is>
          <t>SÄVSJÖ</t>
        </is>
      </c>
      <c r="H301" t="inlineStr">
        <is>
          <t>Kommuner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44590</v>
      </c>
      <c r="E302" s="1" t="n">
        <v>46268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46268</v>
      </c>
      <c r="F303" t="inlineStr">
        <is>
          <t>JÖNKÖPINGS LÄN</t>
        </is>
      </c>
      <c r="G303" t="inlineStr">
        <is>
          <t>SÄVSJÖ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46268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46268</v>
      </c>
      <c r="F305" t="inlineStr">
        <is>
          <t>JÖNKÖPINGS LÄN</t>
        </is>
      </c>
      <c r="G305" t="inlineStr">
        <is>
          <t>SÄVSJÖ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46268</v>
      </c>
      <c r="F306" t="inlineStr">
        <is>
          <t>JÖNKÖPINGS LÄN</t>
        </is>
      </c>
      <c r="G306" t="inlineStr">
        <is>
          <t>SÄVSJÖ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46268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45146</v>
      </c>
      <c r="E308" s="1" t="n">
        <v>46268</v>
      </c>
      <c r="F308" t="inlineStr">
        <is>
          <t>JÖNKÖPINGS LÄN</t>
        </is>
      </c>
      <c r="G308" t="inlineStr">
        <is>
          <t>SÄVSJÖ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46268</v>
      </c>
      <c r="F309" t="inlineStr">
        <is>
          <t>JÖNKÖPINGS LÄN</t>
        </is>
      </c>
      <c r="G309" t="inlineStr">
        <is>
          <t>SÄVSJÖ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45601</v>
      </c>
      <c r="E310" s="1" t="n">
        <v>46268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45253</v>
      </c>
      <c r="E311" s="1" t="n">
        <v>46268</v>
      </c>
      <c r="F311" t="inlineStr">
        <is>
          <t>JÖNKÖPINGS LÄN</t>
        </is>
      </c>
      <c r="G311" t="inlineStr">
        <is>
          <t>SÄVSJÖ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46268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45029</v>
      </c>
      <c r="E313" s="1" t="n">
        <v>46268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45148</v>
      </c>
      <c r="E314" s="1" t="n">
        <v>46268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46268</v>
      </c>
      <c r="F315" t="inlineStr">
        <is>
          <t>JÖNKÖPINGS LÄN</t>
        </is>
      </c>
      <c r="G315" t="inlineStr">
        <is>
          <t>SÄVSJÖ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46268</v>
      </c>
      <c r="F316" t="inlineStr">
        <is>
          <t>JÖNKÖPINGS LÄN</t>
        </is>
      </c>
      <c r="G316" t="inlineStr">
        <is>
          <t>SÄVSJÖ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46268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45267</v>
      </c>
      <c r="E318" s="1" t="n">
        <v>46268</v>
      </c>
      <c r="F318" t="inlineStr">
        <is>
          <t>JÖNKÖPINGS LÄN</t>
        </is>
      </c>
      <c r="G318" t="inlineStr">
        <is>
          <t>SÄVSJÖ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44944</v>
      </c>
      <c r="E319" s="1" t="n">
        <v>46268</v>
      </c>
      <c r="F319" t="inlineStr">
        <is>
          <t>JÖNKÖPINGS LÄN</t>
        </is>
      </c>
      <c r="G319" t="inlineStr">
        <is>
          <t>SÄVSJÖ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45427</v>
      </c>
      <c r="E320" s="1" t="n">
        <v>46268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44651</v>
      </c>
      <c r="E321" s="1" t="n">
        <v>46268</v>
      </c>
      <c r="F321" t="inlineStr">
        <is>
          <t>JÖNKÖPINGS LÄN</t>
        </is>
      </c>
      <c r="G321" t="inlineStr">
        <is>
          <t>SÄVSJÖ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46268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49292-2023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45210</v>
      </c>
      <c r="E323" s="1" t="n">
        <v>46268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45094</v>
      </c>
      <c r="E324" s="1" t="n">
        <v>46268</v>
      </c>
      <c r="F324" t="inlineStr">
        <is>
          <t>JÖNKÖPINGS LÄN</t>
        </is>
      </c>
      <c r="G324" t="inlineStr">
        <is>
          <t>SÄVSJÖ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46268</v>
      </c>
      <c r="F325" t="inlineStr">
        <is>
          <t>JÖNKÖPINGS LÄN</t>
        </is>
      </c>
      <c r="G325" t="inlineStr">
        <is>
          <t>SÄVSJÖ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46268</v>
      </c>
      <c r="F326" t="inlineStr">
        <is>
          <t>JÖNKÖPINGS LÄN</t>
        </is>
      </c>
      <c r="G326" t="inlineStr">
        <is>
          <t>SÄVSJÖ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45694</v>
      </c>
      <c r="E327" s="1" t="n">
        <v>46268</v>
      </c>
      <c r="F327" t="inlineStr">
        <is>
          <t>JÖNKÖPINGS LÄN</t>
        </is>
      </c>
      <c r="G327" t="inlineStr">
        <is>
          <t>SÄVSJÖ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46268</v>
      </c>
      <c r="F328" t="inlineStr">
        <is>
          <t>JÖNKÖPINGS LÄN</t>
        </is>
      </c>
      <c r="G328" t="inlineStr">
        <is>
          <t>SÄVSJÖ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44839</v>
      </c>
      <c r="E329" s="1" t="n">
        <v>46268</v>
      </c>
      <c r="F329" t="inlineStr">
        <is>
          <t>JÖNKÖPINGS LÄN</t>
        </is>
      </c>
      <c r="G329" t="inlineStr">
        <is>
          <t>SÄVSJÖ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55909-2024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45623</v>
      </c>
      <c r="E330" s="1" t="n">
        <v>46268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45704</v>
      </c>
      <c r="E331" s="1" t="n">
        <v>46268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45317</v>
      </c>
      <c r="E332" s="1" t="n">
        <v>46268</v>
      </c>
      <c r="F332" t="inlineStr">
        <is>
          <t>JÖNKÖPINGS LÄN</t>
        </is>
      </c>
      <c r="G332" t="inlineStr">
        <is>
          <t>SÄVSJÖ</t>
        </is>
      </c>
      <c r="I332" t="n">
        <v>19.9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45371</v>
      </c>
      <c r="E333" s="1" t="n">
        <v>46268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46268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53916-2021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44469</v>
      </c>
      <c r="E335" s="1" t="n">
        <v>46268</v>
      </c>
      <c r="F335" t="inlineStr">
        <is>
          <t>JÖNKÖPINGS LÄN</t>
        </is>
      </c>
      <c r="G335" t="inlineStr">
        <is>
          <t>SÄVSJÖ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44830</v>
      </c>
      <c r="E336" s="1" t="n">
        <v>46268</v>
      </c>
      <c r="F336" t="inlineStr">
        <is>
          <t>JÖNKÖPINGS LÄN</t>
        </is>
      </c>
      <c r="G336" t="inlineStr">
        <is>
          <t>SÄVSJÖ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45275</v>
      </c>
      <c r="E337" s="1" t="n">
        <v>46268</v>
      </c>
      <c r="F337" t="inlineStr">
        <is>
          <t>JÖNKÖPINGS LÄN</t>
        </is>
      </c>
      <c r="G337" t="inlineStr">
        <is>
          <t>SÄVSJÖ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44883</v>
      </c>
      <c r="E338" s="1" t="n">
        <v>46268</v>
      </c>
      <c r="F338" t="inlineStr">
        <is>
          <t>JÖNKÖPINGS LÄN</t>
        </is>
      </c>
      <c r="G338" t="inlineStr">
        <is>
          <t>SÄVSJÖ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46268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55254-2021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44475</v>
      </c>
      <c r="E340" s="1" t="n">
        <v>46268</v>
      </c>
      <c r="F340" t="inlineStr">
        <is>
          <t>JÖNKÖPINGS LÄN</t>
        </is>
      </c>
      <c r="G340" t="inlineStr">
        <is>
          <t>SÄVSJÖ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45301</v>
      </c>
      <c r="E341" s="1" t="n">
        <v>46268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45532</v>
      </c>
      <c r="E342" s="1" t="n">
        <v>46268</v>
      </c>
      <c r="F342" t="inlineStr">
        <is>
          <t>JÖNKÖPINGS LÄN</t>
        </is>
      </c>
      <c r="G342" t="inlineStr">
        <is>
          <t>SÄVSJÖ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46268</v>
      </c>
      <c r="F343" t="inlineStr">
        <is>
          <t>JÖNKÖPINGS LÄN</t>
        </is>
      </c>
      <c r="G343" t="inlineStr">
        <is>
          <t>SÄVSJÖ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46268</v>
      </c>
      <c r="F344" t="inlineStr">
        <is>
          <t>JÖNKÖPINGS LÄN</t>
        </is>
      </c>
      <c r="G344" t="inlineStr">
        <is>
          <t>SÄVSJÖ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46268</v>
      </c>
      <c r="F345" t="inlineStr">
        <is>
          <t>JÖNKÖPINGS LÄN</t>
        </is>
      </c>
      <c r="G345" t="inlineStr">
        <is>
          <t>SÄVSJÖ</t>
        </is>
      </c>
      <c r="H345" t="inlineStr">
        <is>
          <t>Kyrkan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46268</v>
      </c>
      <c r="F346" t="inlineStr">
        <is>
          <t>JÖNKÖPINGS LÄN</t>
        </is>
      </c>
      <c r="G346" t="inlineStr">
        <is>
          <t>SÄVSJÖ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46260</v>
      </c>
      <c r="E347" s="1" t="n">
        <v>46268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35204-2026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46260</v>
      </c>
      <c r="E348" s="1" t="n">
        <v>46268</v>
      </c>
      <c r="F348" t="inlineStr">
        <is>
          <t>JÖNKÖPINGS LÄN</t>
        </is>
      </c>
      <c r="G348" t="inlineStr">
        <is>
          <t>SÄVSJÖ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46268</v>
      </c>
      <c r="F349" t="inlineStr">
        <is>
          <t>JÖNKÖPINGS LÄN</t>
        </is>
      </c>
      <c r="G349" t="inlineStr">
        <is>
          <t>SÄVSJÖ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46268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46268</v>
      </c>
      <c r="F351" t="inlineStr">
        <is>
          <t>JÖNKÖPINGS LÄN</t>
        </is>
      </c>
      <c r="G351" t="inlineStr">
        <is>
          <t>SÄVSJÖ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46260</v>
      </c>
      <c r="E352" s="1" t="n">
        <v>46268</v>
      </c>
      <c r="F352" t="inlineStr">
        <is>
          <t>JÖNKÖPINGS LÄN</t>
        </is>
      </c>
      <c r="G352" t="inlineStr">
        <is>
          <t>SÄVSJÖ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21788-2023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45066</v>
      </c>
      <c r="E353" s="1" t="n">
        <v>46268</v>
      </c>
      <c r="F353" t="inlineStr">
        <is>
          <t>JÖNKÖPINGS LÄN</t>
        </is>
      </c>
      <c r="G353" t="inlineStr">
        <is>
          <t>SÄVSJÖ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22730-2024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46268</v>
      </c>
      <c r="F354" t="inlineStr">
        <is>
          <t>JÖNKÖPINGS LÄN</t>
        </is>
      </c>
      <c r="G354" t="inlineStr">
        <is>
          <t>SÄVSJÖ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45607</v>
      </c>
      <c r="E355" s="1" t="n">
        <v>46268</v>
      </c>
      <c r="F355" t="inlineStr">
        <is>
          <t>JÖNKÖPINGS LÄN</t>
        </is>
      </c>
      <c r="G355" t="inlineStr">
        <is>
          <t>SÄVSJÖ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46248</v>
      </c>
      <c r="E356" s="1" t="n">
        <v>46268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46268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46248</v>
      </c>
      <c r="E358" s="1" t="n">
        <v>46268</v>
      </c>
      <c r="F358" t="inlineStr">
        <is>
          <t>JÖNKÖPINGS LÄN</t>
        </is>
      </c>
      <c r="G358" t="inlineStr">
        <is>
          <t>SÄVSJÖ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46266</v>
      </c>
      <c r="E359" s="1" t="n">
        <v>46268</v>
      </c>
      <c r="F359" t="inlineStr">
        <is>
          <t>JÖNKÖPINGS LÄN</t>
        </is>
      </c>
      <c r="G359" t="inlineStr">
        <is>
          <t>SÄVSJÖ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45366</v>
      </c>
      <c r="E360" s="1" t="n">
        <v>46268</v>
      </c>
      <c r="F360" t="inlineStr">
        <is>
          <t>JÖNKÖPINGS LÄN</t>
        </is>
      </c>
      <c r="G360" t="inlineStr">
        <is>
          <t>SÄVSJÖ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46266</v>
      </c>
      <c r="E361" s="1" t="n">
        <v>46268</v>
      </c>
      <c r="F361" t="inlineStr">
        <is>
          <t>JÖNKÖPINGS LÄN</t>
        </is>
      </c>
      <c r="G361" t="inlineStr">
        <is>
          <t>SÄVSJÖ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46266</v>
      </c>
      <c r="E362" s="1" t="n">
        <v>46268</v>
      </c>
      <c r="F362" t="inlineStr">
        <is>
          <t>JÖNKÖPINGS LÄN</t>
        </is>
      </c>
      <c r="G362" t="inlineStr">
        <is>
          <t>SÄVSJÖ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45198</v>
      </c>
      <c r="E363" s="1" t="n">
        <v>46268</v>
      </c>
      <c r="F363" t="inlineStr">
        <is>
          <t>JÖNKÖPINGS LÄN</t>
        </is>
      </c>
      <c r="G363" t="inlineStr">
        <is>
          <t>SÄVSJÖ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46268</v>
      </c>
      <c r="F364" t="inlineStr">
        <is>
          <t>JÖNKÖPINGS LÄN</t>
        </is>
      </c>
      <c r="G364" t="inlineStr">
        <is>
          <t>SÄVSJÖ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46268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46268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46268</v>
      </c>
      <c r="F367" t="inlineStr">
        <is>
          <t>JÖNKÖPINGS LÄN</t>
        </is>
      </c>
      <c r="G367" t="inlineStr">
        <is>
          <t>SÄVSJÖ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46268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60805-2024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45644</v>
      </c>
      <c r="E369" s="1" t="n">
        <v>46268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46268</v>
      </c>
      <c r="F370" t="inlineStr">
        <is>
          <t>JÖNKÖPINGS LÄN</t>
        </is>
      </c>
      <c r="G370" t="inlineStr">
        <is>
          <t>SÄVSJÖ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46268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46268</v>
      </c>
      <c r="F372" t="inlineStr">
        <is>
          <t>JÖNKÖPINGS LÄN</t>
        </is>
      </c>
      <c r="G372" t="inlineStr">
        <is>
          <t>SÄVSJÖ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45725</v>
      </c>
      <c r="E373" s="1" t="n">
        <v>46268</v>
      </c>
      <c r="F373" t="inlineStr">
        <is>
          <t>JÖNKÖPINGS LÄN</t>
        </is>
      </c>
      <c r="G373" t="inlineStr">
        <is>
          <t>SÄVSJÖ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46268</v>
      </c>
      <c r="F374" t="inlineStr">
        <is>
          <t>JÖNKÖPINGS LÄN</t>
        </is>
      </c>
      <c r="G374" t="inlineStr">
        <is>
          <t>SÄVSJÖ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45791</v>
      </c>
      <c r="E375" s="1" t="n">
        <v>46268</v>
      </c>
      <c r="F375" t="inlineStr">
        <is>
          <t>JÖNKÖPINGS LÄN</t>
        </is>
      </c>
      <c r="G375" t="inlineStr">
        <is>
          <t>SÄVSJÖ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46268</v>
      </c>
      <c r="F376" t="inlineStr">
        <is>
          <t>JÖNKÖPINGS LÄN</t>
        </is>
      </c>
      <c r="G376" t="inlineStr">
        <is>
          <t>SÄVSJÖ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46268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46268</v>
      </c>
      <c r="F378" t="inlineStr">
        <is>
          <t>JÖNKÖPINGS LÄN</t>
        </is>
      </c>
      <c r="G378" t="inlineStr">
        <is>
          <t>SÄVSJÖ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12794-2025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46268</v>
      </c>
      <c r="F379" t="inlineStr">
        <is>
          <t>JÖNKÖPINGS LÄN</t>
        </is>
      </c>
      <c r="G379" t="inlineStr">
        <is>
          <t>SÄVSJÖ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46268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46268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46268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46268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46268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46268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10445-2021</t>
        </is>
      </c>
      <c r="B386" t="inlineStr">
        <is>
          <t>samrådsanmälan</t>
        </is>
      </c>
      <c r="C386" t="inlineStr">
        <is>
          <t>Skogsbilväg</t>
        </is>
      </c>
      <c r="D386" s="1" t="n">
        <v>44558</v>
      </c>
      <c r="E386" s="1" t="n">
        <v>46268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46268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46268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46268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46268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46268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46268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46268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46268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46268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46268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46268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46268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46268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46268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46268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46268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46268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46268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46268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46268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46268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46268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46268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2026-09-03T02:09:05Z</dcterms:created>
  <dcterms:modified xmlns:dcterms="http://purl.org/dc/terms/" xmlns:xsi="http://www.w3.org/2001/XMLSchema-instance" xsi:type="dcterms:W3CDTF">2026-09-03T02:09:05Z</dcterms:modified>
</cp:coreProperties>
</file>