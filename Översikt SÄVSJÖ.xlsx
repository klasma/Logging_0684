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46259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46259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46259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46259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46259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34214-2025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46259</v>
      </c>
      <c r="F10" t="inlineStr">
        <is>
          <t>JÖNKÖPINGS LÄN</t>
        </is>
      </c>
      <c r="G10" t="inlineStr">
        <is>
          <t>SÄVSJÖ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1</v>
      </c>
      <c r="V10" s="2" t="inlineStr">
        <is>
          <t>Lungrot</t>
        </is>
      </c>
      <c r="W10">
        <f>HYPERLINK("https://klasma.github.io/Logging_0684/artfynd/A 34214-2025 artfynd.xlsx", "A 34214-2025")</f>
        <v/>
      </c>
      <c r="X10">
        <f>HYPERLINK("https://klasma.github.io/Logging_0684/kartor/A 34214-2025 karta.png", "A 34214-2025")</f>
        <v/>
      </c>
      <c r="Y10">
        <f>HYPERLINK("https://klasma.github.io/Logging_0684/kartor_geotiff/A 34214-2025 georefererad karta.tif", "A 34214-2025")</f>
        <v/>
      </c>
      <c r="AA10">
        <f>HYPERLINK("https://klasma.github.io/Logging_0684/klagomål/A 34214-2025 FSC-klagomål.docx", "A 34214-2025")</f>
        <v/>
      </c>
      <c r="AB10">
        <f>HYPERLINK("https://klasma.github.io/Logging_0684/klagomålsmail/A 34214-2025 FSC-klagomål mail.docx", "A 34214-2025")</f>
        <v/>
      </c>
      <c r="AC10">
        <f>HYPERLINK("https://klasma.github.io/Logging_0684/tillsyn/A 34214-2025 tillsynsbegäran.docx", "A 34214-2025")</f>
        <v/>
      </c>
      <c r="AD10">
        <f>HYPERLINK("https://klasma.github.io/Logging_0684/tillsynsmail/A 34214-2025 tillsynsbegäran mail.docx", "A 34214-2025")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46259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46259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46259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51095-2023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45218</v>
      </c>
      <c r="E14" s="1" t="n">
        <v>46259</v>
      </c>
      <c r="F14" t="inlineStr">
        <is>
          <t>JÖNKÖPINGS LÄN</t>
        </is>
      </c>
      <c r="G14" t="inlineStr">
        <is>
          <t>SÄVSJÖ</t>
        </is>
      </c>
      <c r="I14" t="n">
        <v>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Korallrot</t>
        </is>
      </c>
      <c r="W14">
        <f>HYPERLINK("https://klasma.github.io/Logging_0684/artfynd/A 51095-2023 artfynd.xlsx", "A 51095-2023")</f>
        <v/>
      </c>
      <c r="X14">
        <f>HYPERLINK("https://klasma.github.io/Logging_0684/kartor/A 51095-2023 karta.png", "A 51095-2023")</f>
        <v/>
      </c>
      <c r="Y14">
        <f>HYPERLINK("https://klasma.github.io/Logging_0684/kartor_geotiff/A 51095-2023 georefererad karta.tif", "A 51095-2023")</f>
        <v/>
      </c>
      <c r="AA14">
        <f>HYPERLINK("https://klasma.github.io/Logging_0684/klagomål/A 51095-2023 FSC-klagomål.docx", "A 51095-2023")</f>
        <v/>
      </c>
      <c r="AB14">
        <f>HYPERLINK("https://klasma.github.io/Logging_0684/klagomålsmail/A 51095-2023 FSC-klagomål mail.docx", "A 51095-2023")</f>
        <v/>
      </c>
      <c r="AC14">
        <f>HYPERLINK("https://klasma.github.io/Logging_0684/tillsyn/A 51095-2023 tillsynsbegäran.docx", "A 51095-2023")</f>
        <v/>
      </c>
      <c r="AD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46259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Småfruktigt blågryn</t>
        </is>
      </c>
      <c r="W15">
        <f>HYPERLINK("https://klasma.github.io/Logging_0684/artfynd/A 8198-2024 artfynd.xlsx", "A 8198-2024")</f>
        <v/>
      </c>
      <c r="X15">
        <f>HYPERLINK("https://klasma.github.io/Logging_0684/kartor/A 8198-2024 karta.png", "A 8198-2024")</f>
        <v/>
      </c>
      <c r="Y15">
        <f>HYPERLINK("https://klasma.github.io/Logging_0684/kartor_geotiff/A 8198-2024 georefererad karta.tif", "A 8198-2024")</f>
        <v/>
      </c>
      <c r="AA15">
        <f>HYPERLINK("https://klasma.github.io/Logging_0684/klagomål/A 8198-2024 FSC-klagomål.docx", "A 8198-2024")</f>
        <v/>
      </c>
      <c r="AB15">
        <f>HYPERLINK("https://klasma.github.io/Logging_0684/klagomålsmail/A 8198-2024 FSC-klagomål mail.docx", "A 8198-2024")</f>
        <v/>
      </c>
      <c r="AC15">
        <f>HYPERLINK("https://klasma.github.io/Logging_0684/tillsyn/A 8198-2024 tillsynsbegäran.docx", "A 8198-2024")</f>
        <v/>
      </c>
      <c r="AD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46259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57846-2025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45981</v>
      </c>
      <c r="E17" s="1" t="n">
        <v>46259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t="n">
        <v>0</v>
      </c>
      <c r="V17" s="2" t="inlineStr">
        <is>
          <t>Ask</t>
        </is>
      </c>
      <c r="W17">
        <f>HYPERLINK("https://klasma.github.io/Logging_0684/artfynd/A 57846-2025 artfynd.xlsx", "A 57846-2025")</f>
        <v/>
      </c>
      <c r="X17">
        <f>HYPERLINK("https://klasma.github.io/Logging_0684/kartor/A 57846-2025 karta.png", "A 57846-2025")</f>
        <v/>
      </c>
      <c r="Y17">
        <f>HYPERLINK("https://klasma.github.io/Logging_0684/kartor_geotiff/A 57846-2025 georefererad karta.tif", "A 57846-2025")</f>
        <v/>
      </c>
      <c r="AA17">
        <f>HYPERLINK("https://klasma.github.io/Logging_0684/klagomål/A 57846-2025 FSC-klagomål.docx", "A 57846-2025")</f>
        <v/>
      </c>
      <c r="AB17">
        <f>HYPERLINK("https://klasma.github.io/Logging_0684/klagomålsmail/A 57846-2025 FSC-klagomål mail.docx", "A 57846-2025")</f>
        <v/>
      </c>
      <c r="AC17">
        <f>HYPERLINK("https://klasma.github.io/Logging_0684/tillsyn/A 57846-2025 tillsynsbegäran.docx", "A 57846-2025")</f>
        <v/>
      </c>
      <c r="AD17">
        <f>HYPERLINK("https://klasma.github.io/Logging_0684/tillsynsmail/A 57846-2025 tillsynsbegäran mail.docx", "A 57846-2025")</f>
        <v/>
      </c>
    </row>
    <row r="18" ht="15" customHeight="1">
      <c r="A18" t="inlineStr">
        <is>
          <t>A 61482-2024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45646</v>
      </c>
      <c r="E18" s="1" t="n">
        <v>46259</v>
      </c>
      <c r="F18" t="inlineStr">
        <is>
          <t>JÖNKÖPINGS LÄN</t>
        </is>
      </c>
      <c r="G18" t="inlineStr">
        <is>
          <t>SÄVSJÖ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61482-2024 artfynd.xlsx", "A 61482-2024")</f>
        <v/>
      </c>
      <c r="X18">
        <f>HYPERLINK("https://klasma.github.io/Logging_0684/kartor/A 61482-2024 karta.png", "A 61482-2024")</f>
        <v/>
      </c>
      <c r="Y18">
        <f>HYPERLINK("https://klasma.github.io/Logging_0684/kartor_geotiff/A 61482-2024 georefererad karta.tif", "A 61482-2024")</f>
        <v/>
      </c>
      <c r="AA18">
        <f>HYPERLINK("https://klasma.github.io/Logging_0684/klagomål/A 61482-2024 FSC-klagomål.docx", "A 61482-2024")</f>
        <v/>
      </c>
      <c r="AB18">
        <f>HYPERLINK("https://klasma.github.io/Logging_0684/klagomålsmail/A 61482-2024 FSC-klagomål mail.docx", "A 61482-2024")</f>
        <v/>
      </c>
      <c r="AC18">
        <f>HYPERLINK("https://klasma.github.io/Logging_0684/tillsyn/A 61482-2024 tillsynsbegäran.docx", "A 61482-2024")</f>
        <v/>
      </c>
      <c r="AD18">
        <f>HYPERLINK("https://klasma.github.io/Logging_0684/tillsynsmail/A 61482-2024 tillsynsbegäran mail.docx", "A 61482-2024")</f>
        <v/>
      </c>
    </row>
    <row r="19" ht="15" customHeight="1">
      <c r="A19" t="inlineStr">
        <is>
          <t>A 10775-2025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45722</v>
      </c>
      <c r="E19" s="1" t="n">
        <v>46259</v>
      </c>
      <c r="F19" t="inlineStr">
        <is>
          <t>JÖNKÖPINGS LÄN</t>
        </is>
      </c>
      <c r="G19" t="inlineStr">
        <is>
          <t>SÄVSJÖ</t>
        </is>
      </c>
      <c r="I19" t="n">
        <v>10.1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Solvända</t>
        </is>
      </c>
      <c r="W19">
        <f>HYPERLINK("https://klasma.github.io/Logging_0684/artfynd/A 10775-2025 artfynd.xlsx", "A 10775-2025")</f>
        <v/>
      </c>
      <c r="X19">
        <f>HYPERLINK("https://klasma.github.io/Logging_0684/kartor/A 10775-2025 karta.png", "A 10775-2025")</f>
        <v/>
      </c>
      <c r="Y19">
        <f>HYPERLINK("https://klasma.github.io/Logging_0684/kartor_geotiff/A 10775-2025 georefererad karta.tif", "A 10775-2025")</f>
        <v/>
      </c>
      <c r="AA19">
        <f>HYPERLINK("https://klasma.github.io/Logging_0684/klagomål/A 10775-2025 FSC-klagomål.docx", "A 10775-2025")</f>
        <v/>
      </c>
      <c r="AB19">
        <f>HYPERLINK("https://klasma.github.io/Logging_0684/klagomålsmail/A 10775-2025 FSC-klagomål mail.docx", "A 10775-2025")</f>
        <v/>
      </c>
      <c r="AC19">
        <f>HYPERLINK("https://klasma.github.io/Logging_0684/tillsyn/A 10775-2025 tillsynsbegäran.docx", "A 10775-2025")</f>
        <v/>
      </c>
      <c r="AD19">
        <f>HYPERLINK("https://klasma.github.io/Logging_0684/tillsynsmail/A 10775-2025 tillsynsbegäran mail.docx", "A 10775-2025")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46259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11797-2026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46259</v>
      </c>
      <c r="F21" t="inlineStr">
        <is>
          <t>JÖNKÖPINGS LÄN</t>
        </is>
      </c>
      <c r="G21" t="inlineStr">
        <is>
          <t>SÄVSJÖ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11797-2026 artfynd.xlsx", "A 11797-2026")</f>
        <v/>
      </c>
      <c r="X21">
        <f>HYPERLINK("https://klasma.github.io/Logging_0684/kartor/A 11797-2026 karta.png", "A 11797-2026")</f>
        <v/>
      </c>
      <c r="Y21">
        <f>HYPERLINK("https://klasma.github.io/Logging_0684/kartor_geotiff/A 11797-2026 georefererad karta.tif", "A 11797-2026")</f>
        <v/>
      </c>
      <c r="AA21">
        <f>HYPERLINK("https://klasma.github.io/Logging_0684/klagomål/A 11797-2026 FSC-klagomål.docx", "A 11797-2026")</f>
        <v/>
      </c>
      <c r="AB21">
        <f>HYPERLINK("https://klasma.github.io/Logging_0684/klagomålsmail/A 11797-2026 FSC-klagomål mail.docx", "A 11797-2026")</f>
        <v/>
      </c>
      <c r="AC21">
        <f>HYPERLINK("https://klasma.github.io/Logging_0684/tillsyn/A 11797-2026 tillsynsbegäran.docx", "A 11797-2026")</f>
        <v/>
      </c>
      <c r="AD21">
        <f>HYPERLINK("https://klasma.github.io/Logging_0684/tillsynsmail/A 11797-2026 tillsynsbegäran mail.docx", "A 11797-2026")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46259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46259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46259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46259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46259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46259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46259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46259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46259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46259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46259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46259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46259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46259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46259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46259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46259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46259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46259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46259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46259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46259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46259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46259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46259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46259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46259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46259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46259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46259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46259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46259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46259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46259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46259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46259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46259</v>
      </c>
      <c r="F63" t="inlineStr">
        <is>
          <t>JÖNKÖPINGS LÄN</t>
        </is>
      </c>
      <c r="G63" t="inlineStr">
        <is>
          <t>SÄVSJÖ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56097-2023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45240</v>
      </c>
      <c r="E64" s="1" t="n">
        <v>46259</v>
      </c>
      <c r="F64" t="inlineStr">
        <is>
          <t>JÖNKÖPINGS LÄN</t>
        </is>
      </c>
      <c r="G64" t="inlineStr">
        <is>
          <t>SÄVSJÖ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46259</v>
      </c>
      <c r="F65" t="inlineStr">
        <is>
          <t>JÖNKÖPINGS LÄN</t>
        </is>
      </c>
      <c r="G65" t="inlineStr">
        <is>
          <t>SÄVSJÖ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45768</v>
      </c>
      <c r="E66" s="1" t="n">
        <v>46259</v>
      </c>
      <c r="F66" t="inlineStr">
        <is>
          <t>JÖNKÖPINGS LÄN</t>
        </is>
      </c>
      <c r="G66" t="inlineStr">
        <is>
          <t>SÄVSJÖ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46259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46259</v>
      </c>
      <c r="F68" t="inlineStr">
        <is>
          <t>JÖNKÖPINGS LÄN</t>
        </is>
      </c>
      <c r="G68" t="inlineStr">
        <is>
          <t>SÄVSJÖ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46259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46259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46259</v>
      </c>
      <c r="F71" t="inlineStr">
        <is>
          <t>JÖNKÖPINGS LÄN</t>
        </is>
      </c>
      <c r="G71" t="inlineStr">
        <is>
          <t>SÄVSJÖ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71610-2021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44541</v>
      </c>
      <c r="E72" s="1" t="n">
        <v>46259</v>
      </c>
      <c r="F72" t="inlineStr">
        <is>
          <t>JÖNKÖPINGS LÄN</t>
        </is>
      </c>
      <c r="G72" t="inlineStr">
        <is>
          <t>SÄVSJÖ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46259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46259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50627-2022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46259</v>
      </c>
      <c r="F75" t="inlineStr">
        <is>
          <t>JÖNKÖPINGS LÄN</t>
        </is>
      </c>
      <c r="G75" t="inlineStr">
        <is>
          <t>SÄVSJÖ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46259</v>
      </c>
      <c r="F76" t="inlineStr">
        <is>
          <t>JÖNKÖPINGS LÄN</t>
        </is>
      </c>
      <c r="G76" t="inlineStr">
        <is>
          <t>SÄVSJÖ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46259</v>
      </c>
      <c r="F77" t="inlineStr">
        <is>
          <t>JÖNKÖPINGS LÄN</t>
        </is>
      </c>
      <c r="G77" t="inlineStr">
        <is>
          <t>SÄVSJÖ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46259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20603-2022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44700</v>
      </c>
      <c r="E79" s="1" t="n">
        <v>46259</v>
      </c>
      <c r="F79" t="inlineStr">
        <is>
          <t>JÖNKÖPINGS LÄN</t>
        </is>
      </c>
      <c r="G79" t="inlineStr">
        <is>
          <t>SÄVSJÖ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46259</v>
      </c>
      <c r="F80" t="inlineStr">
        <is>
          <t>JÖNKÖPINGS LÄN</t>
        </is>
      </c>
      <c r="G80" t="inlineStr">
        <is>
          <t>SÄVSJÖ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46259</v>
      </c>
      <c r="F81" t="inlineStr">
        <is>
          <t>JÖNKÖPINGS LÄN</t>
        </is>
      </c>
      <c r="G81" t="inlineStr">
        <is>
          <t>SÄVSJÖ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45669</v>
      </c>
      <c r="E82" s="1" t="n">
        <v>46259</v>
      </c>
      <c r="F82" t="inlineStr">
        <is>
          <t>JÖNKÖPINGS LÄN</t>
        </is>
      </c>
      <c r="G82" t="inlineStr">
        <is>
          <t>SÄVSJÖ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46259</v>
      </c>
      <c r="F83" t="inlineStr">
        <is>
          <t>JÖNKÖPINGS LÄN</t>
        </is>
      </c>
      <c r="G83" t="inlineStr">
        <is>
          <t>SÄVSJÖ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46259</v>
      </c>
      <c r="F84" t="inlineStr">
        <is>
          <t>JÖNKÖPINGS LÄN</t>
        </is>
      </c>
      <c r="G84" t="inlineStr">
        <is>
          <t>SÄVSJÖ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46259</v>
      </c>
      <c r="F85" t="inlineStr">
        <is>
          <t>JÖNKÖPINGS LÄN</t>
        </is>
      </c>
      <c r="G85" t="inlineStr">
        <is>
          <t>SÄVSJÖ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46259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45066</v>
      </c>
      <c r="E87" s="1" t="n">
        <v>46259</v>
      </c>
      <c r="F87" t="inlineStr">
        <is>
          <t>JÖNKÖPINGS LÄN</t>
        </is>
      </c>
      <c r="G87" t="inlineStr">
        <is>
          <t>SÄVSJÖ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44442</v>
      </c>
      <c r="E88" s="1" t="n">
        <v>46259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25.6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44781</v>
      </c>
      <c r="E89" s="1" t="n">
        <v>46259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46259</v>
      </c>
      <c r="F90" t="inlineStr">
        <is>
          <t>JÖNKÖPINGS LÄN</t>
        </is>
      </c>
      <c r="G90" t="inlineStr">
        <is>
          <t>SÄVSJÖ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46259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46259</v>
      </c>
      <c r="F92" t="inlineStr">
        <is>
          <t>JÖNKÖPINGS LÄN</t>
        </is>
      </c>
      <c r="G92" t="inlineStr">
        <is>
          <t>SÄVSJÖ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46259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46259</v>
      </c>
      <c r="F94" t="inlineStr">
        <is>
          <t>JÖNKÖPINGS LÄN</t>
        </is>
      </c>
      <c r="G94" t="inlineStr">
        <is>
          <t>SÄVSJÖ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46259</v>
      </c>
      <c r="F95" t="inlineStr">
        <is>
          <t>JÖNKÖPINGS LÄN</t>
        </is>
      </c>
      <c r="G95" t="inlineStr">
        <is>
          <t>SÄVSJÖ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45086</v>
      </c>
      <c r="E96" s="1" t="n">
        <v>46259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46259</v>
      </c>
      <c r="F97" t="inlineStr">
        <is>
          <t>JÖNKÖPINGS LÄN</t>
        </is>
      </c>
      <c r="G97" t="inlineStr">
        <is>
          <t>SÄVSJÖ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46259</v>
      </c>
      <c r="F98" t="inlineStr">
        <is>
          <t>JÖNKÖPINGS LÄN</t>
        </is>
      </c>
      <c r="G98" t="inlineStr">
        <is>
          <t>SÄVSJÖ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49449-2023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46259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37108-2022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46259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46259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46259</v>
      </c>
      <c r="F102" t="inlineStr">
        <is>
          <t>JÖNKÖPINGS LÄN</t>
        </is>
      </c>
      <c r="G102" t="inlineStr">
        <is>
          <t>SÄVSJÖ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46259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46259</v>
      </c>
      <c r="F104" t="inlineStr">
        <is>
          <t>JÖNKÖPINGS LÄN</t>
        </is>
      </c>
      <c r="G104" t="inlineStr">
        <is>
          <t>SÄVSJÖ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46259</v>
      </c>
      <c r="F105" t="inlineStr">
        <is>
          <t>JÖNKÖPINGS LÄN</t>
        </is>
      </c>
      <c r="G105" t="inlineStr">
        <is>
          <t>SÄVSJÖ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46259</v>
      </c>
      <c r="F106" t="inlineStr">
        <is>
          <t>JÖNKÖPINGS LÄN</t>
        </is>
      </c>
      <c r="G106" t="inlineStr">
        <is>
          <t>SÄVSJÖ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46259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46259</v>
      </c>
      <c r="F108" t="inlineStr">
        <is>
          <t>JÖNKÖPINGS LÄN</t>
        </is>
      </c>
      <c r="G108" t="inlineStr">
        <is>
          <t>SÄVSJÖ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46259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46259</v>
      </c>
      <c r="F110" t="inlineStr">
        <is>
          <t>JÖNKÖPINGS LÄN</t>
        </is>
      </c>
      <c r="G110" t="inlineStr">
        <is>
          <t>SÄVSJÖ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46259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30162-2023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45110</v>
      </c>
      <c r="E112" s="1" t="n">
        <v>46259</v>
      </c>
      <c r="F112" t="inlineStr">
        <is>
          <t>JÖNKÖPINGS LÄN</t>
        </is>
      </c>
      <c r="G112" t="inlineStr">
        <is>
          <t>SÄVSJÖ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45764</v>
      </c>
      <c r="E113" s="1" t="n">
        <v>46259</v>
      </c>
      <c r="F113" t="inlineStr">
        <is>
          <t>JÖNKÖPINGS LÄN</t>
        </is>
      </c>
      <c r="G113" t="inlineStr">
        <is>
          <t>SÄVSJÖ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45104</v>
      </c>
      <c r="E114" s="1" t="n">
        <v>46259</v>
      </c>
      <c r="F114" t="inlineStr">
        <is>
          <t>JÖNKÖPINGS LÄN</t>
        </is>
      </c>
      <c r="G114" t="inlineStr">
        <is>
          <t>SÄVSJÖ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46259</v>
      </c>
      <c r="F115" t="inlineStr">
        <is>
          <t>JÖNKÖPINGS LÄN</t>
        </is>
      </c>
      <c r="G115" t="inlineStr">
        <is>
          <t>SÄVSJÖ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46259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46259</v>
      </c>
      <c r="F117" t="inlineStr">
        <is>
          <t>JÖNKÖPINGS LÄN</t>
        </is>
      </c>
      <c r="G117" t="inlineStr">
        <is>
          <t>SÄVSJÖ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46259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46259</v>
      </c>
      <c r="F119" t="inlineStr">
        <is>
          <t>JÖNKÖPINGS LÄN</t>
        </is>
      </c>
      <c r="G119" t="inlineStr">
        <is>
          <t>SÄVSJÖ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46259</v>
      </c>
      <c r="F120" t="inlineStr">
        <is>
          <t>JÖNKÖPINGS LÄN</t>
        </is>
      </c>
      <c r="G120" t="inlineStr">
        <is>
          <t>SÄVSJÖ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46259</v>
      </c>
      <c r="F121" t="inlineStr">
        <is>
          <t>JÖNKÖPINGS LÄN</t>
        </is>
      </c>
      <c r="G121" t="inlineStr">
        <is>
          <t>SÄVSJÖ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45365</v>
      </c>
      <c r="E122" s="1" t="n">
        <v>46259</v>
      </c>
      <c r="F122" t="inlineStr">
        <is>
          <t>JÖNKÖPINGS LÄN</t>
        </is>
      </c>
      <c r="G122" t="inlineStr">
        <is>
          <t>SÄVSJÖ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46259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46259</v>
      </c>
      <c r="F124" t="inlineStr">
        <is>
          <t>JÖNKÖPINGS LÄN</t>
        </is>
      </c>
      <c r="G124" t="inlineStr">
        <is>
          <t>SÄVSJÖ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46259</v>
      </c>
      <c r="F125" t="inlineStr">
        <is>
          <t>JÖNKÖPINGS LÄN</t>
        </is>
      </c>
      <c r="G125" t="inlineStr">
        <is>
          <t>SÄVSJÖ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46259</v>
      </c>
      <c r="F126" t="inlineStr">
        <is>
          <t>JÖNKÖPINGS LÄN</t>
        </is>
      </c>
      <c r="G126" t="inlineStr">
        <is>
          <t>SÄVSJÖ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46259</v>
      </c>
      <c r="F127" t="inlineStr">
        <is>
          <t>JÖNKÖPINGS LÄN</t>
        </is>
      </c>
      <c r="G127" t="inlineStr">
        <is>
          <t>SÄVSJÖ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54827-2021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44474</v>
      </c>
      <c r="E128" s="1" t="n">
        <v>46259</v>
      </c>
      <c r="F128" t="inlineStr">
        <is>
          <t>JÖNKÖPINGS LÄN</t>
        </is>
      </c>
      <c r="G128" t="inlineStr">
        <is>
          <t>SÄVSJÖ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46259</v>
      </c>
      <c r="F129" t="inlineStr">
        <is>
          <t>JÖNKÖPINGS LÄN</t>
        </is>
      </c>
      <c r="G129" t="inlineStr">
        <is>
          <t>SÄVSJÖ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46259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46259</v>
      </c>
      <c r="F131" t="inlineStr">
        <is>
          <t>JÖNKÖPINGS LÄN</t>
        </is>
      </c>
      <c r="G131" t="inlineStr">
        <is>
          <t>SÄVSJÖ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54600-2022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44883</v>
      </c>
      <c r="E132" s="1" t="n">
        <v>46259</v>
      </c>
      <c r="F132" t="inlineStr">
        <is>
          <t>JÖNKÖPINGS LÄN</t>
        </is>
      </c>
      <c r="G132" t="inlineStr">
        <is>
          <t>SÄVSJÖ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45148</v>
      </c>
      <c r="E133" s="1" t="n">
        <v>46259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46259</v>
      </c>
      <c r="F134" t="inlineStr">
        <is>
          <t>JÖNKÖPINGS LÄN</t>
        </is>
      </c>
      <c r="G134" t="inlineStr">
        <is>
          <t>SÄVSJÖ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46259</v>
      </c>
      <c r="F135" t="inlineStr">
        <is>
          <t>JÖNKÖPINGS LÄN</t>
        </is>
      </c>
      <c r="G135" t="inlineStr">
        <is>
          <t>SÄVSJÖ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46259</v>
      </c>
      <c r="F136" t="inlineStr">
        <is>
          <t>JÖNKÖPINGS LÄN</t>
        </is>
      </c>
      <c r="G136" t="inlineStr">
        <is>
          <t>SÄVSJÖ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46259</v>
      </c>
      <c r="F137" t="inlineStr">
        <is>
          <t>JÖNKÖPINGS LÄN</t>
        </is>
      </c>
      <c r="G137" t="inlineStr">
        <is>
          <t>SÄVSJÖ</t>
        </is>
      </c>
      <c r="H137" t="inlineStr">
        <is>
          <t>Kyrkan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46259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46259</v>
      </c>
      <c r="F139" t="inlineStr">
        <is>
          <t>JÖNKÖPINGS LÄN</t>
        </is>
      </c>
      <c r="G139" t="inlineStr">
        <is>
          <t>SÄVSJÖ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46259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45455</v>
      </c>
      <c r="E141" s="1" t="n">
        <v>46259</v>
      </c>
      <c r="F141" t="inlineStr">
        <is>
          <t>JÖNKÖPINGS LÄN</t>
        </is>
      </c>
      <c r="G141" t="inlineStr">
        <is>
          <t>SÄVSJÖ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46259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44475</v>
      </c>
      <c r="E143" s="1" t="n">
        <v>46259</v>
      </c>
      <c r="F143" t="inlineStr">
        <is>
          <t>JÖNKÖPINGS LÄN</t>
        </is>
      </c>
      <c r="G143" t="inlineStr">
        <is>
          <t>SÄVSJÖ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46259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46259</v>
      </c>
      <c r="F145" t="inlineStr">
        <is>
          <t>JÖNKÖPINGS LÄN</t>
        </is>
      </c>
      <c r="G145" t="inlineStr">
        <is>
          <t>SÄVSJÖ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46259</v>
      </c>
      <c r="F146" t="inlineStr">
        <is>
          <t>JÖNKÖPINGS LÄN</t>
        </is>
      </c>
      <c r="G146" t="inlineStr">
        <is>
          <t>SÄVSJÖ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45634</v>
      </c>
      <c r="E147" s="1" t="n">
        <v>46259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45634</v>
      </c>
      <c r="E148" s="1" t="n">
        <v>46259</v>
      </c>
      <c r="F148" t="inlineStr">
        <is>
          <t>JÖNKÖPINGS LÄN</t>
        </is>
      </c>
      <c r="G148" t="inlineStr">
        <is>
          <t>SÄVSJÖ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46259</v>
      </c>
      <c r="F149" t="inlineStr">
        <is>
          <t>JÖNKÖPINGS LÄN</t>
        </is>
      </c>
      <c r="G149" t="inlineStr">
        <is>
          <t>SÄVSJÖ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44972</v>
      </c>
      <c r="E150" s="1" t="n">
        <v>46259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46259</v>
      </c>
      <c r="F151" t="inlineStr">
        <is>
          <t>JÖNKÖPINGS LÄN</t>
        </is>
      </c>
      <c r="G151" t="inlineStr">
        <is>
          <t>SÄVSJÖ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46259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46259</v>
      </c>
      <c r="F153" t="inlineStr">
        <is>
          <t>JÖNKÖPINGS LÄN</t>
        </is>
      </c>
      <c r="G153" t="inlineStr">
        <is>
          <t>SÄVSJÖ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46259</v>
      </c>
      <c r="F154" t="inlineStr">
        <is>
          <t>JÖNKÖPINGS LÄN</t>
        </is>
      </c>
      <c r="G154" t="inlineStr">
        <is>
          <t>SÄVSJÖ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45534</v>
      </c>
      <c r="E155" s="1" t="n">
        <v>46259</v>
      </c>
      <c r="F155" t="inlineStr">
        <is>
          <t>JÖNKÖPINGS LÄN</t>
        </is>
      </c>
      <c r="G155" t="inlineStr">
        <is>
          <t>SÄVSJÖ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46259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46259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46259</v>
      </c>
      <c r="F158" t="inlineStr">
        <is>
          <t>JÖNKÖPINGS LÄN</t>
        </is>
      </c>
      <c r="G158" t="inlineStr">
        <is>
          <t>SÄVSJÖ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46259</v>
      </c>
      <c r="F159" t="inlineStr">
        <is>
          <t>JÖNKÖPINGS LÄN</t>
        </is>
      </c>
      <c r="G159" t="inlineStr">
        <is>
          <t>SÄVSJÖ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46259</v>
      </c>
      <c r="F160" t="inlineStr">
        <is>
          <t>JÖNKÖPINGS LÄN</t>
        </is>
      </c>
      <c r="G160" t="inlineStr">
        <is>
          <t>SÄVSJÖ</t>
        </is>
      </c>
      <c r="H160" t="inlineStr">
        <is>
          <t>Övriga Aktiebolag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46259</v>
      </c>
      <c r="F161" t="inlineStr">
        <is>
          <t>JÖNKÖPINGS LÄN</t>
        </is>
      </c>
      <c r="G161" t="inlineStr">
        <is>
          <t>SÄVSJÖ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46259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46259</v>
      </c>
      <c r="F163" t="inlineStr">
        <is>
          <t>JÖNKÖPINGS LÄN</t>
        </is>
      </c>
      <c r="G163" t="inlineStr">
        <is>
          <t>SÄVSJÖ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46259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46259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46259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46259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46259</v>
      </c>
      <c r="F168" t="inlineStr">
        <is>
          <t>JÖNKÖPINGS LÄN</t>
        </is>
      </c>
      <c r="G168" t="inlineStr">
        <is>
          <t>SÄVSJÖ</t>
        </is>
      </c>
      <c r="H168" t="inlineStr">
        <is>
          <t>Kyrkan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45534</v>
      </c>
      <c r="E169" s="1" t="n">
        <v>46259</v>
      </c>
      <c r="F169" t="inlineStr">
        <is>
          <t>JÖNKÖPINGS LÄN</t>
        </is>
      </c>
      <c r="G169" t="inlineStr">
        <is>
          <t>SÄVSJÖ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46259</v>
      </c>
      <c r="F170" t="inlineStr">
        <is>
          <t>JÖNKÖPINGS LÄN</t>
        </is>
      </c>
      <c r="G170" t="inlineStr">
        <is>
          <t>SÄVSJÖ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46259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46259</v>
      </c>
      <c r="F172" t="inlineStr">
        <is>
          <t>JÖNKÖPINGS LÄN</t>
        </is>
      </c>
      <c r="G172" t="inlineStr">
        <is>
          <t>SÄVSJÖ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45029</v>
      </c>
      <c r="E173" s="1" t="n">
        <v>46259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46259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46259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46259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46259</v>
      </c>
      <c r="F177" t="inlineStr">
        <is>
          <t>JÖNKÖPINGS LÄN</t>
        </is>
      </c>
      <c r="G177" t="inlineStr">
        <is>
          <t>SÄVSJÖ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46108</v>
      </c>
      <c r="E178" s="1" t="n">
        <v>46259</v>
      </c>
      <c r="F178" t="inlineStr">
        <is>
          <t>JÖNKÖPINGS LÄN</t>
        </is>
      </c>
      <c r="G178" t="inlineStr">
        <is>
          <t>SÄVSJÖ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46259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45127</v>
      </c>
      <c r="E180" s="1" t="n">
        <v>46259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45067</v>
      </c>
      <c r="E181" s="1" t="n">
        <v>46259</v>
      </c>
      <c r="F181" t="inlineStr">
        <is>
          <t>JÖNKÖPINGS LÄN</t>
        </is>
      </c>
      <c r="G181" t="inlineStr">
        <is>
          <t>SÄVSJÖ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46259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46259</v>
      </c>
      <c r="F183" t="inlineStr">
        <is>
          <t>JÖNKÖPINGS LÄN</t>
        </is>
      </c>
      <c r="G183" t="inlineStr">
        <is>
          <t>SÄVSJÖ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44590</v>
      </c>
      <c r="E184" s="1" t="n">
        <v>46259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46259</v>
      </c>
      <c r="F185" t="inlineStr">
        <is>
          <t>JÖNKÖPINGS LÄN</t>
        </is>
      </c>
      <c r="G185" t="inlineStr">
        <is>
          <t>SÄVSJÖ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46259</v>
      </c>
      <c r="F186" t="inlineStr">
        <is>
          <t>JÖNKÖPINGS LÄN</t>
        </is>
      </c>
      <c r="G186" t="inlineStr">
        <is>
          <t>SÄVSJÖ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46259</v>
      </c>
      <c r="F187" t="inlineStr">
        <is>
          <t>JÖNKÖPINGS LÄN</t>
        </is>
      </c>
      <c r="G187" t="inlineStr">
        <is>
          <t>SÄVSJÖ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46259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46259</v>
      </c>
      <c r="F189" t="inlineStr">
        <is>
          <t>JÖNKÖPINGS LÄN</t>
        </is>
      </c>
      <c r="G189" t="inlineStr">
        <is>
          <t>SÄVSJÖ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46259</v>
      </c>
      <c r="F190" t="inlineStr">
        <is>
          <t>JÖNKÖPINGS LÄN</t>
        </is>
      </c>
      <c r="G190" t="inlineStr">
        <is>
          <t>SÄVSJÖ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46259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46259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46259</v>
      </c>
      <c r="F193" t="inlineStr">
        <is>
          <t>JÖNKÖPINGS LÄN</t>
        </is>
      </c>
      <c r="G193" t="inlineStr">
        <is>
          <t>SÄVSJÖ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46259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46259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46259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46259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46259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46259</v>
      </c>
      <c r="F199" t="inlineStr">
        <is>
          <t>JÖNKÖPINGS LÄN</t>
        </is>
      </c>
      <c r="G199" t="inlineStr">
        <is>
          <t>SÄVSJÖ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46259</v>
      </c>
      <c r="F200" t="inlineStr">
        <is>
          <t>JÖNKÖPINGS LÄN</t>
        </is>
      </c>
      <c r="G200" t="inlineStr">
        <is>
          <t>SÄVSJÖ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47405-2021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44447</v>
      </c>
      <c r="E201" s="1" t="n">
        <v>46259</v>
      </c>
      <c r="F201" t="inlineStr">
        <is>
          <t>JÖNKÖPINGS LÄN</t>
        </is>
      </c>
      <c r="G201" t="inlineStr">
        <is>
          <t>SÄVSJÖ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46259</v>
      </c>
      <c r="F202" t="inlineStr">
        <is>
          <t>JÖNKÖPINGS LÄN</t>
        </is>
      </c>
      <c r="G202" t="inlineStr">
        <is>
          <t>SÄVSJÖ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46259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45170</v>
      </c>
      <c r="E204" s="1" t="n">
        <v>46259</v>
      </c>
      <c r="F204" t="inlineStr">
        <is>
          <t>JÖNKÖPINGS LÄN</t>
        </is>
      </c>
      <c r="G204" t="inlineStr">
        <is>
          <t>SÄVSJÖ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46259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46259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46259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46259</v>
      </c>
      <c r="F208" t="inlineStr">
        <is>
          <t>JÖNKÖPINGS LÄN</t>
        </is>
      </c>
      <c r="G208" t="inlineStr">
        <is>
          <t>SÄVSJÖ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46259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50493-2024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46259</v>
      </c>
      <c r="F210" t="inlineStr">
        <is>
          <t>JÖNKÖPINGS LÄN</t>
        </is>
      </c>
      <c r="G210" t="inlineStr">
        <is>
          <t>SÄVSJÖ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44872</v>
      </c>
      <c r="E211" s="1" t="n">
        <v>46259</v>
      </c>
      <c r="F211" t="inlineStr">
        <is>
          <t>JÖNKÖPINGS LÄN</t>
        </is>
      </c>
      <c r="G211" t="inlineStr">
        <is>
          <t>SÄVSJÖ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46259</v>
      </c>
      <c r="F212" t="inlineStr">
        <is>
          <t>JÖNKÖPINGS LÄN</t>
        </is>
      </c>
      <c r="G212" t="inlineStr">
        <is>
          <t>SÄVSJÖ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46259</v>
      </c>
      <c r="F213" t="inlineStr">
        <is>
          <t>JÖNKÖPINGS LÄN</t>
        </is>
      </c>
      <c r="G213" t="inlineStr">
        <is>
          <t>SÄVSJÖ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46259</v>
      </c>
      <c r="F214" t="inlineStr">
        <is>
          <t>JÖNKÖPINGS LÄN</t>
        </is>
      </c>
      <c r="G214" t="inlineStr">
        <is>
          <t>SÄVSJÖ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46259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45879</v>
      </c>
      <c r="E216" s="1" t="n">
        <v>46259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45704</v>
      </c>
      <c r="E217" s="1" t="n">
        <v>46259</v>
      </c>
      <c r="F217" t="inlineStr">
        <is>
          <t>JÖNKÖPINGS LÄN</t>
        </is>
      </c>
      <c r="G217" t="inlineStr">
        <is>
          <t>SÄVSJÖ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14880-2022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44656</v>
      </c>
      <c r="E218" s="1" t="n">
        <v>46259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46259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45694</v>
      </c>
      <c r="E220" s="1" t="n">
        <v>46259</v>
      </c>
      <c r="F220" t="inlineStr">
        <is>
          <t>JÖNKÖPINGS LÄN</t>
        </is>
      </c>
      <c r="G220" t="inlineStr">
        <is>
          <t>SÄVSJÖ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46259</v>
      </c>
      <c r="F221" t="inlineStr">
        <is>
          <t>JÖNKÖPINGS LÄN</t>
        </is>
      </c>
      <c r="G221" t="inlineStr">
        <is>
          <t>SÄVSJÖ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46259</v>
      </c>
      <c r="F222" t="inlineStr">
        <is>
          <t>JÖNKÖPINGS LÄN</t>
        </is>
      </c>
      <c r="G222" t="inlineStr">
        <is>
          <t>SÄVSJÖ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45238</v>
      </c>
      <c r="E223" s="1" t="n">
        <v>46259</v>
      </c>
      <c r="F223" t="inlineStr">
        <is>
          <t>JÖNKÖPINGS LÄN</t>
        </is>
      </c>
      <c r="G223" t="inlineStr">
        <is>
          <t>SÄVSJÖ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45433</v>
      </c>
      <c r="E224" s="1" t="n">
        <v>46259</v>
      </c>
      <c r="F224" t="inlineStr">
        <is>
          <t>JÖNKÖPINGS LÄN</t>
        </is>
      </c>
      <c r="G224" t="inlineStr">
        <is>
          <t>SÄVSJÖ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46259</v>
      </c>
      <c r="F225" t="inlineStr">
        <is>
          <t>JÖNKÖPINGS LÄN</t>
        </is>
      </c>
      <c r="G225" t="inlineStr">
        <is>
          <t>SÄVSJÖ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46259</v>
      </c>
      <c r="F226" t="inlineStr">
        <is>
          <t>JÖNKÖPINGS LÄN</t>
        </is>
      </c>
      <c r="G226" t="inlineStr">
        <is>
          <t>SÄVSJÖ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46259</v>
      </c>
      <c r="F227" t="inlineStr">
        <is>
          <t>JÖNKÖPINGS LÄN</t>
        </is>
      </c>
      <c r="G227" t="inlineStr">
        <is>
          <t>SÄVSJÖ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46259</v>
      </c>
      <c r="F228" t="inlineStr">
        <is>
          <t>JÖNKÖPINGS LÄN</t>
        </is>
      </c>
      <c r="G228" t="inlineStr">
        <is>
          <t>SÄVSJÖ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44651</v>
      </c>
      <c r="E229" s="1" t="n">
        <v>46259</v>
      </c>
      <c r="F229" t="inlineStr">
        <is>
          <t>JÖNKÖPINGS LÄN</t>
        </is>
      </c>
      <c r="G229" t="inlineStr">
        <is>
          <t>SÄVSJÖ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63920-2021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44509</v>
      </c>
      <c r="E230" s="1" t="n">
        <v>46259</v>
      </c>
      <c r="F230" t="inlineStr">
        <is>
          <t>JÖNKÖPINGS LÄN</t>
        </is>
      </c>
      <c r="G230" t="inlineStr">
        <is>
          <t>SÄVSJÖ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46259</v>
      </c>
      <c r="F231" t="inlineStr">
        <is>
          <t>JÖNKÖPINGS LÄN</t>
        </is>
      </c>
      <c r="G231" t="inlineStr">
        <is>
          <t>SÄVSJÖ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46259</v>
      </c>
      <c r="F232" t="inlineStr">
        <is>
          <t>JÖNKÖPINGS LÄN</t>
        </is>
      </c>
      <c r="G232" t="inlineStr">
        <is>
          <t>SÄVSJÖ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46259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46259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45226</v>
      </c>
      <c r="E235" s="1" t="n">
        <v>46259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45775</v>
      </c>
      <c r="E236" s="1" t="n">
        <v>46259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7285-2023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44970</v>
      </c>
      <c r="E237" s="1" t="n">
        <v>46259</v>
      </c>
      <c r="F237" t="inlineStr">
        <is>
          <t>JÖNKÖPINGS LÄN</t>
        </is>
      </c>
      <c r="G237" t="inlineStr">
        <is>
          <t>SÄVSJÖ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46259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46259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45315</v>
      </c>
      <c r="E240" s="1" t="n">
        <v>46259</v>
      </c>
      <c r="F240" t="inlineStr">
        <is>
          <t>JÖNKÖPINGS LÄN</t>
        </is>
      </c>
      <c r="G240" t="inlineStr">
        <is>
          <t>SÄVSJÖ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44830</v>
      </c>
      <c r="E241" s="1" t="n">
        <v>46259</v>
      </c>
      <c r="F241" t="inlineStr">
        <is>
          <t>JÖNKÖPINGS LÄN</t>
        </is>
      </c>
      <c r="G241" t="inlineStr">
        <is>
          <t>SÄVSJÖ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45302</v>
      </c>
      <c r="E242" s="1" t="n">
        <v>46259</v>
      </c>
      <c r="F242" t="inlineStr">
        <is>
          <t>JÖNKÖPINGS LÄN</t>
        </is>
      </c>
      <c r="G242" t="inlineStr">
        <is>
          <t>SÄVSJÖ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46259</v>
      </c>
      <c r="F243" t="inlineStr">
        <is>
          <t>JÖNKÖPINGS LÄN</t>
        </is>
      </c>
      <c r="G243" t="inlineStr">
        <is>
          <t>SÄVSJÖ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46259</v>
      </c>
      <c r="F244" t="inlineStr">
        <is>
          <t>JÖNKÖPINGS LÄN</t>
        </is>
      </c>
      <c r="G244" t="inlineStr">
        <is>
          <t>SÄVSJÖ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45634</v>
      </c>
      <c r="E245" s="1" t="n">
        <v>46259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46259</v>
      </c>
      <c r="F246" t="inlineStr">
        <is>
          <t>JÖNKÖPINGS LÄN</t>
        </is>
      </c>
      <c r="G246" t="inlineStr">
        <is>
          <t>SÄVSJÖ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45301</v>
      </c>
      <c r="E247" s="1" t="n">
        <v>46259</v>
      </c>
      <c r="F247" t="inlineStr">
        <is>
          <t>JÖNKÖPINGS LÄN</t>
        </is>
      </c>
      <c r="G247" t="inlineStr">
        <is>
          <t>SÄVSJÖ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44991</v>
      </c>
      <c r="E248" s="1" t="n">
        <v>46259</v>
      </c>
      <c r="F248" t="inlineStr">
        <is>
          <t>JÖNKÖPINGS LÄN</t>
        </is>
      </c>
      <c r="G248" t="inlineStr">
        <is>
          <t>SÄVSJÖ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46259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45301</v>
      </c>
      <c r="E250" s="1" t="n">
        <v>46259</v>
      </c>
      <c r="F250" t="inlineStr">
        <is>
          <t>JÖNKÖPINGS LÄN</t>
        </is>
      </c>
      <c r="G250" t="inlineStr">
        <is>
          <t>SÄVSJÖ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46259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46259</v>
      </c>
      <c r="F252" t="inlineStr">
        <is>
          <t>JÖNKÖPINGS LÄN</t>
        </is>
      </c>
      <c r="G252" t="inlineStr">
        <is>
          <t>SÄVSJÖ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45067</v>
      </c>
      <c r="E253" s="1" t="n">
        <v>46259</v>
      </c>
      <c r="F253" t="inlineStr">
        <is>
          <t>JÖNKÖPINGS LÄN</t>
        </is>
      </c>
      <c r="G253" t="inlineStr">
        <is>
          <t>SÄVSJÖ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46259</v>
      </c>
      <c r="F254" t="inlineStr">
        <is>
          <t>JÖNKÖPINGS LÄN</t>
        </is>
      </c>
      <c r="G254" t="inlineStr">
        <is>
          <t>SÄVSJÖ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61545-2021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46259</v>
      </c>
      <c r="F255" t="inlineStr">
        <is>
          <t>JÖNKÖPINGS LÄN</t>
        </is>
      </c>
      <c r="G255" t="inlineStr">
        <is>
          <t>SÄVSJÖ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46259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46259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45252</v>
      </c>
      <c r="E258" s="1" t="n">
        <v>46259</v>
      </c>
      <c r="F258" t="inlineStr">
        <is>
          <t>JÖNKÖPINGS LÄN</t>
        </is>
      </c>
      <c r="G258" t="inlineStr">
        <is>
          <t>SÄVSJÖ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46259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38914-2024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45547</v>
      </c>
      <c r="E260" s="1" t="n">
        <v>46259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44838</v>
      </c>
      <c r="E261" s="1" t="n">
        <v>46259</v>
      </c>
      <c r="F261" t="inlineStr">
        <is>
          <t>JÖNKÖPINGS LÄN</t>
        </is>
      </c>
      <c r="G261" t="inlineStr">
        <is>
          <t>SÄVSJÖ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55909-2024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45623</v>
      </c>
      <c r="E262" s="1" t="n">
        <v>46259</v>
      </c>
      <c r="F262" t="inlineStr">
        <is>
          <t>JÖNKÖPINGS LÄN</t>
        </is>
      </c>
      <c r="G262" t="inlineStr">
        <is>
          <t>SÄVSJÖ</t>
        </is>
      </c>
      <c r="H262" t="inlineStr">
        <is>
          <t>Kommuner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46259</v>
      </c>
      <c r="F263" t="inlineStr">
        <is>
          <t>JÖNKÖPINGS LÄN</t>
        </is>
      </c>
      <c r="G263" t="inlineStr">
        <is>
          <t>SÄVSJÖ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45534</v>
      </c>
      <c r="E264" s="1" t="n">
        <v>46259</v>
      </c>
      <c r="F264" t="inlineStr">
        <is>
          <t>JÖNKÖPINGS LÄN</t>
        </is>
      </c>
      <c r="G264" t="inlineStr">
        <is>
          <t>SÄVSJÖ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46259</v>
      </c>
      <c r="F265" t="inlineStr">
        <is>
          <t>JÖNKÖPINGS LÄN</t>
        </is>
      </c>
      <c r="G265" t="inlineStr">
        <is>
          <t>SÄVSJÖ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44952</v>
      </c>
      <c r="E266" s="1" t="n">
        <v>46259</v>
      </c>
      <c r="F266" t="inlineStr">
        <is>
          <t>JÖNKÖPINGS LÄN</t>
        </is>
      </c>
      <c r="G266" t="inlineStr">
        <is>
          <t>SÄVSJÖ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46259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52363-2025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45953</v>
      </c>
      <c r="E268" s="1" t="n">
        <v>46259</v>
      </c>
      <c r="F268" t="inlineStr">
        <is>
          <t>JÖNKÖPINGS LÄN</t>
        </is>
      </c>
      <c r="G268" t="inlineStr">
        <is>
          <t>SÄVSJÖ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52314-2025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46259</v>
      </c>
      <c r="F269" t="inlineStr">
        <is>
          <t>JÖNKÖPINGS LÄN</t>
        </is>
      </c>
      <c r="G269" t="inlineStr">
        <is>
          <t>SÄVSJÖ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46259</v>
      </c>
      <c r="F270" t="inlineStr">
        <is>
          <t>JÖNKÖPINGS LÄN</t>
        </is>
      </c>
      <c r="G270" t="inlineStr">
        <is>
          <t>SÄVSJÖ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44935</v>
      </c>
      <c r="E271" s="1" t="n">
        <v>46259</v>
      </c>
      <c r="F271" t="inlineStr">
        <is>
          <t>JÖNKÖPINGS LÄN</t>
        </is>
      </c>
      <c r="G271" t="inlineStr">
        <is>
          <t>SÄVSJÖ</t>
        </is>
      </c>
      <c r="H271" t="inlineStr">
        <is>
          <t>Sveaskog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46259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46259</v>
      </c>
      <c r="F273" t="inlineStr">
        <is>
          <t>JÖNKÖPINGS LÄN</t>
        </is>
      </c>
      <c r="G273" t="inlineStr">
        <is>
          <t>SÄVSJÖ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46259</v>
      </c>
      <c r="F274" t="inlineStr">
        <is>
          <t>JÖNKÖPINGS LÄN</t>
        </is>
      </c>
      <c r="G274" t="inlineStr">
        <is>
          <t>SÄVSJÖ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23816-2026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46165</v>
      </c>
      <c r="E275" s="1" t="n">
        <v>46259</v>
      </c>
      <c r="F275" t="inlineStr">
        <is>
          <t>JÖNKÖPINGS LÄN</t>
        </is>
      </c>
      <c r="G275" t="inlineStr">
        <is>
          <t>SÄVSJÖ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44929</v>
      </c>
      <c r="E276" s="1" t="n">
        <v>46259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45261</v>
      </c>
      <c r="E277" s="1" t="n">
        <v>46259</v>
      </c>
      <c r="F277" t="inlineStr">
        <is>
          <t>JÖNKÖPINGS LÄN</t>
        </is>
      </c>
      <c r="G277" t="inlineStr">
        <is>
          <t>SÄVSJÖ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46259</v>
      </c>
      <c r="F278" t="inlineStr">
        <is>
          <t>JÖNKÖPINGS LÄN</t>
        </is>
      </c>
      <c r="G278" t="inlineStr">
        <is>
          <t>SÄVSJÖ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46259</v>
      </c>
      <c r="F279" t="inlineStr">
        <is>
          <t>JÖNKÖPINGS LÄN</t>
        </is>
      </c>
      <c r="G279" t="inlineStr">
        <is>
          <t>SÄVSJÖ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46259</v>
      </c>
      <c r="F280" t="inlineStr">
        <is>
          <t>JÖNKÖPINGS LÄN</t>
        </is>
      </c>
      <c r="G280" t="inlineStr">
        <is>
          <t>SÄVSJÖ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46259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46259</v>
      </c>
      <c r="F282" t="inlineStr">
        <is>
          <t>JÖNKÖPINGS LÄN</t>
        </is>
      </c>
      <c r="G282" t="inlineStr">
        <is>
          <t>SÄVSJÖ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54275-2025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45964</v>
      </c>
      <c r="E283" s="1" t="n">
        <v>46259</v>
      </c>
      <c r="F283" t="inlineStr">
        <is>
          <t>JÖNKÖPINGS LÄN</t>
        </is>
      </c>
      <c r="G283" t="inlineStr">
        <is>
          <t>SÄVSJÖ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46259</v>
      </c>
      <c r="F284" t="inlineStr">
        <is>
          <t>JÖNKÖPINGS LÄN</t>
        </is>
      </c>
      <c r="G284" t="inlineStr">
        <is>
          <t>SÄVSJÖ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45967</v>
      </c>
      <c r="E285" s="1" t="n">
        <v>46259</v>
      </c>
      <c r="F285" t="inlineStr">
        <is>
          <t>JÖNKÖPINGS LÄN</t>
        </is>
      </c>
      <c r="G285" t="inlineStr">
        <is>
          <t>SÄVSJÖ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62421-2023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45268</v>
      </c>
      <c r="E286" s="1" t="n">
        <v>46259</v>
      </c>
      <c r="F286" t="inlineStr">
        <is>
          <t>JÖNKÖPINGS LÄN</t>
        </is>
      </c>
      <c r="G286" t="inlineStr">
        <is>
          <t>SÄVSJÖ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46259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46259</v>
      </c>
      <c r="F288" t="inlineStr">
        <is>
          <t>JÖNKÖPINGS LÄN</t>
        </is>
      </c>
      <c r="G288" t="inlineStr">
        <is>
          <t>SÄVSJÖ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49292-2023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45210</v>
      </c>
      <c r="E289" s="1" t="n">
        <v>46259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46259</v>
      </c>
      <c r="F290" t="inlineStr">
        <is>
          <t>JÖNKÖPINGS LÄN</t>
        </is>
      </c>
      <c r="G290" t="inlineStr">
        <is>
          <t>SÄVSJÖ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45419</v>
      </c>
      <c r="E291" s="1" t="n">
        <v>46259</v>
      </c>
      <c r="F291" t="inlineStr">
        <is>
          <t>JÖNKÖPINGS LÄN</t>
        </is>
      </c>
      <c r="G291" t="inlineStr">
        <is>
          <t>SÄVSJÖ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31721-2026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46226</v>
      </c>
      <c r="E292" s="1" t="n">
        <v>46259</v>
      </c>
      <c r="F292" t="inlineStr">
        <is>
          <t>JÖNKÖPINGS LÄN</t>
        </is>
      </c>
      <c r="G292" t="inlineStr">
        <is>
          <t>SÄVSJÖ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46259</v>
      </c>
      <c r="F293" t="inlineStr">
        <is>
          <t>JÖNKÖPINGS LÄN</t>
        </is>
      </c>
      <c r="G293" t="inlineStr">
        <is>
          <t>SÄVSJÖ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46259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46259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46259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46259</v>
      </c>
      <c r="F297" t="inlineStr">
        <is>
          <t>JÖNKÖPINGS LÄN</t>
        </is>
      </c>
      <c r="G297" t="inlineStr">
        <is>
          <t>SÄVSJÖ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46259</v>
      </c>
      <c r="F298" t="inlineStr">
        <is>
          <t>JÖNKÖPINGS LÄN</t>
        </is>
      </c>
      <c r="G298" t="inlineStr">
        <is>
          <t>SÄVSJÖ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46259</v>
      </c>
      <c r="F299" t="inlineStr">
        <is>
          <t>JÖNKÖPINGS LÄN</t>
        </is>
      </c>
      <c r="G299" t="inlineStr">
        <is>
          <t>SÄVSJÖ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46259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46259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19847-2023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45053</v>
      </c>
      <c r="E302" s="1" t="n">
        <v>46259</v>
      </c>
      <c r="F302" t="inlineStr">
        <is>
          <t>JÖNKÖPINGS LÄN</t>
        </is>
      </c>
      <c r="G302" t="inlineStr">
        <is>
          <t>SÄVSJÖ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45317</v>
      </c>
      <c r="E303" s="1" t="n">
        <v>46259</v>
      </c>
      <c r="F303" t="inlineStr">
        <is>
          <t>JÖNKÖPINGS LÄN</t>
        </is>
      </c>
      <c r="G303" t="inlineStr">
        <is>
          <t>SÄVSJÖ</t>
        </is>
      </c>
      <c r="I303" t="n">
        <v>19.9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46259</v>
      </c>
      <c r="F304" t="inlineStr">
        <is>
          <t>JÖNKÖPINGS LÄN</t>
        </is>
      </c>
      <c r="G304" t="inlineStr">
        <is>
          <t>SÄVSJÖ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45371</v>
      </c>
      <c r="E305" s="1" t="n">
        <v>46259</v>
      </c>
      <c r="F305" t="inlineStr">
        <is>
          <t>JÖNKÖPINGS LÄN</t>
        </is>
      </c>
      <c r="G305" t="inlineStr">
        <is>
          <t>SÄVSJÖ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46259</v>
      </c>
      <c r="F306" t="inlineStr">
        <is>
          <t>JÖNKÖPINGS LÄN</t>
        </is>
      </c>
      <c r="G306" t="inlineStr">
        <is>
          <t>SÄVSJÖ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46259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46259</v>
      </c>
      <c r="F308" t="inlineStr">
        <is>
          <t>JÖNKÖPINGS LÄN</t>
        </is>
      </c>
      <c r="G308" t="inlineStr">
        <is>
          <t>SÄVSJÖ</t>
        </is>
      </c>
      <c r="H308" t="inlineStr">
        <is>
          <t>Kyrkan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46259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45407</v>
      </c>
      <c r="E310" s="1" t="n">
        <v>46259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46259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60331-2025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45993</v>
      </c>
      <c r="E312" s="1" t="n">
        <v>46259</v>
      </c>
      <c r="F312" t="inlineStr">
        <is>
          <t>JÖNKÖPINGS LÄN</t>
        </is>
      </c>
      <c r="G312" t="inlineStr">
        <is>
          <t>SÄVSJÖ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46259</v>
      </c>
      <c r="F313" t="inlineStr">
        <is>
          <t>JÖNKÖPINGS LÄN</t>
        </is>
      </c>
      <c r="G313" t="inlineStr">
        <is>
          <t>SÄVSJÖ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49708-2023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46259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46259</v>
      </c>
      <c r="F315" t="inlineStr">
        <is>
          <t>JÖNKÖPINGS LÄN</t>
        </is>
      </c>
      <c r="G315" t="inlineStr">
        <is>
          <t>SÄVSJÖ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45301</v>
      </c>
      <c r="E316" s="1" t="n">
        <v>46259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46259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45102</v>
      </c>
      <c r="E318" s="1" t="n">
        <v>46259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50629-2022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44866</v>
      </c>
      <c r="E319" s="1" t="n">
        <v>46259</v>
      </c>
      <c r="F319" t="inlineStr">
        <is>
          <t>JÖNKÖPINGS LÄN</t>
        </is>
      </c>
      <c r="G319" t="inlineStr">
        <is>
          <t>SÄVSJÖ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44664</v>
      </c>
      <c r="E320" s="1" t="n">
        <v>46259</v>
      </c>
      <c r="F320" t="inlineStr">
        <is>
          <t>JÖNKÖPINGS LÄN</t>
        </is>
      </c>
      <c r="G320" t="inlineStr">
        <is>
          <t>SÄVSJÖ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12807-2022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44642</v>
      </c>
      <c r="E321" s="1" t="n">
        <v>46259</v>
      </c>
      <c r="F321" t="inlineStr">
        <is>
          <t>JÖNKÖPINGS LÄN</t>
        </is>
      </c>
      <c r="G321" t="inlineStr">
        <is>
          <t>SÄVSJÖ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46259</v>
      </c>
      <c r="F322" t="inlineStr">
        <is>
          <t>JÖNKÖPINGS LÄN</t>
        </is>
      </c>
      <c r="G322" t="inlineStr">
        <is>
          <t>SÄVSJÖ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62870-2025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46008</v>
      </c>
      <c r="E323" s="1" t="n">
        <v>46259</v>
      </c>
      <c r="F323" t="inlineStr">
        <is>
          <t>JÖNKÖPINGS LÄN</t>
        </is>
      </c>
      <c r="G323" t="inlineStr">
        <is>
          <t>SÄVSJÖ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45366</v>
      </c>
      <c r="E324" s="1" t="n">
        <v>46259</v>
      </c>
      <c r="F324" t="inlineStr">
        <is>
          <t>JÖNKÖPINGS LÄN</t>
        </is>
      </c>
      <c r="G324" t="inlineStr">
        <is>
          <t>SÄVSJÖ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63352-2025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46259</v>
      </c>
      <c r="F325" t="inlineStr">
        <is>
          <t>JÖNKÖPINGS LÄN</t>
        </is>
      </c>
      <c r="G325" t="inlineStr">
        <is>
          <t>SÄVSJÖ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46014</v>
      </c>
      <c r="E326" s="1" t="n">
        <v>46259</v>
      </c>
      <c r="F326" t="inlineStr">
        <is>
          <t>JÖNKÖPINGS LÄN</t>
        </is>
      </c>
      <c r="G326" t="inlineStr">
        <is>
          <t>SÄVSJÖ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46014</v>
      </c>
      <c r="E327" s="1" t="n">
        <v>46259</v>
      </c>
      <c r="F327" t="inlineStr">
        <is>
          <t>JÖNKÖPINGS LÄN</t>
        </is>
      </c>
      <c r="G327" t="inlineStr">
        <is>
          <t>SÄVSJÖ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46259</v>
      </c>
      <c r="F328" t="inlineStr">
        <is>
          <t>JÖNKÖPINGS LÄN</t>
        </is>
      </c>
      <c r="G328" t="inlineStr">
        <is>
          <t>SÄVSJÖ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46014</v>
      </c>
      <c r="E329" s="1" t="n">
        <v>46259</v>
      </c>
      <c r="F329" t="inlineStr">
        <is>
          <t>JÖNKÖPINGS LÄN</t>
        </is>
      </c>
      <c r="G329" t="inlineStr">
        <is>
          <t>SÄVSJÖ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46259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46259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45094</v>
      </c>
      <c r="E332" s="1" t="n">
        <v>46259</v>
      </c>
      <c r="F332" t="inlineStr">
        <is>
          <t>JÖNKÖPINGS LÄN</t>
        </is>
      </c>
      <c r="G332" t="inlineStr">
        <is>
          <t>SÄVSJÖ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46259</v>
      </c>
      <c r="F333" t="inlineStr">
        <is>
          <t>JÖNKÖPINGS LÄN</t>
        </is>
      </c>
      <c r="G333" t="inlineStr">
        <is>
          <t>SÄVSJÖ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46259</v>
      </c>
      <c r="F334" t="inlineStr">
        <is>
          <t>JÖNKÖPINGS LÄN</t>
        </is>
      </c>
      <c r="G334" t="inlineStr">
        <is>
          <t>SÄVSJÖ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46017</v>
      </c>
      <c r="E335" s="1" t="n">
        <v>46259</v>
      </c>
      <c r="F335" t="inlineStr">
        <is>
          <t>JÖNKÖPINGS LÄN</t>
        </is>
      </c>
      <c r="G335" t="inlineStr">
        <is>
          <t>SÄVSJÖ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46017</v>
      </c>
      <c r="E336" s="1" t="n">
        <v>46259</v>
      </c>
      <c r="F336" t="inlineStr">
        <is>
          <t>JÖNKÖPINGS LÄN</t>
        </is>
      </c>
      <c r="G336" t="inlineStr">
        <is>
          <t>SÄVSJÖ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46259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46259</v>
      </c>
      <c r="F338" t="inlineStr">
        <is>
          <t>JÖNKÖPINGS LÄN</t>
        </is>
      </c>
      <c r="G338" t="inlineStr">
        <is>
          <t>SÄVSJÖ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45719</v>
      </c>
      <c r="E339" s="1" t="n">
        <v>46259</v>
      </c>
      <c r="F339" t="inlineStr">
        <is>
          <t>JÖNKÖPINGS LÄN</t>
        </is>
      </c>
      <c r="G339" t="inlineStr">
        <is>
          <t>SÄVSJÖ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45252</v>
      </c>
      <c r="E340" s="1" t="n">
        <v>46259</v>
      </c>
      <c r="F340" t="inlineStr">
        <is>
          <t>JÖNKÖPINGS LÄN</t>
        </is>
      </c>
      <c r="G340" t="inlineStr">
        <is>
          <t>SÄVSJÖ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46259</v>
      </c>
      <c r="F341" t="inlineStr">
        <is>
          <t>JÖNKÖPINGS LÄN</t>
        </is>
      </c>
      <c r="G341" t="inlineStr">
        <is>
          <t>SÄVSJÖ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46259</v>
      </c>
      <c r="F342" t="inlineStr">
        <is>
          <t>JÖNKÖPINGS LÄN</t>
        </is>
      </c>
      <c r="G342" t="inlineStr">
        <is>
          <t>SÄVSJÖ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46259</v>
      </c>
      <c r="F343" t="inlineStr">
        <is>
          <t>JÖNKÖPINGS LÄN</t>
        </is>
      </c>
      <c r="G343" t="inlineStr">
        <is>
          <t>SÄVSJÖ</t>
        </is>
      </c>
      <c r="H343" t="inlineStr">
        <is>
          <t>Kyrkan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46259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45253</v>
      </c>
      <c r="E345" s="1" t="n">
        <v>46259</v>
      </c>
      <c r="F345" t="inlineStr">
        <is>
          <t>JÖNKÖPINGS LÄN</t>
        </is>
      </c>
      <c r="G345" t="inlineStr">
        <is>
          <t>SÄVSJÖ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46259</v>
      </c>
      <c r="F346" t="inlineStr">
        <is>
          <t>JÖNKÖPINGS LÄN</t>
        </is>
      </c>
      <c r="G346" t="inlineStr">
        <is>
          <t>SÄVSJÖ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7917-2024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45350</v>
      </c>
      <c r="E347" s="1" t="n">
        <v>46259</v>
      </c>
      <c r="F347" t="inlineStr">
        <is>
          <t>JÖNKÖPINGS LÄN</t>
        </is>
      </c>
      <c r="G347" t="inlineStr">
        <is>
          <t>SÄVSJÖ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46259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45694</v>
      </c>
      <c r="E349" s="1" t="n">
        <v>46259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46259</v>
      </c>
      <c r="F350" t="inlineStr">
        <is>
          <t>JÖNKÖPINGS LÄN</t>
        </is>
      </c>
      <c r="G350" t="inlineStr">
        <is>
          <t>SÄVSJÖ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46259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46259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46259</v>
      </c>
      <c r="F353" t="inlineStr">
        <is>
          <t>JÖNKÖPINGS LÄN</t>
        </is>
      </c>
      <c r="G353" t="inlineStr">
        <is>
          <t>SÄVSJÖ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45412</v>
      </c>
      <c r="E354" s="1" t="n">
        <v>46259</v>
      </c>
      <c r="F354" t="inlineStr">
        <is>
          <t>JÖNKÖPINGS LÄN</t>
        </is>
      </c>
      <c r="G354" t="inlineStr">
        <is>
          <t>SÄVSJÖ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46259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46259</v>
      </c>
      <c r="F356" t="inlineStr">
        <is>
          <t>JÖNKÖPINGS LÄN</t>
        </is>
      </c>
      <c r="G356" t="inlineStr">
        <is>
          <t>SÄVSJÖ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45573</v>
      </c>
      <c r="E357" s="1" t="n">
        <v>46259</v>
      </c>
      <c r="F357" t="inlineStr">
        <is>
          <t>JÖNKÖPINGS LÄN</t>
        </is>
      </c>
      <c r="G357" t="inlineStr">
        <is>
          <t>SÄVSJÖ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46259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46259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46259</v>
      </c>
      <c r="F360" t="inlineStr">
        <is>
          <t>JÖNKÖPINGS LÄN</t>
        </is>
      </c>
      <c r="G360" t="inlineStr">
        <is>
          <t>SÄVSJÖ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46259</v>
      </c>
      <c r="F361" t="inlineStr">
        <is>
          <t>JÖNKÖPINGS LÄN</t>
        </is>
      </c>
      <c r="G361" t="inlineStr">
        <is>
          <t>SÄVSJÖ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45611</v>
      </c>
      <c r="E362" s="1" t="n">
        <v>46259</v>
      </c>
      <c r="F362" t="inlineStr">
        <is>
          <t>JÖNKÖPINGS LÄN</t>
        </is>
      </c>
      <c r="G362" t="inlineStr">
        <is>
          <t>SÄVSJÖ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46259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12794-2025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46259</v>
      </c>
      <c r="F364" t="inlineStr">
        <is>
          <t>JÖNKÖPINGS LÄN</t>
        </is>
      </c>
      <c r="G364" t="inlineStr">
        <is>
          <t>SÄVSJÖ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46259</v>
      </c>
      <c r="F365" t="inlineStr">
        <is>
          <t>JÖNKÖPINGS LÄN</t>
        </is>
      </c>
      <c r="G365" t="inlineStr">
        <is>
          <t>SÄVSJÖ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46259</v>
      </c>
      <c r="F366" t="inlineStr">
        <is>
          <t>JÖNKÖPINGS LÄN</t>
        </is>
      </c>
      <c r="G366" t="inlineStr">
        <is>
          <t>SÄVSJÖ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46259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46259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61610-2024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46259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46259</v>
      </c>
      <c r="F370" t="inlineStr">
        <is>
          <t>JÖNKÖPINGS LÄN</t>
        </is>
      </c>
      <c r="G370" t="inlineStr">
        <is>
          <t>SÄVSJÖ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46259</v>
      </c>
      <c r="F371" t="inlineStr">
        <is>
          <t>JÖNKÖPINGS LÄN</t>
        </is>
      </c>
      <c r="G371" t="inlineStr">
        <is>
          <t>SÄVSJÖ</t>
        </is>
      </c>
      <c r="H371" t="inlineStr">
        <is>
          <t>Kyrkan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46070</v>
      </c>
      <c r="E372" s="1" t="n">
        <v>46259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46259</v>
      </c>
      <c r="F373" t="inlineStr">
        <is>
          <t>JÖNKÖPINGS LÄN</t>
        </is>
      </c>
      <c r="G373" t="inlineStr">
        <is>
          <t>SÄVSJÖ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10445-2021</t>
        </is>
      </c>
      <c r="B374" t="inlineStr">
        <is>
          <t>samrådsanmälan</t>
        </is>
      </c>
      <c r="C374" t="inlineStr">
        <is>
          <t>Skogsbilväg</t>
        </is>
      </c>
      <c r="D374" s="1" t="n">
        <v>44558</v>
      </c>
      <c r="E374" s="1" t="n">
        <v>46259</v>
      </c>
      <c r="F374" t="inlineStr">
        <is>
          <t>JÖNKÖPINGS LÄN</t>
        </is>
      </c>
      <c r="G374" t="inlineStr">
        <is>
          <t>SÄVSJÖ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46259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46259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46259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46259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46259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46259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2660-2023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46259</v>
      </c>
      <c r="F381" t="inlineStr">
        <is>
          <t>JÖNKÖPINGS LÄN</t>
        </is>
      </c>
      <c r="G381" t="inlineStr">
        <is>
          <t>SÄVSJÖ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4880-2024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45620</v>
      </c>
      <c r="E382" s="1" t="n">
        <v>46259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4563-2024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45600</v>
      </c>
      <c r="E383" s="1" t="n">
        <v>46259</v>
      </c>
      <c r="F383" t="inlineStr">
        <is>
          <t>JÖNKÖPINGS LÄN</t>
        </is>
      </c>
      <c r="G383" t="inlineStr">
        <is>
          <t>SÄVSJÖ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2576-2023</t>
        </is>
      </c>
      <c r="B384" t="inlineStr">
        <is>
          <t>samrådsanmälan</t>
        </is>
      </c>
      <c r="C384" t="inlineStr">
        <is>
          <t>Stubbskörd</t>
        </is>
      </c>
      <c r="D384" s="1" t="n">
        <v>45141</v>
      </c>
      <c r="E384" s="1" t="n">
        <v>46259</v>
      </c>
      <c r="F384" t="inlineStr">
        <is>
          <t>JÖNKÖPINGS LÄN</t>
        </is>
      </c>
      <c r="G384" t="inlineStr">
        <is>
          <t>SÄVSJÖ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1237-2025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45762</v>
      </c>
      <c r="E385" s="1" t="n">
        <v>46259</v>
      </c>
      <c r="F385" t="inlineStr">
        <is>
          <t>JÖNKÖPINGS LÄN</t>
        </is>
      </c>
      <c r="G385" t="inlineStr">
        <is>
          <t>SÄVSJÖ</t>
        </is>
      </c>
      <c r="I385" t="n">
        <v>28.5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1374-2025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45776</v>
      </c>
      <c r="E386" s="1" t="n">
        <v>46259</v>
      </c>
      <c r="F386" t="inlineStr">
        <is>
          <t>JÖNKÖPINGS LÄN</t>
        </is>
      </c>
      <c r="G386" t="inlineStr">
        <is>
          <t>SÄVSJÖ</t>
        </is>
      </c>
      <c r="H386" t="inlineStr">
        <is>
          <t>Sveaskog</t>
        </is>
      </c>
      <c r="I386" t="n">
        <v>63.1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1459-2025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46259</v>
      </c>
      <c r="F387" t="inlineStr">
        <is>
          <t>JÖNKÖPINGS LÄN</t>
        </is>
      </c>
      <c r="G387" t="inlineStr">
        <is>
          <t>SÄVSJÖ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1457-2025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45785</v>
      </c>
      <c r="E388" s="1" t="n">
        <v>46259</v>
      </c>
      <c r="F388" t="inlineStr">
        <is>
          <t>JÖNKÖPINGS LÄN</t>
        </is>
      </c>
      <c r="G388" t="inlineStr">
        <is>
          <t>SÄVSJÖ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1570-2025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45794</v>
      </c>
      <c r="E389" s="1" t="n">
        <v>46259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57.8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1571-2025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46259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153.1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573-2025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45712</v>
      </c>
      <c r="E391" s="1" t="n">
        <v>46259</v>
      </c>
      <c r="F391" t="inlineStr">
        <is>
          <t>JÖNKÖPINGS LÄN</t>
        </is>
      </c>
      <c r="G391" t="inlineStr">
        <is>
          <t>SÄVSJÖ</t>
        </is>
      </c>
      <c r="I391" t="n">
        <v>34.5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46259</v>
      </c>
      <c r="F392" t="inlineStr">
        <is>
          <t>JÖNKÖPINGS LÄN</t>
        </is>
      </c>
      <c r="G392" t="inlineStr">
        <is>
          <t>SÄVSJÖ</t>
        </is>
      </c>
      <c r="I392" t="n">
        <v>29.5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1812-2025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45818</v>
      </c>
      <c r="E393" s="1" t="n">
        <v>46259</v>
      </c>
      <c r="F393" t="inlineStr">
        <is>
          <t>JÖNKÖPINGS LÄN</t>
        </is>
      </c>
      <c r="G393" t="inlineStr">
        <is>
          <t>SÄVSJÖ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2071-2025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45840</v>
      </c>
      <c r="E394" s="1" t="n">
        <v>46259</v>
      </c>
      <c r="F394" t="inlineStr">
        <is>
          <t>JÖNKÖPINGS LÄN</t>
        </is>
      </c>
      <c r="G394" t="inlineStr">
        <is>
          <t>SÄVSJÖ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45985</v>
      </c>
      <c r="E395" s="1" t="n">
        <v>46259</v>
      </c>
      <c r="F395" t="inlineStr">
        <is>
          <t>JÖNKÖPINGS LÄN</t>
        </is>
      </c>
      <c r="G395" t="inlineStr">
        <is>
          <t>SÄVSJÖ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46259</v>
      </c>
      <c r="F396" t="inlineStr">
        <is>
          <t>JÖNKÖPINGS LÄN</t>
        </is>
      </c>
      <c r="G396" t="inlineStr">
        <is>
          <t>SÄVSJÖ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3268-2025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46259</v>
      </c>
      <c r="F397" t="inlineStr">
        <is>
          <t>JÖNKÖPINGS LÄN</t>
        </is>
      </c>
      <c r="G397" t="inlineStr">
        <is>
          <t>SÄVSJÖ</t>
        </is>
      </c>
      <c r="I397" t="n">
        <v>17.7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460-2026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46073</v>
      </c>
      <c r="E398" s="1" t="n">
        <v>46259</v>
      </c>
      <c r="F398" t="inlineStr">
        <is>
          <t>JÖNKÖPINGS LÄN</t>
        </is>
      </c>
      <c r="G398" t="inlineStr">
        <is>
          <t>SÄVSJÖ</t>
        </is>
      </c>
      <c r="I398" t="n">
        <v>36.7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687-2026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46091</v>
      </c>
      <c r="E399" s="1" t="n">
        <v>46259</v>
      </c>
      <c r="F399" t="inlineStr">
        <is>
          <t>JÖNKÖPINGS LÄN</t>
        </is>
      </c>
      <c r="G399" t="inlineStr">
        <is>
          <t>SÄVSJÖ</t>
        </is>
      </c>
      <c r="I399" t="n">
        <v>46.2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690-2026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46259</v>
      </c>
      <c r="F400" t="inlineStr">
        <is>
          <t>JÖNKÖPINGS LÄN</t>
        </is>
      </c>
      <c r="G400" t="inlineStr">
        <is>
          <t>SÄVSJÖ</t>
        </is>
      </c>
      <c r="I400" t="n">
        <v>47.4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873-2026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46106</v>
      </c>
      <c r="E401" s="1" t="n">
        <v>46259</v>
      </c>
      <c r="F401" t="inlineStr">
        <is>
          <t>JÖNKÖPINGS LÄN</t>
        </is>
      </c>
      <c r="G401" t="inlineStr">
        <is>
          <t>SÄVSJÖ</t>
        </is>
      </c>
      <c r="I401" t="n">
        <v>79.8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992-2026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46119</v>
      </c>
      <c r="E402" s="1" t="n">
        <v>46259</v>
      </c>
      <c r="F402" t="inlineStr">
        <is>
          <t>JÖNKÖPINGS LÄN</t>
        </is>
      </c>
      <c r="G402" t="inlineStr">
        <is>
          <t>SÄVSJÖ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1048-2026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46125</v>
      </c>
      <c r="E403" s="1" t="n">
        <v>46259</v>
      </c>
      <c r="F403" t="inlineStr">
        <is>
          <t>JÖNKÖPINGS LÄN</t>
        </is>
      </c>
      <c r="G403" t="inlineStr">
        <is>
          <t>SÄVSJÖ</t>
        </is>
      </c>
      <c r="I403" t="n">
        <v>35.8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2026-08-25T01:48:42Z</dcterms:created>
  <dcterms:modified xmlns:dcterms="http://purl.org/dc/terms/" xmlns:xsi="http://www.w3.org/2001/XMLSchema-instance" xsi:type="dcterms:W3CDTF">2026-08-25T01:48:43Z</dcterms:modified>
</cp:coreProperties>
</file>