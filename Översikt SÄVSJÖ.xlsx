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46309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46309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46309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46309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46309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46309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46309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46309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46309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46309</v>
      </c>
      <c r="F12" t="inlineStr">
        <is>
          <t>JÖNKÖPINGS LÄN</t>
        </is>
      </c>
      <c r="G12" t="inlineStr">
        <is>
          <t>SÄVSJÖ</t>
        </is>
      </c>
      <c r="I12" t="n">
        <v>8.6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Blåsippa</t>
        </is>
      </c>
      <c r="W12">
        <f>HYPERLINK("https://klasma.github.io/Logging_0684/artfynd/A 10046-2025 artfynd.xlsx", "A 10046-2025")</f>
        <v/>
      </c>
      <c r="X12">
        <f>HYPERLINK("https://klasma.github.io/Logging_0684/kartor/A 10046-2025 karta.png", "A 10046-2025")</f>
        <v/>
      </c>
      <c r="Y12">
        <f>HYPERLINK("https://klasma.github.io/Logging_0684/kartor_geotiff/A 10046-2025 georefererad karta.tif", "A 10046-2025")</f>
        <v/>
      </c>
      <c r="AA12">
        <f>HYPERLINK("https://klasma.github.io/Logging_0684/klagomål/A 10046-2025 FSC-klagomål.docx", "A 10046-2025")</f>
        <v/>
      </c>
      <c r="AB12">
        <f>HYPERLINK("https://klasma.github.io/Logging_0684/klagomålsmail/A 10046-2025 FSC-klagomål mail.docx", "A 10046-2025")</f>
        <v/>
      </c>
      <c r="AC12">
        <f>HYPERLINK("https://klasma.github.io/Logging_0684/tillsyn/A 10046-2025 tillsynsbegäran.docx", "A 10046-2025")</f>
        <v/>
      </c>
      <c r="AD12">
        <f>HYPERLINK("https://klasma.github.io/Logging_0684/tillsynsmail/A 10046-2025 tillsynsbegäran mail.docx", "A 10046-2025")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46309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Bredgentiana</t>
        </is>
      </c>
      <c r="W13">
        <f>HYPERLINK("https://klasma.github.io/Logging_0684/artfynd/A 39632-2025 artfynd.xlsx", "A 39632-2025")</f>
        <v/>
      </c>
      <c r="X13">
        <f>HYPERLINK("https://klasma.github.io/Logging_0684/kartor/A 39632-2025 karta.png", "A 39632-2025")</f>
        <v/>
      </c>
      <c r="Y13">
        <f>HYPERLINK("https://klasma.github.io/Logging_0684/kartor_geotiff/A 39632-2025 georefererad karta.tif", "A 39632-2025")</f>
        <v/>
      </c>
      <c r="AA13">
        <f>HYPERLINK("https://klasma.github.io/Logging_0684/klagomål/A 39632-2025 FSC-klagomål.docx", "A 39632-2025")</f>
        <v/>
      </c>
      <c r="AB13">
        <f>HYPERLINK("https://klasma.github.io/Logging_0684/klagomålsmail/A 39632-2025 FSC-klagomål mail.docx", "A 39632-2025")</f>
        <v/>
      </c>
      <c r="AC13">
        <f>HYPERLINK("https://klasma.github.io/Logging_0684/tillsyn/A 39632-2025 tillsynsbegäran.docx", "A 39632-2025")</f>
        <v/>
      </c>
      <c r="AD13">
        <f>HYPERLINK("https://klasma.github.io/Logging_0684/tillsynsmail/A 39632-2025 tillsynsbegäran mail.docx", "A 39632-2025")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46309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11797-2026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46085</v>
      </c>
      <c r="E15" s="1" t="n">
        <v>46309</v>
      </c>
      <c r="F15" t="inlineStr">
        <is>
          <t>JÖNKÖPINGS LÄN</t>
        </is>
      </c>
      <c r="G15" t="inlineStr">
        <is>
          <t>SÄVSJÖ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11797-2026 artfynd.xlsx", "A 11797-2026")</f>
        <v/>
      </c>
      <c r="X15">
        <f>HYPERLINK("https://klasma.github.io/Logging_0684/kartor/A 11797-2026 karta.png", "A 11797-2026")</f>
        <v/>
      </c>
      <c r="Y15">
        <f>HYPERLINK("https://klasma.github.io/Logging_0684/kartor_geotiff/A 11797-2026 georefererad karta.tif", "A 11797-2026")</f>
        <v/>
      </c>
      <c r="AA15">
        <f>HYPERLINK("https://klasma.github.io/Logging_0684/klagomål/A 11797-2026 FSC-klagomål.docx", "A 11797-2026")</f>
        <v/>
      </c>
      <c r="AB15">
        <f>HYPERLINK("https://klasma.github.io/Logging_0684/klagomålsmail/A 11797-2026 FSC-klagomål mail.docx", "A 11797-2026")</f>
        <v/>
      </c>
      <c r="AC15">
        <f>HYPERLINK("https://klasma.github.io/Logging_0684/tillsyn/A 11797-2026 tillsynsbegäran.docx", "A 11797-2026")</f>
        <v/>
      </c>
      <c r="AD15">
        <f>HYPERLINK("https://klasma.github.io/Logging_0684/tillsynsmail/A 11797-2026 tillsynsbegäran mail.docx", "A 11797-2026")</f>
        <v/>
      </c>
    </row>
    <row r="16" ht="15" customHeight="1">
      <c r="A16" t="inlineStr">
        <is>
          <t>A 40075-2023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45168</v>
      </c>
      <c r="E16" s="1" t="n">
        <v>46309</v>
      </c>
      <c r="F16" t="inlineStr">
        <is>
          <t>JÖNKÖPINGS LÄN</t>
        </is>
      </c>
      <c r="G16" t="inlineStr">
        <is>
          <t>SÄVSJÖ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40075-2023 artfynd.xlsx", "A 40075-2023")</f>
        <v/>
      </c>
      <c r="X16">
        <f>HYPERLINK("https://klasma.github.io/Logging_0684/kartor/A 40075-2023 karta.png", "A 40075-2023")</f>
        <v/>
      </c>
      <c r="Y16">
        <f>HYPERLINK("https://klasma.github.io/Logging_0684/kartor_geotiff/A 40075-2023 georefererad karta.tif", "A 40075-2023")</f>
        <v/>
      </c>
      <c r="AA16">
        <f>HYPERLINK("https://klasma.github.io/Logging_0684/klagomål/A 40075-2023 FSC-klagomål.docx", "A 40075-2023")</f>
        <v/>
      </c>
      <c r="AB16">
        <f>HYPERLINK("https://klasma.github.io/Logging_0684/klagomålsmail/A 40075-2023 FSC-klagomål mail.docx", "A 40075-2023")</f>
        <v/>
      </c>
      <c r="AC16">
        <f>HYPERLINK("https://klasma.github.io/Logging_0684/tillsyn/A 40075-2023 tillsynsbegäran.docx", "A 40075-2023")</f>
        <v/>
      </c>
      <c r="AD16">
        <f>HYPERLINK("https://klasma.github.io/Logging_0684/tillsynsmail/A 40075-2023 tillsynsbegäran mail.docx", "A 40075-2023")</f>
        <v/>
      </c>
    </row>
    <row r="17" ht="15" customHeight="1">
      <c r="A17" t="inlineStr">
        <is>
          <t>A 19123-2025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45768</v>
      </c>
      <c r="E17" s="1" t="n">
        <v>46309</v>
      </c>
      <c r="F17" t="inlineStr">
        <is>
          <t>JÖNKÖPINGS LÄN</t>
        </is>
      </c>
      <c r="G17" t="inlineStr">
        <is>
          <t>SÄVSJÖ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HYPERLINK("https://klasma.github.io/Logging_0684/artfynd/A 19123-2025 artfynd.xlsx", "A 19123-2025")</f>
        <v/>
      </c>
      <c r="X17">
        <f>HYPERLINK("https://klasma.github.io/Logging_0684/kartor/A 19123-2025 karta.png", "A 19123-2025")</f>
        <v/>
      </c>
      <c r="Y17">
        <f>HYPERLINK("https://klasma.github.io/Logging_0684/kartor_geotiff/A 19123-2025 georefererad karta.tif", "A 19123-2025")</f>
        <v/>
      </c>
      <c r="AA17">
        <f>HYPERLINK("https://klasma.github.io/Logging_0684/klagomål/A 19123-2025 FSC-klagomål.docx", "A 19123-2025")</f>
        <v/>
      </c>
      <c r="AB17">
        <f>HYPERLINK("https://klasma.github.io/Logging_0684/klagomålsmail/A 19123-2025 FSC-klagomål mail.docx", "A 19123-2025")</f>
        <v/>
      </c>
      <c r="AC17">
        <f>HYPERLINK("https://klasma.github.io/Logging_0684/tillsyn/A 19123-2025 tillsynsbegäran.docx", "A 19123-2025")</f>
        <v/>
      </c>
      <c r="AD17">
        <f>HYPERLINK("https://klasma.github.io/Logging_0684/tillsynsmail/A 19123-2025 tillsynsbegäran mail.docx", "A 19123-2025")</f>
        <v/>
      </c>
      <c r="AE17">
        <f>HYPERLINK("https://klasma.github.io/Logging_0684/fåglar/A 19123-2025 prioriterade fågelarter.docx", "A 19123-2025")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46309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46309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46309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46309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46309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46309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46309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A 41170-2026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46309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41170-2026 artfynd.xlsx", "A 41170-2026")</f>
        <v/>
      </c>
      <c r="X25">
        <f>HYPERLINK("https://klasma.github.io/Logging_0684/kartor/A 41170-2026 karta.png", "A 41170-2026")</f>
        <v/>
      </c>
      <c r="Y25">
        <f>HYPERLINK("https://klasma.github.io/Logging_0684/kartor_geotiff/A 41170-2026 georefererad karta.tif", "A 41170-2026")</f>
        <v/>
      </c>
      <c r="AA25">
        <f>HYPERLINK("https://klasma.github.io/Logging_0684/klagomål/A 41170-2026 FSC-klagomål.docx", "A 41170-2026")</f>
        <v/>
      </c>
      <c r="AB25">
        <f>HYPERLINK("https://klasma.github.io/Logging_0684/klagomålsmail/A 41170-2026 FSC-klagomål mail.docx", "A 41170-2026")</f>
        <v/>
      </c>
      <c r="AC25">
        <f>HYPERLINK("https://klasma.github.io/Logging_0684/tillsyn/A 41170-2026 tillsynsbegäran.docx", "A 41170-2026")</f>
        <v/>
      </c>
      <c r="AD25">
        <f>HYPERLINK("https://klasma.github.io/Logging_0684/tillsynsmail/A 41170-2026 tillsynsbegäran mail.docx", "A 41170-2026")</f>
        <v/>
      </c>
    </row>
    <row r="26" ht="15" customHeight="1">
      <c r="A26" t="inlineStr">
        <is>
          <t>A 41179-2026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46300</v>
      </c>
      <c r="E26" s="1" t="n">
        <v>46309</v>
      </c>
      <c r="F26" t="inlineStr">
        <is>
          <t>JÖNKÖPINGS LÄN</t>
        </is>
      </c>
      <c r="G26" t="inlineStr">
        <is>
          <t>SÄVSJÖ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41179-2026 artfynd.xlsx", "A 41179-2026")</f>
        <v/>
      </c>
      <c r="X26">
        <f>HYPERLINK("https://klasma.github.io/Logging_0684/kartor/A 41179-2026 karta.png", "A 41179-2026")</f>
        <v/>
      </c>
      <c r="Y26">
        <f>HYPERLINK("https://klasma.github.io/Logging_0684/kartor_geotiff/A 41179-2026 georefererad karta.tif", "A 41179-2026")</f>
        <v/>
      </c>
      <c r="AA26">
        <f>HYPERLINK("https://klasma.github.io/Logging_0684/klagomål/A 41179-2026 FSC-klagomål.docx", "A 41179-2026")</f>
        <v/>
      </c>
      <c r="AB26">
        <f>HYPERLINK("https://klasma.github.io/Logging_0684/klagomålsmail/A 41179-2026 FSC-klagomål mail.docx", "A 41179-2026")</f>
        <v/>
      </c>
      <c r="AC26">
        <f>HYPERLINK("https://klasma.github.io/Logging_0684/tillsyn/A 41179-2026 tillsynsbegäran.docx", "A 41179-2026")</f>
        <v/>
      </c>
      <c r="AD26">
        <f>HYPERLINK("https://klasma.github.io/Logging_0684/tillsynsmail/A 41179-2026 tillsynsbegäran mail.docx", "A 41179-2026")</f>
        <v/>
      </c>
    </row>
    <row r="27" ht="15" customHeight="1">
      <c r="A27" t="inlineStr">
        <is>
          <t>A 35891-2026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46266</v>
      </c>
      <c r="E27" s="1" t="n">
        <v>46309</v>
      </c>
      <c r="F27" t="inlineStr">
        <is>
          <t>JÖNKÖPINGS LÄN</t>
        </is>
      </c>
      <c r="G27" t="inlineStr">
        <is>
          <t>SÄVSJÖ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Pilfibbla</t>
        </is>
      </c>
      <c r="W27">
        <f>HYPERLINK("https://klasma.github.io/Logging_0684/artfynd/A 35891-2026 artfynd.xlsx", "A 35891-2026")</f>
        <v/>
      </c>
      <c r="X27">
        <f>HYPERLINK("https://klasma.github.io/Logging_0684/kartor/A 35891-2026 karta.png", "A 35891-2026")</f>
        <v/>
      </c>
      <c r="Y27">
        <f>HYPERLINK("https://klasma.github.io/Logging_0684/kartor_geotiff/A 35891-2026 georefererad karta.tif", "A 35891-2026")</f>
        <v/>
      </c>
      <c r="AA27">
        <f>HYPERLINK("https://klasma.github.io/Logging_0684/klagomål/A 35891-2026 FSC-klagomål.docx", "A 35891-2026")</f>
        <v/>
      </c>
      <c r="AB27">
        <f>HYPERLINK("https://klasma.github.io/Logging_0684/klagomålsmail/A 35891-2026 FSC-klagomål mail.docx", "A 35891-2026")</f>
        <v/>
      </c>
      <c r="AC27">
        <f>HYPERLINK("https://klasma.github.io/Logging_0684/tillsyn/A 35891-2026 tillsynsbegäran.docx", "A 35891-2026")</f>
        <v/>
      </c>
      <c r="AD27">
        <f>HYPERLINK("https://klasma.github.io/Logging_0684/tillsynsmail/A 35891-2026 tillsynsbegäran mail.docx", "A 35891-2026")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46309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46309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46309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46309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46309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46309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46309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46309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46309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46309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46309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46309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46309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46309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46309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46309</v>
      </c>
      <c r="F43" t="inlineStr">
        <is>
          <t>JÖNKÖPINGS LÄN</t>
        </is>
      </c>
      <c r="G43" t="inlineStr">
        <is>
          <t>SÄVSJÖ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46309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46309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46309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46309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46309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46309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46309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46309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46309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46309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46309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46309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46309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46309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46309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46309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46309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46309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46309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46309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46309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46309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46309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46309</v>
      </c>
      <c r="F67" t="inlineStr">
        <is>
          <t>JÖNKÖPINGS LÄN</t>
        </is>
      </c>
      <c r="G67" t="inlineStr">
        <is>
          <t>SÄVSJÖ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46309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46309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46309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46309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46309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46309</v>
      </c>
      <c r="F73" t="inlineStr">
        <is>
          <t>JÖNKÖPINGS LÄN</t>
        </is>
      </c>
      <c r="G73" t="inlineStr">
        <is>
          <t>SÄVSJÖ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45669</v>
      </c>
      <c r="E74" s="1" t="n">
        <v>46309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46309</v>
      </c>
      <c r="F75" t="inlineStr">
        <is>
          <t>JÖNKÖPINGS LÄN</t>
        </is>
      </c>
      <c r="G75" t="inlineStr">
        <is>
          <t>SÄVSJÖ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46609-2023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46309</v>
      </c>
      <c r="F76" t="inlineStr">
        <is>
          <t>JÖNKÖPINGS LÄN</t>
        </is>
      </c>
      <c r="G76" t="inlineStr">
        <is>
          <t>SÄVSJÖ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46309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44781</v>
      </c>
      <c r="E78" s="1" t="n">
        <v>46309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46309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46309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46309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46309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46309</v>
      </c>
      <c r="F83" t="inlineStr">
        <is>
          <t>JÖNKÖPINGS LÄN</t>
        </is>
      </c>
      <c r="G83" t="inlineStr">
        <is>
          <t>SÄVSJÖ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45454</v>
      </c>
      <c r="E84" s="1" t="n">
        <v>46309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45253</v>
      </c>
      <c r="E85" s="1" t="n">
        <v>46309</v>
      </c>
      <c r="F85" t="inlineStr">
        <is>
          <t>JÖNKÖPINGS LÄN</t>
        </is>
      </c>
      <c r="G85" t="inlineStr">
        <is>
          <t>SÄVSJÖ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10284-2024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46309</v>
      </c>
      <c r="F86" t="inlineStr">
        <is>
          <t>JÖNKÖPINGS LÄN</t>
        </is>
      </c>
      <c r="G86" t="inlineStr">
        <is>
          <t>SÄVSJÖ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45881</v>
      </c>
      <c r="E87" s="1" t="n">
        <v>46309</v>
      </c>
      <c r="F87" t="inlineStr">
        <is>
          <t>JÖNKÖPINGS LÄN</t>
        </is>
      </c>
      <c r="G87" t="inlineStr">
        <is>
          <t>SÄVSJÖ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46309</v>
      </c>
      <c r="F88" t="inlineStr">
        <is>
          <t>JÖNKÖPINGS LÄN</t>
        </is>
      </c>
      <c r="G88" t="inlineStr">
        <is>
          <t>SÄVSJÖ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46309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45611</v>
      </c>
      <c r="E90" s="1" t="n">
        <v>46309</v>
      </c>
      <c r="F90" t="inlineStr">
        <is>
          <t>JÖNKÖPINGS LÄN</t>
        </is>
      </c>
      <c r="G90" t="inlineStr">
        <is>
          <t>SÄVSJÖ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46017</v>
      </c>
      <c r="E91" s="1" t="n">
        <v>46309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46309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44883</v>
      </c>
      <c r="E93" s="1" t="n">
        <v>46309</v>
      </c>
      <c r="F93" t="inlineStr">
        <is>
          <t>JÖNKÖPINGS LÄN</t>
        </is>
      </c>
      <c r="G93" t="inlineStr">
        <is>
          <t>SÄVSJÖ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46309</v>
      </c>
      <c r="F94" t="inlineStr">
        <is>
          <t>JÖNKÖPINGS LÄN</t>
        </is>
      </c>
      <c r="G94" t="inlineStr">
        <is>
          <t>SÄVSJÖ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46309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12794-2025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46309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12804-2025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46309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45226</v>
      </c>
      <c r="E98" s="1" t="n">
        <v>46309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30162-2023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45110</v>
      </c>
      <c r="E99" s="1" t="n">
        <v>46309</v>
      </c>
      <c r="F99" t="inlineStr">
        <is>
          <t>JÖNKÖPINGS LÄN</t>
        </is>
      </c>
      <c r="G99" t="inlineStr">
        <is>
          <t>SÄVSJÖ</t>
        </is>
      </c>
      <c r="H99" t="inlineStr">
        <is>
          <t>Kommuner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46309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46309</v>
      </c>
      <c r="F101" t="inlineStr">
        <is>
          <t>JÖNKÖPINGS LÄN</t>
        </is>
      </c>
      <c r="G101" t="inlineStr">
        <is>
          <t>SÄVSJÖ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46309</v>
      </c>
      <c r="F102" t="inlineStr">
        <is>
          <t>JÖNKÖPINGS LÄN</t>
        </is>
      </c>
      <c r="G102" t="inlineStr">
        <is>
          <t>SÄVSJÖ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45727</v>
      </c>
      <c r="E103" s="1" t="n">
        <v>46309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46309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46309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46309</v>
      </c>
      <c r="F106" t="inlineStr">
        <is>
          <t>JÖNKÖPINGS LÄN</t>
        </is>
      </c>
      <c r="G106" t="inlineStr">
        <is>
          <t>SÄVSJÖ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46309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44951</v>
      </c>
      <c r="E108" s="1" t="n">
        <v>46309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44972</v>
      </c>
      <c r="E109" s="1" t="n">
        <v>46309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46309</v>
      </c>
      <c r="F110" t="inlineStr">
        <is>
          <t>JÖNKÖPINGS LÄN</t>
        </is>
      </c>
      <c r="G110" t="inlineStr">
        <is>
          <t>SÄVSJÖ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46309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46309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46309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46309</v>
      </c>
      <c r="F114" t="inlineStr">
        <is>
          <t>JÖNKÖPINGS LÄN</t>
        </is>
      </c>
      <c r="G114" t="inlineStr">
        <is>
          <t>SÄVSJÖ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46309</v>
      </c>
      <c r="F115" t="inlineStr">
        <is>
          <t>JÖNKÖPINGS LÄN</t>
        </is>
      </c>
      <c r="G115" t="inlineStr">
        <is>
          <t>SÄVSJÖ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45660</v>
      </c>
      <c r="E116" s="1" t="n">
        <v>46309</v>
      </c>
      <c r="F116" t="inlineStr">
        <is>
          <t>JÖNKÖPINGS LÄN</t>
        </is>
      </c>
      <c r="G116" t="inlineStr">
        <is>
          <t>SÄVSJÖ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46309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46309</v>
      </c>
      <c r="F118" t="inlineStr">
        <is>
          <t>JÖNKÖPINGS LÄN</t>
        </is>
      </c>
      <c r="G118" t="inlineStr">
        <is>
          <t>SÄVSJÖ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46309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46309</v>
      </c>
      <c r="F120" t="inlineStr">
        <is>
          <t>JÖNKÖPINGS LÄN</t>
        </is>
      </c>
      <c r="G120" t="inlineStr">
        <is>
          <t>SÄVSJÖ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46309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46309</v>
      </c>
      <c r="F122" t="inlineStr">
        <is>
          <t>JÖNKÖPINGS LÄN</t>
        </is>
      </c>
      <c r="G122" t="inlineStr">
        <is>
          <t>SÄVSJÖ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46309</v>
      </c>
      <c r="F123" t="inlineStr">
        <is>
          <t>JÖNKÖPINGS LÄN</t>
        </is>
      </c>
      <c r="G123" t="inlineStr">
        <is>
          <t>SÄVSJÖ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46309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46309</v>
      </c>
      <c r="F125" t="inlineStr">
        <is>
          <t>JÖNKÖPINGS LÄN</t>
        </is>
      </c>
      <c r="G125" t="inlineStr">
        <is>
          <t>SÄVSJÖ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45127</v>
      </c>
      <c r="E126" s="1" t="n">
        <v>46309</v>
      </c>
      <c r="F126" t="inlineStr">
        <is>
          <t>JÖNKÖPINGS LÄN</t>
        </is>
      </c>
      <c r="G126" t="inlineStr">
        <is>
          <t>SÄVSJÖ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46309</v>
      </c>
      <c r="F127" t="inlineStr">
        <is>
          <t>JÖNKÖPINGS LÄN</t>
        </is>
      </c>
      <c r="G127" t="inlineStr">
        <is>
          <t>SÄVSJÖ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4530-2022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44590</v>
      </c>
      <c r="E128" s="1" t="n">
        <v>46309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46309</v>
      </c>
      <c r="F129" t="inlineStr">
        <is>
          <t>JÖNKÖPINGS LÄN</t>
        </is>
      </c>
      <c r="G129" t="inlineStr">
        <is>
          <t>SÄVSJÖ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46309</v>
      </c>
      <c r="F130" t="inlineStr">
        <is>
          <t>JÖNKÖPINGS LÄN</t>
        </is>
      </c>
      <c r="G130" t="inlineStr">
        <is>
          <t>SÄVSJÖ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30162-2023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45110</v>
      </c>
      <c r="E131" s="1" t="n">
        <v>46309</v>
      </c>
      <c r="F131" t="inlineStr">
        <is>
          <t>JÖNKÖPINGS LÄN</t>
        </is>
      </c>
      <c r="G131" t="inlineStr">
        <is>
          <t>SÄVSJÖ</t>
        </is>
      </c>
      <c r="H131" t="inlineStr">
        <is>
          <t>Kommuner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46309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46309</v>
      </c>
      <c r="F133" t="inlineStr">
        <is>
          <t>JÖNKÖPINGS LÄN</t>
        </is>
      </c>
      <c r="G133" t="inlineStr">
        <is>
          <t>SÄVSJÖ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45320</v>
      </c>
      <c r="E134" s="1" t="n">
        <v>46309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46309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44942</v>
      </c>
      <c r="E136" s="1" t="n">
        <v>46309</v>
      </c>
      <c r="F136" t="inlineStr">
        <is>
          <t>JÖNKÖPINGS LÄN</t>
        </is>
      </c>
      <c r="G136" t="inlineStr">
        <is>
          <t>SÄVSJÖ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46309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45953</v>
      </c>
      <c r="E138" s="1" t="n">
        <v>46309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46309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46309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46309</v>
      </c>
      <c r="F141" t="inlineStr">
        <is>
          <t>JÖNKÖPINGS LÄN</t>
        </is>
      </c>
      <c r="G141" t="inlineStr">
        <is>
          <t>SÄVSJÖ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46309</v>
      </c>
      <c r="F142" t="inlineStr">
        <is>
          <t>JÖNKÖPINGS LÄN</t>
        </is>
      </c>
      <c r="G142" t="inlineStr">
        <is>
          <t>SÄVSJÖ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46309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46309</v>
      </c>
      <c r="F144" t="inlineStr">
        <is>
          <t>JÖNKÖPINGS LÄN</t>
        </is>
      </c>
      <c r="G144" t="inlineStr">
        <is>
          <t>SÄVSJÖ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45061</v>
      </c>
      <c r="E145" s="1" t="n">
        <v>46309</v>
      </c>
      <c r="F145" t="inlineStr">
        <is>
          <t>JÖNKÖPINGS LÄN</t>
        </is>
      </c>
      <c r="G145" t="inlineStr">
        <is>
          <t>SÄVSJÖ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45037</v>
      </c>
      <c r="E146" s="1" t="n">
        <v>46309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46309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46309</v>
      </c>
      <c r="F148" t="inlineStr">
        <is>
          <t>JÖNKÖPINGS LÄN</t>
        </is>
      </c>
      <c r="G148" t="inlineStr">
        <is>
          <t>SÄVSJÖ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46309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46309</v>
      </c>
      <c r="F150" t="inlineStr">
        <is>
          <t>JÖNKÖPINGS LÄN</t>
        </is>
      </c>
      <c r="G150" t="inlineStr">
        <is>
          <t>SÄVSJÖ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54275-2025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45964</v>
      </c>
      <c r="E151" s="1" t="n">
        <v>46309</v>
      </c>
      <c r="F151" t="inlineStr">
        <is>
          <t>JÖNKÖPINGS LÄN</t>
        </is>
      </c>
      <c r="G151" t="inlineStr">
        <is>
          <t>SÄVSJÖ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46309</v>
      </c>
      <c r="F152" t="inlineStr">
        <is>
          <t>JÖNKÖPINGS LÄN</t>
        </is>
      </c>
      <c r="G152" t="inlineStr">
        <is>
          <t>SÄVSJÖ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46309</v>
      </c>
      <c r="F153" t="inlineStr">
        <is>
          <t>JÖNKÖPINGS LÄN</t>
        </is>
      </c>
      <c r="G153" t="inlineStr">
        <is>
          <t>SÄVSJÖ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46309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45524</v>
      </c>
      <c r="E155" s="1" t="n">
        <v>46309</v>
      </c>
      <c r="F155" t="inlineStr">
        <is>
          <t>JÖNKÖPINGS LÄN</t>
        </is>
      </c>
      <c r="G155" t="inlineStr">
        <is>
          <t>SÄVSJÖ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55358-2025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45971</v>
      </c>
      <c r="E156" s="1" t="n">
        <v>46309</v>
      </c>
      <c r="F156" t="inlineStr">
        <is>
          <t>JÖNKÖPINGS LÄN</t>
        </is>
      </c>
      <c r="G156" t="inlineStr">
        <is>
          <t>SÄVSJÖ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45978</v>
      </c>
      <c r="E157" s="1" t="n">
        <v>46309</v>
      </c>
      <c r="F157" t="inlineStr">
        <is>
          <t>JÖNKÖPINGS LÄN</t>
        </is>
      </c>
      <c r="G157" t="inlineStr">
        <is>
          <t>SÄVSJÖ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46309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46309</v>
      </c>
      <c r="F159" t="inlineStr">
        <is>
          <t>JÖNKÖPINGS LÄN</t>
        </is>
      </c>
      <c r="G159" t="inlineStr">
        <is>
          <t>SÄVSJÖ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46309</v>
      </c>
      <c r="F160" t="inlineStr">
        <is>
          <t>JÖNKÖPINGS LÄN</t>
        </is>
      </c>
      <c r="G160" t="inlineStr">
        <is>
          <t>SÄVSJÖ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46309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46309</v>
      </c>
      <c r="F162" t="inlineStr">
        <is>
          <t>JÖNKÖPINGS LÄN</t>
        </is>
      </c>
      <c r="G162" t="inlineStr">
        <is>
          <t>SÄVSJÖ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46309</v>
      </c>
      <c r="F163" t="inlineStr">
        <is>
          <t>JÖNKÖPINGS LÄN</t>
        </is>
      </c>
      <c r="G163" t="inlineStr">
        <is>
          <t>SÄVSJÖ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46309</v>
      </c>
      <c r="F164" t="inlineStr">
        <is>
          <t>JÖNKÖPINGS LÄN</t>
        </is>
      </c>
      <c r="G164" t="inlineStr">
        <is>
          <t>SÄVSJÖ</t>
        </is>
      </c>
      <c r="H164" t="inlineStr">
        <is>
          <t>Kyrkan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46309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46309</v>
      </c>
      <c r="F166" t="inlineStr">
        <is>
          <t>JÖNKÖPINGS LÄN</t>
        </is>
      </c>
      <c r="G166" t="inlineStr">
        <is>
          <t>SÄVSJÖ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46309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46309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45106</v>
      </c>
      <c r="E169" s="1" t="n">
        <v>46309</v>
      </c>
      <c r="F169" t="inlineStr">
        <is>
          <t>JÖNKÖPINGS LÄN</t>
        </is>
      </c>
      <c r="G169" t="inlineStr">
        <is>
          <t>SÄVSJÖ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45623</v>
      </c>
      <c r="E170" s="1" t="n">
        <v>46309</v>
      </c>
      <c r="F170" t="inlineStr">
        <is>
          <t>JÖNKÖPINGS LÄN</t>
        </is>
      </c>
      <c r="G170" t="inlineStr">
        <is>
          <t>SÄVSJÖ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46309</v>
      </c>
      <c r="F171" t="inlineStr">
        <is>
          <t>JÖNKÖPINGS LÄN</t>
        </is>
      </c>
      <c r="G171" t="inlineStr">
        <is>
          <t>SÄVSJÖ</t>
        </is>
      </c>
      <c r="H171" t="inlineStr">
        <is>
          <t>Kyrkan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46309</v>
      </c>
      <c r="F172" t="inlineStr">
        <is>
          <t>JÖNKÖPINGS LÄN</t>
        </is>
      </c>
      <c r="G172" t="inlineStr">
        <is>
          <t>SÄVSJÖ</t>
        </is>
      </c>
      <c r="H172" t="inlineStr">
        <is>
          <t>Kyrkan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60331-2025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45993</v>
      </c>
      <c r="E173" s="1" t="n">
        <v>46309</v>
      </c>
      <c r="F173" t="inlineStr">
        <is>
          <t>JÖNKÖPINGS LÄN</t>
        </is>
      </c>
      <c r="G173" t="inlineStr">
        <is>
          <t>SÄVSJÖ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46309</v>
      </c>
      <c r="F174" t="inlineStr">
        <is>
          <t>JÖNKÖPINGS LÄN</t>
        </is>
      </c>
      <c r="G174" t="inlineStr">
        <is>
          <t>SÄVSJÖ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46309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46309</v>
      </c>
      <c r="F176" t="inlineStr">
        <is>
          <t>JÖNKÖPINGS LÄN</t>
        </is>
      </c>
      <c r="G176" t="inlineStr">
        <is>
          <t>SÄVSJÖ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7285-2023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44970</v>
      </c>
      <c r="E177" s="1" t="n">
        <v>46309</v>
      </c>
      <c r="F177" t="inlineStr">
        <is>
          <t>JÖNKÖPINGS LÄN</t>
        </is>
      </c>
      <c r="G177" t="inlineStr">
        <is>
          <t>SÄVSJÖ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46309</v>
      </c>
      <c r="F178" t="inlineStr">
        <is>
          <t>JÖNKÖPINGS LÄN</t>
        </is>
      </c>
      <c r="G178" t="inlineStr">
        <is>
          <t>SÄVSJÖ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62870-2025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46008</v>
      </c>
      <c r="E179" s="1" t="n">
        <v>46309</v>
      </c>
      <c r="F179" t="inlineStr">
        <is>
          <t>JÖNKÖPINGS LÄN</t>
        </is>
      </c>
      <c r="G179" t="inlineStr">
        <is>
          <t>SÄVSJÖ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46309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45098</v>
      </c>
      <c r="E181" s="1" t="n">
        <v>46309</v>
      </c>
      <c r="F181" t="inlineStr">
        <is>
          <t>JÖNKÖPINGS LÄN</t>
        </is>
      </c>
      <c r="G181" t="inlineStr">
        <is>
          <t>SÄVSJÖ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63352-2025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46309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46014</v>
      </c>
      <c r="E183" s="1" t="n">
        <v>46309</v>
      </c>
      <c r="F183" t="inlineStr">
        <is>
          <t>JÖNKÖPINGS LÄN</t>
        </is>
      </c>
      <c r="G183" t="inlineStr">
        <is>
          <t>SÄVSJÖ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46014</v>
      </c>
      <c r="E184" s="1" t="n">
        <v>46309</v>
      </c>
      <c r="F184" t="inlineStr">
        <is>
          <t>JÖNKÖPINGS LÄN</t>
        </is>
      </c>
      <c r="G184" t="inlineStr">
        <is>
          <t>SÄVSJÖ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46014</v>
      </c>
      <c r="E185" s="1" t="n">
        <v>46309</v>
      </c>
      <c r="F185" t="inlineStr">
        <is>
          <t>JÖNKÖPINGS LÄN</t>
        </is>
      </c>
      <c r="G185" t="inlineStr">
        <is>
          <t>SÄVSJÖ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45634</v>
      </c>
      <c r="E186" s="1" t="n">
        <v>46309</v>
      </c>
      <c r="F186" t="inlineStr">
        <is>
          <t>JÖNKÖPINGS LÄN</t>
        </is>
      </c>
      <c r="G186" t="inlineStr">
        <is>
          <t>SÄVSJÖ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46087</v>
      </c>
      <c r="E187" s="1" t="n">
        <v>46309</v>
      </c>
      <c r="F187" t="inlineStr">
        <is>
          <t>JÖNKÖPINGS LÄN</t>
        </is>
      </c>
      <c r="G187" t="inlineStr">
        <is>
          <t>SÄVSJÖ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44991</v>
      </c>
      <c r="E188" s="1" t="n">
        <v>46309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46097</v>
      </c>
      <c r="E189" s="1" t="n">
        <v>46309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40111-2022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46309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45067</v>
      </c>
      <c r="E191" s="1" t="n">
        <v>46309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61545-2021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44501</v>
      </c>
      <c r="E192" s="1" t="n">
        <v>46309</v>
      </c>
      <c r="F192" t="inlineStr">
        <is>
          <t>JÖNKÖPINGS LÄN</t>
        </is>
      </c>
      <c r="G192" t="inlineStr">
        <is>
          <t>SÄVSJÖ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46309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46309</v>
      </c>
      <c r="F194" t="inlineStr">
        <is>
          <t>JÖNKÖPINGS LÄN</t>
        </is>
      </c>
      <c r="G194" t="inlineStr">
        <is>
          <t>SÄVSJÖ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14779-2026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46309</v>
      </c>
      <c r="F195" t="inlineStr">
        <is>
          <t>JÖNKÖPINGS LÄN</t>
        </is>
      </c>
      <c r="G195" t="inlineStr">
        <is>
          <t>SÄVSJÖ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46101</v>
      </c>
      <c r="E196" s="1" t="n">
        <v>46309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46309</v>
      </c>
      <c r="F197" t="inlineStr">
        <is>
          <t>JÖNKÖPINGS LÄN</t>
        </is>
      </c>
      <c r="G197" t="inlineStr">
        <is>
          <t>SÄVSJÖ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46309</v>
      </c>
      <c r="F198" t="inlineStr">
        <is>
          <t>JÖNKÖPINGS LÄN</t>
        </is>
      </c>
      <c r="G198" t="inlineStr">
        <is>
          <t>SÄVSJÖ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46309</v>
      </c>
      <c r="F199" t="inlineStr">
        <is>
          <t>JÖNKÖPINGS LÄN</t>
        </is>
      </c>
      <c r="G199" t="inlineStr">
        <is>
          <t>SÄVSJÖ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46309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46108</v>
      </c>
      <c r="E201" s="1" t="n">
        <v>46309</v>
      </c>
      <c r="F201" t="inlineStr">
        <is>
          <t>JÖNKÖPINGS LÄN</t>
        </is>
      </c>
      <c r="G201" t="inlineStr">
        <is>
          <t>SÄVSJÖ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46309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50627-2022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44866</v>
      </c>
      <c r="E203" s="1" t="n">
        <v>46309</v>
      </c>
      <c r="F203" t="inlineStr">
        <is>
          <t>JÖNKÖPINGS LÄN</t>
        </is>
      </c>
      <c r="G203" t="inlineStr">
        <is>
          <t>SÄVSJÖ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46309</v>
      </c>
      <c r="F204" t="inlineStr">
        <is>
          <t>JÖNKÖPINGS LÄN</t>
        </is>
      </c>
      <c r="G204" t="inlineStr">
        <is>
          <t>SÄVSJÖ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46309</v>
      </c>
      <c r="F205" t="inlineStr">
        <is>
          <t>JÖNKÖPINGS LÄN</t>
        </is>
      </c>
      <c r="G205" t="inlineStr">
        <is>
          <t>SÄVSJÖ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46309</v>
      </c>
      <c r="F206" t="inlineStr">
        <is>
          <t>JÖNKÖPINGS LÄN</t>
        </is>
      </c>
      <c r="G206" t="inlineStr">
        <is>
          <t>SÄVSJÖ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46309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46309</v>
      </c>
      <c r="F208" t="inlineStr">
        <is>
          <t>JÖNKÖPINGS LÄN</t>
        </is>
      </c>
      <c r="G208" t="inlineStr">
        <is>
          <t>SÄVSJÖ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45066</v>
      </c>
      <c r="E209" s="1" t="n">
        <v>46309</v>
      </c>
      <c r="F209" t="inlineStr">
        <is>
          <t>JÖNKÖPINGS LÄN</t>
        </is>
      </c>
      <c r="G209" t="inlineStr">
        <is>
          <t>SÄVSJÖ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45427</v>
      </c>
      <c r="E210" s="1" t="n">
        <v>46309</v>
      </c>
      <c r="F210" t="inlineStr">
        <is>
          <t>JÖNKÖPINGS LÄN</t>
        </is>
      </c>
      <c r="G210" t="inlineStr">
        <is>
          <t>SÄVSJÖ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46309</v>
      </c>
      <c r="F211" t="inlineStr">
        <is>
          <t>JÖNKÖPINGS LÄN</t>
        </is>
      </c>
      <c r="G211" t="inlineStr">
        <is>
          <t>SÄVSJÖ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45086</v>
      </c>
      <c r="E212" s="1" t="n">
        <v>46309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44245-2022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44839</v>
      </c>
      <c r="E213" s="1" t="n">
        <v>46309</v>
      </c>
      <c r="F213" t="inlineStr">
        <is>
          <t>JÖNKÖPINGS LÄN</t>
        </is>
      </c>
      <c r="G213" t="inlineStr">
        <is>
          <t>SÄVSJÖ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45094</v>
      </c>
      <c r="E214" s="1" t="n">
        <v>46309</v>
      </c>
      <c r="F214" t="inlineStr">
        <is>
          <t>JÖNKÖPINGS LÄN</t>
        </is>
      </c>
      <c r="G214" t="inlineStr">
        <is>
          <t>SÄVSJÖ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44826</v>
      </c>
      <c r="E215" s="1" t="n">
        <v>46309</v>
      </c>
      <c r="F215" t="inlineStr">
        <is>
          <t>JÖNKÖPINGS LÄN</t>
        </is>
      </c>
      <c r="G215" t="inlineStr">
        <is>
          <t>SÄVSJÖ</t>
        </is>
      </c>
      <c r="H215" t="inlineStr">
        <is>
          <t>Sveaskog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45094</v>
      </c>
      <c r="E216" s="1" t="n">
        <v>46309</v>
      </c>
      <c r="F216" t="inlineStr">
        <is>
          <t>JÖNKÖPINGS LÄN</t>
        </is>
      </c>
      <c r="G216" t="inlineStr">
        <is>
          <t>SÄVSJÖ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45879</v>
      </c>
      <c r="E217" s="1" t="n">
        <v>46309</v>
      </c>
      <c r="F217" t="inlineStr">
        <is>
          <t>JÖNKÖPINGS LÄN</t>
        </is>
      </c>
      <c r="G217" t="inlineStr">
        <is>
          <t>SÄVSJÖ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46309</v>
      </c>
      <c r="F218" t="inlineStr">
        <is>
          <t>JÖNKÖPINGS LÄN</t>
        </is>
      </c>
      <c r="G218" t="inlineStr">
        <is>
          <t>SÄVSJÖ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46309</v>
      </c>
      <c r="F219" t="inlineStr">
        <is>
          <t>JÖNKÖPINGS LÄN</t>
        </is>
      </c>
      <c r="G219" t="inlineStr">
        <is>
          <t>SÄVSJÖ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46309</v>
      </c>
      <c r="F220" t="inlineStr">
        <is>
          <t>JÖNKÖPINGS LÄN</t>
        </is>
      </c>
      <c r="G220" t="inlineStr">
        <is>
          <t>SÄVSJÖ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46309</v>
      </c>
      <c r="F221" t="inlineStr">
        <is>
          <t>JÖNKÖPINGS LÄN</t>
        </is>
      </c>
      <c r="G221" t="inlineStr">
        <is>
          <t>SÄVSJÖ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45118</v>
      </c>
      <c r="E222" s="1" t="n">
        <v>46309</v>
      </c>
      <c r="F222" t="inlineStr">
        <is>
          <t>JÖNKÖPINGS LÄN</t>
        </is>
      </c>
      <c r="G222" t="inlineStr">
        <is>
          <t>SÄVSJÖ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44505</v>
      </c>
      <c r="E223" s="1" t="n">
        <v>46309</v>
      </c>
      <c r="F223" t="inlineStr">
        <is>
          <t>JÖNKÖPINGS LÄN</t>
        </is>
      </c>
      <c r="G223" t="inlineStr">
        <is>
          <t>SÄVSJÖ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45371</v>
      </c>
      <c r="E224" s="1" t="n">
        <v>46309</v>
      </c>
      <c r="F224" t="inlineStr">
        <is>
          <t>JÖNKÖPINGS LÄN</t>
        </is>
      </c>
      <c r="G224" t="inlineStr">
        <is>
          <t>SÄVSJÖ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62177-2023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46309</v>
      </c>
      <c r="F225" t="inlineStr">
        <is>
          <t>JÖNKÖPINGS LÄN</t>
        </is>
      </c>
      <c r="G225" t="inlineStr">
        <is>
          <t>SÄVSJÖ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46309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46309</v>
      </c>
      <c r="F227" t="inlineStr">
        <is>
          <t>JÖNKÖPINGS LÄN</t>
        </is>
      </c>
      <c r="G227" t="inlineStr">
        <is>
          <t>SÄVSJÖ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46309</v>
      </c>
      <c r="F228" t="inlineStr">
        <is>
          <t>JÖNKÖPINGS LÄN</t>
        </is>
      </c>
      <c r="G228" t="inlineStr">
        <is>
          <t>SÄVSJÖ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46309</v>
      </c>
      <c r="F229" t="inlineStr">
        <is>
          <t>JÖNKÖPINGS LÄN</t>
        </is>
      </c>
      <c r="G229" t="inlineStr">
        <is>
          <t>SÄVSJÖ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46309</v>
      </c>
      <c r="F230" t="inlineStr">
        <is>
          <t>JÖNKÖPINGS LÄN</t>
        </is>
      </c>
      <c r="G230" t="inlineStr">
        <is>
          <t>SÄVSJÖ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46309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46309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44957</v>
      </c>
      <c r="E233" s="1" t="n">
        <v>46309</v>
      </c>
      <c r="F233" t="inlineStr">
        <is>
          <t>JÖNKÖPINGS LÄN</t>
        </is>
      </c>
      <c r="G233" t="inlineStr">
        <is>
          <t>SÄVSJÖ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46309</v>
      </c>
      <c r="F234" t="inlineStr">
        <is>
          <t>JÖNKÖPINGS LÄN</t>
        </is>
      </c>
      <c r="G234" t="inlineStr">
        <is>
          <t>SÄVSJÖ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46309</v>
      </c>
      <c r="F235" t="inlineStr">
        <is>
          <t>JÖNKÖPINGS LÄN</t>
        </is>
      </c>
      <c r="G235" t="inlineStr">
        <is>
          <t>SÄVSJÖ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45634</v>
      </c>
      <c r="E236" s="1" t="n">
        <v>46309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45634</v>
      </c>
      <c r="E237" s="1" t="n">
        <v>46309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46309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45104</v>
      </c>
      <c r="E239" s="1" t="n">
        <v>46309</v>
      </c>
      <c r="F239" t="inlineStr">
        <is>
          <t>JÖNKÖPINGS LÄN</t>
        </is>
      </c>
      <c r="G239" t="inlineStr">
        <is>
          <t>SÄVSJÖ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46309</v>
      </c>
      <c r="F240" t="inlineStr">
        <is>
          <t>JÖNKÖPINGS LÄN</t>
        </is>
      </c>
      <c r="G240" t="inlineStr">
        <is>
          <t>SÄVSJÖ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45518</v>
      </c>
      <c r="E241" s="1" t="n">
        <v>46309</v>
      </c>
      <c r="F241" t="inlineStr">
        <is>
          <t>JÖNKÖPINGS LÄN</t>
        </is>
      </c>
      <c r="G241" t="inlineStr">
        <is>
          <t>SÄVSJÖ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46309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46309</v>
      </c>
      <c r="F243" t="inlineStr">
        <is>
          <t>JÖNKÖPINGS LÄN</t>
        </is>
      </c>
      <c r="G243" t="inlineStr">
        <is>
          <t>SÄVSJÖ</t>
        </is>
      </c>
      <c r="H243" t="inlineStr">
        <is>
          <t>Övriga Aktiebolag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46309</v>
      </c>
      <c r="F244" t="inlineStr">
        <is>
          <t>JÖNKÖPINGS LÄN</t>
        </is>
      </c>
      <c r="G244" t="inlineStr">
        <is>
          <t>SÄVSJÖ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46309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46309</v>
      </c>
      <c r="F246" t="inlineStr">
        <is>
          <t>JÖNKÖPINGS LÄN</t>
        </is>
      </c>
      <c r="G246" t="inlineStr">
        <is>
          <t>SÄVSJÖ</t>
        </is>
      </c>
      <c r="H246" t="inlineStr">
        <is>
          <t>Kyrkan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45534</v>
      </c>
      <c r="E247" s="1" t="n">
        <v>46309</v>
      </c>
      <c r="F247" t="inlineStr">
        <is>
          <t>JÖNKÖPINGS LÄN</t>
        </is>
      </c>
      <c r="G247" t="inlineStr">
        <is>
          <t>SÄVSJÖ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45355</v>
      </c>
      <c r="E248" s="1" t="n">
        <v>46309</v>
      </c>
      <c r="F248" t="inlineStr">
        <is>
          <t>JÖNKÖPINGS LÄN</t>
        </is>
      </c>
      <c r="G248" t="inlineStr">
        <is>
          <t>SÄVSJÖ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46309</v>
      </c>
      <c r="F249" t="inlineStr">
        <is>
          <t>JÖNKÖPINGS LÄN</t>
        </is>
      </c>
      <c r="G249" t="inlineStr">
        <is>
          <t>SÄVSJÖ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46309</v>
      </c>
      <c r="F250" t="inlineStr">
        <is>
          <t>JÖNKÖPINGS LÄN</t>
        </is>
      </c>
      <c r="G250" t="inlineStr">
        <is>
          <t>SÄVSJÖ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46309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46309</v>
      </c>
      <c r="F252" t="inlineStr">
        <is>
          <t>JÖNKÖPINGS LÄN</t>
        </is>
      </c>
      <c r="G252" t="inlineStr">
        <is>
          <t>SÄVSJÖ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45067</v>
      </c>
      <c r="E253" s="1" t="n">
        <v>46309</v>
      </c>
      <c r="F253" t="inlineStr">
        <is>
          <t>JÖNKÖPINGS LÄN</t>
        </is>
      </c>
      <c r="G253" t="inlineStr">
        <is>
          <t>SÄVSJÖ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46309</v>
      </c>
      <c r="F254" t="inlineStr">
        <is>
          <t>JÖNKÖPINGS LÄN</t>
        </is>
      </c>
      <c r="G254" t="inlineStr">
        <is>
          <t>SÄVSJÖ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46309</v>
      </c>
      <c r="F255" t="inlineStr">
        <is>
          <t>JÖNKÖPINGS LÄN</t>
        </is>
      </c>
      <c r="G255" t="inlineStr">
        <is>
          <t>SÄVSJÖ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46309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44610</v>
      </c>
      <c r="E257" s="1" t="n">
        <v>46309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45601</v>
      </c>
      <c r="E258" s="1" t="n">
        <v>46309</v>
      </c>
      <c r="F258" t="inlineStr">
        <is>
          <t>JÖNKÖPINGS LÄN</t>
        </is>
      </c>
      <c r="G258" t="inlineStr">
        <is>
          <t>SÄVSJÖ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46309</v>
      </c>
      <c r="F259" t="inlineStr">
        <is>
          <t>JÖNKÖPINGS LÄN</t>
        </is>
      </c>
      <c r="G259" t="inlineStr">
        <is>
          <t>SÄVSJÖ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46309</v>
      </c>
      <c r="F260" t="inlineStr">
        <is>
          <t>JÖNKÖPINGS LÄN</t>
        </is>
      </c>
      <c r="G260" t="inlineStr">
        <is>
          <t>SÄVSJÖ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46309</v>
      </c>
      <c r="F261" t="inlineStr">
        <is>
          <t>JÖNKÖPINGS LÄN</t>
        </is>
      </c>
      <c r="G261" t="inlineStr">
        <is>
          <t>SÄVSJÖ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45407</v>
      </c>
      <c r="E262" s="1" t="n">
        <v>46309</v>
      </c>
      <c r="F262" t="inlineStr">
        <is>
          <t>JÖNKÖPINGS LÄN</t>
        </is>
      </c>
      <c r="G262" t="inlineStr">
        <is>
          <t>SÄVSJÖ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46309</v>
      </c>
      <c r="F263" t="inlineStr">
        <is>
          <t>JÖNKÖPINGS LÄN</t>
        </is>
      </c>
      <c r="G263" t="inlineStr">
        <is>
          <t>SÄVSJÖ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45170</v>
      </c>
      <c r="E264" s="1" t="n">
        <v>46309</v>
      </c>
      <c r="F264" t="inlineStr">
        <is>
          <t>JÖNKÖPINGS LÄN</t>
        </is>
      </c>
      <c r="G264" t="inlineStr">
        <is>
          <t>SÄVSJÖ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46309</v>
      </c>
      <c r="F265" t="inlineStr">
        <is>
          <t>JÖNKÖPINGS LÄN</t>
        </is>
      </c>
      <c r="G265" t="inlineStr">
        <is>
          <t>SÄVSJÖ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45197</v>
      </c>
      <c r="E266" s="1" t="n">
        <v>46309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46309</v>
      </c>
      <c r="F267" t="inlineStr">
        <is>
          <t>JÖNKÖPINGS LÄN</t>
        </is>
      </c>
      <c r="G267" t="inlineStr">
        <is>
          <t>SÄVSJÖ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46309</v>
      </c>
      <c r="F268" t="inlineStr">
        <is>
          <t>JÖNKÖPINGS LÄN</t>
        </is>
      </c>
      <c r="G268" t="inlineStr">
        <is>
          <t>SÄVSJÖ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46309</v>
      </c>
      <c r="F269" t="inlineStr">
        <is>
          <t>JÖNKÖPINGS LÄN</t>
        </is>
      </c>
      <c r="G269" t="inlineStr">
        <is>
          <t>SÄVSJÖ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51795-2022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44872</v>
      </c>
      <c r="E270" s="1" t="n">
        <v>46309</v>
      </c>
      <c r="F270" t="inlineStr">
        <is>
          <t>JÖNKÖPINGS LÄN</t>
        </is>
      </c>
      <c r="G270" t="inlineStr">
        <is>
          <t>SÄVSJÖ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46165</v>
      </c>
      <c r="E271" s="1" t="n">
        <v>46309</v>
      </c>
      <c r="F271" t="inlineStr">
        <is>
          <t>JÖNKÖPINGS LÄN</t>
        </is>
      </c>
      <c r="G271" t="inlineStr">
        <is>
          <t>SÄVSJÖ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46309</v>
      </c>
      <c r="F272" t="inlineStr">
        <is>
          <t>JÖNKÖPINGS LÄN</t>
        </is>
      </c>
      <c r="G272" t="inlineStr">
        <is>
          <t>SÄVSJÖ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45167</v>
      </c>
      <c r="E273" s="1" t="n">
        <v>46309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45704</v>
      </c>
      <c r="E274" s="1" t="n">
        <v>46309</v>
      </c>
      <c r="F274" t="inlineStr">
        <is>
          <t>JÖNKÖPINGS LÄN</t>
        </is>
      </c>
      <c r="G274" t="inlineStr">
        <is>
          <t>SÄVSJÖ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44656</v>
      </c>
      <c r="E275" s="1" t="n">
        <v>46309</v>
      </c>
      <c r="F275" t="inlineStr">
        <is>
          <t>JÖNKÖPINGS LÄN</t>
        </is>
      </c>
      <c r="G275" t="inlineStr">
        <is>
          <t>SÄVSJÖ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46309</v>
      </c>
      <c r="F276" t="inlineStr">
        <is>
          <t>JÖNKÖPINGS LÄN</t>
        </is>
      </c>
      <c r="G276" t="inlineStr">
        <is>
          <t>SÄVSJÖ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45694</v>
      </c>
      <c r="E277" s="1" t="n">
        <v>46309</v>
      </c>
      <c r="F277" t="inlineStr">
        <is>
          <t>JÖNKÖPINGS LÄN</t>
        </is>
      </c>
      <c r="G277" t="inlineStr">
        <is>
          <t>SÄVSJÖ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46309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45433</v>
      </c>
      <c r="E279" s="1" t="n">
        <v>46309</v>
      </c>
      <c r="F279" t="inlineStr">
        <is>
          <t>JÖNKÖPINGS LÄN</t>
        </is>
      </c>
      <c r="G279" t="inlineStr">
        <is>
          <t>SÄVSJÖ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46309</v>
      </c>
      <c r="F280" t="inlineStr">
        <is>
          <t>JÖNKÖPINGS LÄN</t>
        </is>
      </c>
      <c r="G280" t="inlineStr">
        <is>
          <t>SÄVSJÖ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14159-2022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44651</v>
      </c>
      <c r="E281" s="1" t="n">
        <v>46309</v>
      </c>
      <c r="F281" t="inlineStr">
        <is>
          <t>JÖNKÖPINGS LÄN</t>
        </is>
      </c>
      <c r="G281" t="inlineStr">
        <is>
          <t>SÄVSJÖ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46309</v>
      </c>
      <c r="F282" t="inlineStr">
        <is>
          <t>JÖNKÖPINGS LÄN</t>
        </is>
      </c>
      <c r="G282" t="inlineStr">
        <is>
          <t>SÄVSJÖ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54547-2023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45226</v>
      </c>
      <c r="E283" s="1" t="n">
        <v>46309</v>
      </c>
      <c r="F283" t="inlineStr">
        <is>
          <t>JÖNKÖPINGS LÄN</t>
        </is>
      </c>
      <c r="G283" t="inlineStr">
        <is>
          <t>SÄVSJÖ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45775</v>
      </c>
      <c r="E284" s="1" t="n">
        <v>46309</v>
      </c>
      <c r="F284" t="inlineStr">
        <is>
          <t>JÖNKÖPINGS LÄN</t>
        </is>
      </c>
      <c r="G284" t="inlineStr">
        <is>
          <t>SÄVSJÖ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45315</v>
      </c>
      <c r="E285" s="1" t="n">
        <v>46309</v>
      </c>
      <c r="F285" t="inlineStr">
        <is>
          <t>JÖNKÖPINGS LÄN</t>
        </is>
      </c>
      <c r="G285" t="inlineStr">
        <is>
          <t>SÄVSJÖ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44830</v>
      </c>
      <c r="E286" s="1" t="n">
        <v>46309</v>
      </c>
      <c r="F286" t="inlineStr">
        <is>
          <t>JÖNKÖPINGS LÄN</t>
        </is>
      </c>
      <c r="G286" t="inlineStr">
        <is>
          <t>SÄVSJÖ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46309</v>
      </c>
      <c r="F287" t="inlineStr">
        <is>
          <t>JÖNKÖPINGS LÄN</t>
        </is>
      </c>
      <c r="G287" t="inlineStr">
        <is>
          <t>SÄVSJÖ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46309</v>
      </c>
      <c r="F288" t="inlineStr">
        <is>
          <t>JÖNKÖPINGS LÄN</t>
        </is>
      </c>
      <c r="G288" t="inlineStr">
        <is>
          <t>SÄVSJÖ</t>
        </is>
      </c>
      <c r="H288" t="inlineStr">
        <is>
          <t>Kommuner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46309</v>
      </c>
      <c r="F289" t="inlineStr">
        <is>
          <t>JÖNKÖPINGS LÄN</t>
        </is>
      </c>
      <c r="G289" t="inlineStr">
        <is>
          <t>SÄVSJÖ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46309</v>
      </c>
      <c r="F290" t="inlineStr">
        <is>
          <t>JÖNKÖPINGS LÄN</t>
        </is>
      </c>
      <c r="G290" t="inlineStr">
        <is>
          <t>SÄVSJÖ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907-2024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45301</v>
      </c>
      <c r="E291" s="1" t="n">
        <v>46309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46309</v>
      </c>
      <c r="F292" t="inlineStr">
        <is>
          <t>JÖNKÖPINGS LÄN</t>
        </is>
      </c>
      <c r="G292" t="inlineStr">
        <is>
          <t>SÄVSJÖ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45301</v>
      </c>
      <c r="E293" s="1" t="n">
        <v>46309</v>
      </c>
      <c r="F293" t="inlineStr">
        <is>
          <t>JÖNKÖPINGS LÄN</t>
        </is>
      </c>
      <c r="G293" t="inlineStr">
        <is>
          <t>SÄVSJÖ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63679-2023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45275</v>
      </c>
      <c r="E294" s="1" t="n">
        <v>46309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45320</v>
      </c>
      <c r="E295" s="1" t="n">
        <v>46309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45252</v>
      </c>
      <c r="E296" s="1" t="n">
        <v>46309</v>
      </c>
      <c r="F296" t="inlineStr">
        <is>
          <t>JÖNKÖPINGS LÄN</t>
        </is>
      </c>
      <c r="G296" t="inlineStr">
        <is>
          <t>SÄVSJÖ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38914-2024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45547</v>
      </c>
      <c r="E297" s="1" t="n">
        <v>46309</v>
      </c>
      <c r="F297" t="inlineStr">
        <is>
          <t>JÖNKÖPINGS LÄN</t>
        </is>
      </c>
      <c r="G297" t="inlineStr">
        <is>
          <t>SÄVSJÖ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43976-2022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44838</v>
      </c>
      <c r="E298" s="1" t="n">
        <v>46309</v>
      </c>
      <c r="F298" t="inlineStr">
        <is>
          <t>JÖNKÖPINGS LÄN</t>
        </is>
      </c>
      <c r="G298" t="inlineStr">
        <is>
          <t>SÄVSJÖ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55909-2024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45623</v>
      </c>
      <c r="E299" s="1" t="n">
        <v>46309</v>
      </c>
      <c r="F299" t="inlineStr">
        <is>
          <t>JÖNKÖPINGS LÄN</t>
        </is>
      </c>
      <c r="G299" t="inlineStr">
        <is>
          <t>SÄVSJÖ</t>
        </is>
      </c>
      <c r="H299" t="inlineStr">
        <is>
          <t>Kommuner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45534</v>
      </c>
      <c r="E300" s="1" t="n">
        <v>46309</v>
      </c>
      <c r="F300" t="inlineStr">
        <is>
          <t>JÖNKÖPINGS LÄN</t>
        </is>
      </c>
      <c r="G300" t="inlineStr">
        <is>
          <t>SÄVSJÖ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45008</v>
      </c>
      <c r="E301" s="1" t="n">
        <v>46309</v>
      </c>
      <c r="F301" t="inlineStr">
        <is>
          <t>JÖNKÖPINGS LÄN</t>
        </is>
      </c>
      <c r="G301" t="inlineStr">
        <is>
          <t>SÄVSJÖ</t>
        </is>
      </c>
      <c r="H301" t="inlineStr">
        <is>
          <t>Kommuner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46309</v>
      </c>
      <c r="F302" t="inlineStr">
        <is>
          <t>JÖNKÖPINGS LÄN</t>
        </is>
      </c>
      <c r="G302" t="inlineStr">
        <is>
          <t>SÄVSJÖ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44935</v>
      </c>
      <c r="E303" s="1" t="n">
        <v>46309</v>
      </c>
      <c r="F303" t="inlineStr">
        <is>
          <t>JÖNKÖPINGS LÄN</t>
        </is>
      </c>
      <c r="G303" t="inlineStr">
        <is>
          <t>SÄVSJÖ</t>
        </is>
      </c>
      <c r="H303" t="inlineStr">
        <is>
          <t>Sveaskog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46099</v>
      </c>
      <c r="E304" s="1" t="n">
        <v>46309</v>
      </c>
      <c r="F304" t="inlineStr">
        <is>
          <t>JÖNKÖPINGS LÄN</t>
        </is>
      </c>
      <c r="G304" t="inlineStr">
        <is>
          <t>SÄVSJÖ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44929</v>
      </c>
      <c r="E305" s="1" t="n">
        <v>46309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46309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31721-2026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46226</v>
      </c>
      <c r="E307" s="1" t="n">
        <v>46309</v>
      </c>
      <c r="F307" t="inlineStr">
        <is>
          <t>JÖNKÖPINGS LÄN</t>
        </is>
      </c>
      <c r="G307" t="inlineStr">
        <is>
          <t>SÄVSJÖ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46309</v>
      </c>
      <c r="F308" t="inlineStr">
        <is>
          <t>JÖNKÖPINGS LÄN</t>
        </is>
      </c>
      <c r="G308" t="inlineStr">
        <is>
          <t>SÄVSJÖ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46309</v>
      </c>
      <c r="F309" t="inlineStr">
        <is>
          <t>JÖNKÖPINGS LÄN</t>
        </is>
      </c>
      <c r="G309" t="inlineStr">
        <is>
          <t>SÄVSJÖ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46274</v>
      </c>
      <c r="E310" s="1" t="n">
        <v>46309</v>
      </c>
      <c r="F310" t="inlineStr">
        <is>
          <t>JÖNKÖPINGS LÄN</t>
        </is>
      </c>
      <c r="G310" t="inlineStr">
        <is>
          <t>SÄVSJÖ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62421-2023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45268</v>
      </c>
      <c r="E311" s="1" t="n">
        <v>46309</v>
      </c>
      <c r="F311" t="inlineStr">
        <is>
          <t>JÖNKÖPINGS LÄN</t>
        </is>
      </c>
      <c r="G311" t="inlineStr">
        <is>
          <t>SÄVSJÖ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49292-2023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45210</v>
      </c>
      <c r="E312" s="1" t="n">
        <v>46309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46309</v>
      </c>
      <c r="F313" t="inlineStr">
        <is>
          <t>JÖNKÖPINGS LÄN</t>
        </is>
      </c>
      <c r="G313" t="inlineStr">
        <is>
          <t>SÄVSJÖ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45419</v>
      </c>
      <c r="E314" s="1" t="n">
        <v>46309</v>
      </c>
      <c r="F314" t="inlineStr">
        <is>
          <t>JÖNKÖPINGS LÄN</t>
        </is>
      </c>
      <c r="G314" t="inlineStr">
        <is>
          <t>SÄVSJÖ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46276</v>
      </c>
      <c r="E315" s="1" t="n">
        <v>46309</v>
      </c>
      <c r="F315" t="inlineStr">
        <is>
          <t>JÖNKÖPINGS LÄN</t>
        </is>
      </c>
      <c r="G315" t="inlineStr">
        <is>
          <t>SÄVSJÖ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44995</v>
      </c>
      <c r="E316" s="1" t="n">
        <v>46309</v>
      </c>
      <c r="F316" t="inlineStr">
        <is>
          <t>JÖNKÖPINGS LÄN</t>
        </is>
      </c>
      <c r="G316" t="inlineStr">
        <is>
          <t>SÄVSJÖ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45053</v>
      </c>
      <c r="E317" s="1" t="n">
        <v>46309</v>
      </c>
      <c r="F317" t="inlineStr">
        <is>
          <t>JÖNKÖPINGS LÄN</t>
        </is>
      </c>
      <c r="G317" t="inlineStr">
        <is>
          <t>SÄVSJÖ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45317</v>
      </c>
      <c r="E318" s="1" t="n">
        <v>46309</v>
      </c>
      <c r="F318" t="inlineStr">
        <is>
          <t>JÖNKÖPINGS LÄN</t>
        </is>
      </c>
      <c r="G318" t="inlineStr">
        <is>
          <t>SÄVSJÖ</t>
        </is>
      </c>
      <c r="I318" t="n">
        <v>19.9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46309</v>
      </c>
      <c r="F319" t="inlineStr">
        <is>
          <t>JÖNKÖPINGS LÄN</t>
        </is>
      </c>
      <c r="G319" t="inlineStr">
        <is>
          <t>SÄVSJÖ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46309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45407</v>
      </c>
      <c r="E321" s="1" t="n">
        <v>46309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46309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45212</v>
      </c>
      <c r="E323" s="1" t="n">
        <v>46309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45764</v>
      </c>
      <c r="E324" s="1" t="n">
        <v>46309</v>
      </c>
      <c r="F324" t="inlineStr">
        <is>
          <t>JÖNKÖPINGS LÄN</t>
        </is>
      </c>
      <c r="G324" t="inlineStr">
        <is>
          <t>SÄVSJÖ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45301</v>
      </c>
      <c r="E325" s="1" t="n">
        <v>46309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46286</v>
      </c>
      <c r="E326" s="1" t="n">
        <v>46309</v>
      </c>
      <c r="F326" t="inlineStr">
        <is>
          <t>JÖNKÖPINGS LÄN</t>
        </is>
      </c>
      <c r="G326" t="inlineStr">
        <is>
          <t>SÄVSJÖ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46309</v>
      </c>
      <c r="F327" t="inlineStr">
        <is>
          <t>JÖNKÖPINGS LÄN</t>
        </is>
      </c>
      <c r="G327" t="inlineStr">
        <is>
          <t>SÄVSJÖ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45102</v>
      </c>
      <c r="E328" s="1" t="n">
        <v>46309</v>
      </c>
      <c r="F328" t="inlineStr">
        <is>
          <t>JÖNKÖPINGS LÄN</t>
        </is>
      </c>
      <c r="G328" t="inlineStr">
        <is>
          <t>SÄVSJÖ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50629-2022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44866</v>
      </c>
      <c r="E329" s="1" t="n">
        <v>46309</v>
      </c>
      <c r="F329" t="inlineStr">
        <is>
          <t>JÖNKÖPINGS LÄN</t>
        </is>
      </c>
      <c r="G329" t="inlineStr">
        <is>
          <t>SÄVSJÖ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44664</v>
      </c>
      <c r="E330" s="1" t="n">
        <v>46309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44642</v>
      </c>
      <c r="E331" s="1" t="n">
        <v>46309</v>
      </c>
      <c r="F331" t="inlineStr">
        <is>
          <t>JÖNKÖPINGS LÄN</t>
        </is>
      </c>
      <c r="G331" t="inlineStr">
        <is>
          <t>SÄVSJÖ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38771-2026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46286</v>
      </c>
      <c r="E332" s="1" t="n">
        <v>46309</v>
      </c>
      <c r="F332" t="inlineStr">
        <is>
          <t>JÖNKÖPINGS LÄN</t>
        </is>
      </c>
      <c r="G332" t="inlineStr">
        <is>
          <t>SÄVSJÖ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45228</v>
      </c>
      <c r="E333" s="1" t="n">
        <v>46309</v>
      </c>
      <c r="F333" t="inlineStr">
        <is>
          <t>JÖNKÖPINGS LÄN</t>
        </is>
      </c>
      <c r="G333" t="inlineStr">
        <is>
          <t>SÄVSJÖ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45366</v>
      </c>
      <c r="E334" s="1" t="n">
        <v>46309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46309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46309</v>
      </c>
      <c r="F336" t="inlineStr">
        <is>
          <t>JÖNKÖPINGS LÄN</t>
        </is>
      </c>
      <c r="G336" t="inlineStr">
        <is>
          <t>SÄVSJÖ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46272</v>
      </c>
      <c r="E337" s="1" t="n">
        <v>46309</v>
      </c>
      <c r="F337" t="inlineStr">
        <is>
          <t>JÖNKÖPINGS LÄN</t>
        </is>
      </c>
      <c r="G337" t="inlineStr">
        <is>
          <t>SÄVSJÖ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45371</v>
      </c>
      <c r="E338" s="1" t="n">
        <v>46309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46309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45094</v>
      </c>
      <c r="E340" s="1" t="n">
        <v>46309</v>
      </c>
      <c r="F340" t="inlineStr">
        <is>
          <t>JÖNKÖPINGS LÄN</t>
        </is>
      </c>
      <c r="G340" t="inlineStr">
        <is>
          <t>SÄVSJÖ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46309</v>
      </c>
      <c r="F341" t="inlineStr">
        <is>
          <t>JÖNKÖPINGS LÄN</t>
        </is>
      </c>
      <c r="G341" t="inlineStr">
        <is>
          <t>SÄVSJÖ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46309</v>
      </c>
      <c r="F342" t="inlineStr">
        <is>
          <t>JÖNKÖPINGS LÄN</t>
        </is>
      </c>
      <c r="G342" t="inlineStr">
        <is>
          <t>SÄVSJÖ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46309</v>
      </c>
      <c r="F343" t="inlineStr">
        <is>
          <t>JÖNKÖPINGS LÄN</t>
        </is>
      </c>
      <c r="G343" t="inlineStr">
        <is>
          <t>SÄVSJÖ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46309</v>
      </c>
      <c r="F344" t="inlineStr">
        <is>
          <t>JÖNKÖPINGS LÄN</t>
        </is>
      </c>
      <c r="G344" t="inlineStr">
        <is>
          <t>SÄVSJÖ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10210-2025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46309</v>
      </c>
      <c r="F345" t="inlineStr">
        <is>
          <t>JÖNKÖPINGS LÄN</t>
        </is>
      </c>
      <c r="G345" t="inlineStr">
        <is>
          <t>SÄVSJÖ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45252</v>
      </c>
      <c r="E346" s="1" t="n">
        <v>46309</v>
      </c>
      <c r="F346" t="inlineStr">
        <is>
          <t>JÖNKÖPINGS LÄN</t>
        </is>
      </c>
      <c r="G346" t="inlineStr">
        <is>
          <t>SÄVSJÖ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46309</v>
      </c>
      <c r="F347" t="inlineStr">
        <is>
          <t>JÖNKÖPINGS LÄN</t>
        </is>
      </c>
      <c r="G347" t="inlineStr">
        <is>
          <t>SÄVSJÖ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44964</v>
      </c>
      <c r="E348" s="1" t="n">
        <v>46309</v>
      </c>
      <c r="F348" t="inlineStr">
        <is>
          <t>JÖNKÖPINGS LÄN</t>
        </is>
      </c>
      <c r="G348" t="inlineStr">
        <is>
          <t>SÄVSJÖ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46309</v>
      </c>
      <c r="F349" t="inlineStr">
        <is>
          <t>JÖNKÖPINGS LÄN</t>
        </is>
      </c>
      <c r="G349" t="inlineStr">
        <is>
          <t>SÄVSJÖ</t>
        </is>
      </c>
      <c r="H349" t="inlineStr">
        <is>
          <t>Kyrkan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46293</v>
      </c>
      <c r="E350" s="1" t="n">
        <v>46309</v>
      </c>
      <c r="F350" t="inlineStr">
        <is>
          <t>JÖNKÖPINGS LÄN</t>
        </is>
      </c>
      <c r="G350" t="inlineStr">
        <is>
          <t>SÄVSJÖ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46293</v>
      </c>
      <c r="E351" s="1" t="n">
        <v>46309</v>
      </c>
      <c r="F351" t="inlineStr">
        <is>
          <t>JÖNKÖPINGS LÄN</t>
        </is>
      </c>
      <c r="G351" t="inlineStr">
        <is>
          <t>SÄVSJÖ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46309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45253</v>
      </c>
      <c r="E353" s="1" t="n">
        <v>46309</v>
      </c>
      <c r="F353" t="inlineStr">
        <is>
          <t>JÖNKÖPINGS LÄN</t>
        </is>
      </c>
      <c r="G353" t="inlineStr">
        <is>
          <t>SÄVSJÖ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46309</v>
      </c>
      <c r="F354" t="inlineStr">
        <is>
          <t>JÖNKÖPINGS LÄN</t>
        </is>
      </c>
      <c r="G354" t="inlineStr">
        <is>
          <t>SÄVSJÖ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7917-2024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45350</v>
      </c>
      <c r="E355" s="1" t="n">
        <v>46309</v>
      </c>
      <c r="F355" t="inlineStr">
        <is>
          <t>JÖNKÖPINGS LÄN</t>
        </is>
      </c>
      <c r="G355" t="inlineStr">
        <is>
          <t>SÄVSJÖ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46309</v>
      </c>
      <c r="F356" t="inlineStr">
        <is>
          <t>JÖNKÖPINGS LÄN</t>
        </is>
      </c>
      <c r="G356" t="inlineStr">
        <is>
          <t>SÄVSJÖ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46309</v>
      </c>
      <c r="F357" t="inlineStr">
        <is>
          <t>JÖNKÖPINGS LÄN</t>
        </is>
      </c>
      <c r="G357" t="inlineStr">
        <is>
          <t>SÄVSJÖ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61408-2024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46309</v>
      </c>
      <c r="F358" t="inlineStr">
        <is>
          <t>JÖNKÖPINGS LÄN</t>
        </is>
      </c>
      <c r="G358" t="inlineStr">
        <is>
          <t>SÄVSJÖ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46309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46309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46294</v>
      </c>
      <c r="E361" s="1" t="n">
        <v>46309</v>
      </c>
      <c r="F361" t="inlineStr">
        <is>
          <t>JÖNKÖPINGS LÄN</t>
        </is>
      </c>
      <c r="G361" t="inlineStr">
        <is>
          <t>SÄVSJÖ</t>
        </is>
      </c>
      <c r="H361" t="inlineStr">
        <is>
          <t>Kyrkan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46295</v>
      </c>
      <c r="E362" s="1" t="n">
        <v>46309</v>
      </c>
      <c r="F362" t="inlineStr">
        <is>
          <t>JÖNKÖPINGS LÄN</t>
        </is>
      </c>
      <c r="G362" t="inlineStr">
        <is>
          <t>SÄVSJÖ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46296</v>
      </c>
      <c r="E363" s="1" t="n">
        <v>46309</v>
      </c>
      <c r="F363" t="inlineStr">
        <is>
          <t>JÖNKÖPINGS LÄN</t>
        </is>
      </c>
      <c r="G363" t="inlineStr">
        <is>
          <t>SÄVSJÖ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40650-2026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46294</v>
      </c>
      <c r="E364" s="1" t="n">
        <v>46309</v>
      </c>
      <c r="F364" t="inlineStr">
        <is>
          <t>JÖNKÖPINGS LÄN</t>
        </is>
      </c>
      <c r="G364" t="inlineStr">
        <is>
          <t>SÄVSJÖ</t>
        </is>
      </c>
      <c r="H364" t="inlineStr">
        <is>
          <t>Kyrkan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45223</v>
      </c>
      <c r="E365" s="1" t="n">
        <v>46309</v>
      </c>
      <c r="F365" t="inlineStr">
        <is>
          <t>JÖNKÖPINGS LÄN</t>
        </is>
      </c>
      <c r="G365" t="inlineStr">
        <is>
          <t>SÄVSJÖ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45412</v>
      </c>
      <c r="E366" s="1" t="n">
        <v>46309</v>
      </c>
      <c r="F366" t="inlineStr">
        <is>
          <t>JÖNKÖPINGS LÄN</t>
        </is>
      </c>
      <c r="G366" t="inlineStr">
        <is>
          <t>SÄVSJÖ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45725</v>
      </c>
      <c r="E367" s="1" t="n">
        <v>46309</v>
      </c>
      <c r="F367" t="inlineStr">
        <is>
          <t>JÖNKÖPINGS LÄN</t>
        </is>
      </c>
      <c r="G367" t="inlineStr">
        <is>
          <t>SÄVSJÖ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45448</v>
      </c>
      <c r="E368" s="1" t="n">
        <v>46309</v>
      </c>
      <c r="F368" t="inlineStr">
        <is>
          <t>JÖNKÖPINGS LÄN</t>
        </is>
      </c>
      <c r="G368" t="inlineStr">
        <is>
          <t>SÄVSJÖ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44397-2024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45573</v>
      </c>
      <c r="E369" s="1" t="n">
        <v>46309</v>
      </c>
      <c r="F369" t="inlineStr">
        <is>
          <t>JÖNKÖPINGS LÄN</t>
        </is>
      </c>
      <c r="G369" t="inlineStr">
        <is>
          <t>SÄVSJÖ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60805-2024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45644</v>
      </c>
      <c r="E370" s="1" t="n">
        <v>46309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46309</v>
      </c>
      <c r="F371" t="inlineStr">
        <is>
          <t>JÖNKÖPINGS LÄN</t>
        </is>
      </c>
      <c r="G371" t="inlineStr">
        <is>
          <t>SÄVSJÖ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46309</v>
      </c>
      <c r="F372" t="inlineStr">
        <is>
          <t>JÖNKÖPINGS LÄN</t>
        </is>
      </c>
      <c r="G372" t="inlineStr">
        <is>
          <t>SÄVSJÖ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46309</v>
      </c>
      <c r="F373" t="inlineStr">
        <is>
          <t>JÖNKÖPINGS LÄN</t>
        </is>
      </c>
      <c r="G373" t="inlineStr">
        <is>
          <t>SÄVSJÖ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46309</v>
      </c>
      <c r="F374" t="inlineStr">
        <is>
          <t>JÖNKÖPINGS LÄN</t>
        </is>
      </c>
      <c r="G374" t="inlineStr">
        <is>
          <t>SÄVSJÖ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41565-2026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46301</v>
      </c>
      <c r="E375" s="1" t="n">
        <v>46309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46273</v>
      </c>
      <c r="E376" s="1" t="n">
        <v>46309</v>
      </c>
      <c r="F376" t="inlineStr">
        <is>
          <t>JÖNKÖPINGS LÄN</t>
        </is>
      </c>
      <c r="G376" t="inlineStr">
        <is>
          <t>SÄVSJÖ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46309</v>
      </c>
      <c r="F377" t="inlineStr">
        <is>
          <t>JÖNKÖPINGS LÄN</t>
        </is>
      </c>
      <c r="G377" t="inlineStr">
        <is>
          <t>SÄVSJÖ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46309</v>
      </c>
      <c r="F378" t="inlineStr">
        <is>
          <t>JÖNKÖPINGS LÄN</t>
        </is>
      </c>
      <c r="G378" t="inlineStr">
        <is>
          <t>SÄVSJÖ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35204-2026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46260</v>
      </c>
      <c r="E379" s="1" t="n">
        <v>46309</v>
      </c>
      <c r="F379" t="inlineStr">
        <is>
          <t>JÖNKÖPINGS LÄN</t>
        </is>
      </c>
      <c r="G379" t="inlineStr">
        <is>
          <t>SÄVSJÖ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35212-2026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46260</v>
      </c>
      <c r="E380" s="1" t="n">
        <v>46309</v>
      </c>
      <c r="F380" t="inlineStr">
        <is>
          <t>JÖNKÖPINGS LÄN</t>
        </is>
      </c>
      <c r="G380" t="inlineStr">
        <is>
          <t>SÄVSJÖ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46248</v>
      </c>
      <c r="E381" s="1" t="n">
        <v>46309</v>
      </c>
      <c r="F381" t="inlineStr">
        <is>
          <t>JÖNKÖPINGS LÄN</t>
        </is>
      </c>
      <c r="G381" t="inlineStr">
        <is>
          <t>SÄVSJÖ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46309</v>
      </c>
      <c r="F382" t="inlineStr">
        <is>
          <t>JÖNKÖPINGS LÄN</t>
        </is>
      </c>
      <c r="G382" t="inlineStr">
        <is>
          <t>SÄVSJÖ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42579-2026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46308</v>
      </c>
      <c r="E383" s="1" t="n">
        <v>46309</v>
      </c>
      <c r="F383" t="inlineStr">
        <is>
          <t>JÖNKÖPINGS LÄN</t>
        </is>
      </c>
      <c r="G383" t="inlineStr">
        <is>
          <t>SÄVSJÖ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46309</v>
      </c>
      <c r="F384" t="inlineStr">
        <is>
          <t>JÖNKÖPINGS LÄN</t>
        </is>
      </c>
      <c r="G384" t="inlineStr">
        <is>
          <t>SÄVSJÖ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46282</v>
      </c>
      <c r="E385" s="1" t="n">
        <v>46309</v>
      </c>
      <c r="F385" t="inlineStr">
        <is>
          <t>JÖNKÖPINGS LÄN</t>
        </is>
      </c>
      <c r="G385" t="inlineStr">
        <is>
          <t>SÄVSJÖ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46248</v>
      </c>
      <c r="E386" s="1" t="n">
        <v>46309</v>
      </c>
      <c r="F386" t="inlineStr">
        <is>
          <t>JÖNKÖPINGS LÄN</t>
        </is>
      </c>
      <c r="G386" t="inlineStr">
        <is>
          <t>SÄVSJÖ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46248</v>
      </c>
      <c r="E387" s="1" t="n">
        <v>46309</v>
      </c>
      <c r="F387" t="inlineStr">
        <is>
          <t>JÖNKÖPINGS LÄN</t>
        </is>
      </c>
      <c r="G387" t="inlineStr">
        <is>
          <t>SÄVSJÖ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46266</v>
      </c>
      <c r="E388" s="1" t="n">
        <v>46309</v>
      </c>
      <c r="F388" t="inlineStr">
        <is>
          <t>JÖNKÖPINGS LÄN</t>
        </is>
      </c>
      <c r="G388" t="inlineStr">
        <is>
          <t>SÄVSJÖ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42578-2026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46308</v>
      </c>
      <c r="E389" s="1" t="n">
        <v>46309</v>
      </c>
      <c r="F389" t="inlineStr">
        <is>
          <t>JÖNKÖPINGS LÄN</t>
        </is>
      </c>
      <c r="G389" t="inlineStr">
        <is>
          <t>SÄVSJÖ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46308</v>
      </c>
      <c r="E390" s="1" t="n">
        <v>46309</v>
      </c>
      <c r="F390" t="inlineStr">
        <is>
          <t>JÖNKÖPINGS LÄN</t>
        </is>
      </c>
      <c r="G390" t="inlineStr">
        <is>
          <t>SÄVSJÖ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10445-2021</t>
        </is>
      </c>
      <c r="B391" t="inlineStr">
        <is>
          <t>samrådsanmälan</t>
        </is>
      </c>
      <c r="C391" t="inlineStr">
        <is>
          <t>Skogsbilväg</t>
        </is>
      </c>
      <c r="D391" s="1" t="n">
        <v>44558</v>
      </c>
      <c r="E391" s="1" t="n">
        <v>46309</v>
      </c>
      <c r="F391" t="inlineStr">
        <is>
          <t>JÖNKÖPINGS LÄN</t>
        </is>
      </c>
      <c r="G391" t="inlineStr">
        <is>
          <t>SÄVSJÖ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6558-2022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44882</v>
      </c>
      <c r="E392" s="1" t="n">
        <v>46309</v>
      </c>
      <c r="F392" t="inlineStr">
        <is>
          <t>JÖNKÖPINGS LÄN</t>
        </is>
      </c>
      <c r="G392" t="inlineStr">
        <is>
          <t>SÄVSJÖ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2542-2023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45139</v>
      </c>
      <c r="E393" s="1" t="n">
        <v>46309</v>
      </c>
      <c r="F393" t="inlineStr">
        <is>
          <t>JÖNKÖPINGS LÄN</t>
        </is>
      </c>
      <c r="G393" t="inlineStr">
        <is>
          <t>SÄVSJÖ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1675-2023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45063</v>
      </c>
      <c r="E394" s="1" t="n">
        <v>46309</v>
      </c>
      <c r="F394" t="inlineStr">
        <is>
          <t>JÖNKÖPINGS LÄN</t>
        </is>
      </c>
      <c r="G394" t="inlineStr">
        <is>
          <t>SÄVSJÖ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46309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2964-2023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45173</v>
      </c>
      <c r="E396" s="1" t="n">
        <v>46309</v>
      </c>
      <c r="F396" t="inlineStr">
        <is>
          <t>JÖNKÖPINGS LÄN</t>
        </is>
      </c>
      <c r="G396" t="inlineStr">
        <is>
          <t>SÄVSJÖ</t>
        </is>
      </c>
      <c r="I396" t="n">
        <v>54.6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2661-2023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45152</v>
      </c>
      <c r="E397" s="1" t="n">
        <v>46309</v>
      </c>
      <c r="F397" t="inlineStr">
        <is>
          <t>JÖNKÖPINGS LÄN</t>
        </is>
      </c>
      <c r="G397" t="inlineStr">
        <is>
          <t>SÄVSJÖ</t>
        </is>
      </c>
      <c r="I397" t="n">
        <v>21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2660-2023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45152</v>
      </c>
      <c r="E398" s="1" t="n">
        <v>46309</v>
      </c>
      <c r="F398" t="inlineStr">
        <is>
          <t>JÖNKÖPINGS LÄN</t>
        </is>
      </c>
      <c r="G398" t="inlineStr">
        <is>
          <t>SÄVSJÖ</t>
        </is>
      </c>
      <c r="I398" t="n">
        <v>14.2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4880-2024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45620</v>
      </c>
      <c r="E399" s="1" t="n">
        <v>46309</v>
      </c>
      <c r="F399" t="inlineStr">
        <is>
          <t>JÖNKÖPINGS LÄN</t>
        </is>
      </c>
      <c r="G399" t="inlineStr">
        <is>
          <t>SÄVSJÖ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4563-2024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45600</v>
      </c>
      <c r="E400" s="1" t="n">
        <v>46309</v>
      </c>
      <c r="F400" t="inlineStr">
        <is>
          <t>JÖNKÖPINGS LÄN</t>
        </is>
      </c>
      <c r="G400" t="inlineStr">
        <is>
          <t>SÄVSJÖ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2576-2023</t>
        </is>
      </c>
      <c r="B401" t="inlineStr">
        <is>
          <t>samrådsanmälan</t>
        </is>
      </c>
      <c r="C401" t="inlineStr">
        <is>
          <t>Stubbskörd</t>
        </is>
      </c>
      <c r="D401" s="1" t="n">
        <v>45141</v>
      </c>
      <c r="E401" s="1" t="n">
        <v>46309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1237-2025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45762</v>
      </c>
      <c r="E402" s="1" t="n">
        <v>46309</v>
      </c>
      <c r="F402" t="inlineStr">
        <is>
          <t>JÖNKÖPINGS LÄN</t>
        </is>
      </c>
      <c r="G402" t="inlineStr">
        <is>
          <t>SÄVSJÖ</t>
        </is>
      </c>
      <c r="I402" t="n">
        <v>28.5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1374-2025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45776</v>
      </c>
      <c r="E403" s="1" t="n">
        <v>46309</v>
      </c>
      <c r="F403" t="inlineStr">
        <is>
          <t>JÖNKÖPINGS LÄN</t>
        </is>
      </c>
      <c r="G403" t="inlineStr">
        <is>
          <t>SÄVSJÖ</t>
        </is>
      </c>
      <c r="H403" t="inlineStr">
        <is>
          <t>Sveaskog</t>
        </is>
      </c>
      <c r="I403" t="n">
        <v>63.1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1459-2025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45786</v>
      </c>
      <c r="E404" s="1" t="n">
        <v>46309</v>
      </c>
      <c r="F404" t="inlineStr">
        <is>
          <t>JÖNKÖPINGS LÄN</t>
        </is>
      </c>
      <c r="G404" t="inlineStr">
        <is>
          <t>SÄVSJÖ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1457-2025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45785</v>
      </c>
      <c r="E405" s="1" t="n">
        <v>46309</v>
      </c>
      <c r="F405" t="inlineStr">
        <is>
          <t>JÖNKÖPINGS LÄN</t>
        </is>
      </c>
      <c r="G405" t="inlineStr">
        <is>
          <t>SÄVSJÖ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1570-2025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45794</v>
      </c>
      <c r="E406" s="1" t="n">
        <v>46309</v>
      </c>
      <c r="F406" t="inlineStr">
        <is>
          <t>JÖNKÖPINGS LÄN</t>
        </is>
      </c>
      <c r="G406" t="inlineStr">
        <is>
          <t>SÄVSJÖ</t>
        </is>
      </c>
      <c r="H406" t="inlineStr">
        <is>
          <t>Kyrkan</t>
        </is>
      </c>
      <c r="I406" t="n">
        <v>57.8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1571-2025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45794</v>
      </c>
      <c r="E407" s="1" t="n">
        <v>46309</v>
      </c>
      <c r="F407" t="inlineStr">
        <is>
          <t>JÖNKÖPINGS LÄN</t>
        </is>
      </c>
      <c r="G407" t="inlineStr">
        <is>
          <t>SÄVSJÖ</t>
        </is>
      </c>
      <c r="H407" t="inlineStr">
        <is>
          <t>Kyrkan</t>
        </is>
      </c>
      <c r="I407" t="n">
        <v>153.1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573-2025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45712</v>
      </c>
      <c r="E408" s="1" t="n">
        <v>46309</v>
      </c>
      <c r="F408" t="inlineStr">
        <is>
          <t>JÖNKÖPINGS LÄN</t>
        </is>
      </c>
      <c r="G408" t="inlineStr">
        <is>
          <t>SÄVSJÖ</t>
        </is>
      </c>
      <c r="I408" t="n">
        <v>34.5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578-2025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45712</v>
      </c>
      <c r="E409" s="1" t="n">
        <v>46309</v>
      </c>
      <c r="F409" t="inlineStr">
        <is>
          <t>JÖNKÖPINGS LÄN</t>
        </is>
      </c>
      <c r="G409" t="inlineStr">
        <is>
          <t>SÄVSJÖ</t>
        </is>
      </c>
      <c r="I409" t="n">
        <v>29.5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1812-2025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45818</v>
      </c>
      <c r="E410" s="1" t="n">
        <v>46309</v>
      </c>
      <c r="F410" t="inlineStr">
        <is>
          <t>JÖNKÖPINGS LÄN</t>
        </is>
      </c>
      <c r="G410" t="inlineStr">
        <is>
          <t>SÄVSJÖ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2071-2025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45840</v>
      </c>
      <c r="E411" s="1" t="n">
        <v>46309</v>
      </c>
      <c r="F411" t="inlineStr">
        <is>
          <t>JÖNKÖPINGS LÄN</t>
        </is>
      </c>
      <c r="G411" t="inlineStr">
        <is>
          <t>SÄVSJÖ</t>
        </is>
      </c>
      <c r="I411" t="n">
        <v>10.4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3270-2025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45985</v>
      </c>
      <c r="E412" s="1" t="n">
        <v>46309</v>
      </c>
      <c r="F412" t="inlineStr">
        <is>
          <t>JÖNKÖPINGS LÄN</t>
        </is>
      </c>
      <c r="G412" t="inlineStr">
        <is>
          <t>SÄVSJÖ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3271-2025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45985</v>
      </c>
      <c r="E413" s="1" t="n">
        <v>46309</v>
      </c>
      <c r="F413" t="inlineStr">
        <is>
          <t>JÖNKÖPINGS LÄN</t>
        </is>
      </c>
      <c r="G413" t="inlineStr">
        <is>
          <t>SÄVSJÖ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3268-2025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46309</v>
      </c>
      <c r="F414" t="inlineStr">
        <is>
          <t>JÖNKÖPINGS LÄN</t>
        </is>
      </c>
      <c r="G414" t="inlineStr">
        <is>
          <t>SÄVSJÖ</t>
        </is>
      </c>
      <c r="I414" t="n">
        <v>17.7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460-2026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46073</v>
      </c>
      <c r="E415" s="1" t="n">
        <v>46309</v>
      </c>
      <c r="F415" t="inlineStr">
        <is>
          <t>JÖNKÖPINGS LÄN</t>
        </is>
      </c>
      <c r="G415" t="inlineStr">
        <is>
          <t>SÄVSJÖ</t>
        </is>
      </c>
      <c r="I415" t="n">
        <v>36.7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687-2026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46091</v>
      </c>
      <c r="E416" s="1" t="n">
        <v>46309</v>
      </c>
      <c r="F416" t="inlineStr">
        <is>
          <t>JÖNKÖPINGS LÄN</t>
        </is>
      </c>
      <c r="G416" t="inlineStr">
        <is>
          <t>SÄVSJÖ</t>
        </is>
      </c>
      <c r="I416" t="n">
        <v>46.2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690-2026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46091</v>
      </c>
      <c r="E417" s="1" t="n">
        <v>46309</v>
      </c>
      <c r="F417" t="inlineStr">
        <is>
          <t>JÖNKÖPINGS LÄN</t>
        </is>
      </c>
      <c r="G417" t="inlineStr">
        <is>
          <t>SÄVSJÖ</t>
        </is>
      </c>
      <c r="I417" t="n">
        <v>47.4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873-2026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46106</v>
      </c>
      <c r="E418" s="1" t="n">
        <v>46309</v>
      </c>
      <c r="F418" t="inlineStr">
        <is>
          <t>JÖNKÖPINGS LÄN</t>
        </is>
      </c>
      <c r="G418" t="inlineStr">
        <is>
          <t>SÄVSJÖ</t>
        </is>
      </c>
      <c r="I418" t="n">
        <v>79.8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992-2026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46119</v>
      </c>
      <c r="E419" s="1" t="n">
        <v>46309</v>
      </c>
      <c r="F419" t="inlineStr">
        <is>
          <t>JÖNKÖPINGS LÄN</t>
        </is>
      </c>
      <c r="G419" t="inlineStr">
        <is>
          <t>SÄVSJÖ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1048-2026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46125</v>
      </c>
      <c r="E420" s="1" t="n">
        <v>46309</v>
      </c>
      <c r="F420" t="inlineStr">
        <is>
          <t>JÖNKÖPINGS LÄN</t>
        </is>
      </c>
      <c r="G420" t="inlineStr">
        <is>
          <t>SÄVSJÖ</t>
        </is>
      </c>
      <c r="I420" t="n">
        <v>35.8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2026-10-14T02:02:35Z</dcterms:created>
  <dcterms:modified xmlns:dcterms="http://purl.org/dc/terms/" xmlns:xsi="http://www.w3.org/2001/XMLSchema-instance" xsi:type="dcterms:W3CDTF">2026-10-14T02:02:35Z</dcterms:modified>
</cp:coreProperties>
</file>