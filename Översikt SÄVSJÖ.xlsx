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46281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46281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46281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46281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11797-2026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46085</v>
      </c>
      <c r="E9" s="1" t="n">
        <v>46281</v>
      </c>
      <c r="F9" t="inlineStr">
        <is>
          <t>JÖNKÖPINGS LÄN</t>
        </is>
      </c>
      <c r="G9" t="inlineStr">
        <is>
          <t>SÄVSJÖ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HYPERLINK("https://klasma.github.io/Logging_0684/artfynd/A 11797-2026 artfynd.xlsx", "A 11797-2026")</f>
        <v/>
      </c>
      <c r="X9">
        <f>HYPERLINK("https://klasma.github.io/Logging_0684/kartor/A 11797-2026 karta.png", "A 11797-2026")</f>
        <v/>
      </c>
      <c r="Y9">
        <f>HYPERLINK("https://klasma.github.io/Logging_0684/kartor_geotiff/A 11797-2026 georefererad karta.tif", "A 11797-2026")</f>
        <v/>
      </c>
      <c r="AA9">
        <f>HYPERLINK("https://klasma.github.io/Logging_0684/klagomål/A 11797-2026 FSC-klagomål.docx", "A 11797-2026")</f>
        <v/>
      </c>
      <c r="AB9">
        <f>HYPERLINK("https://klasma.github.io/Logging_0684/klagomålsmail/A 11797-2026 FSC-klagomål mail.docx", "A 11797-2026")</f>
        <v/>
      </c>
      <c r="AC9">
        <f>HYPERLINK("https://klasma.github.io/Logging_0684/tillsyn/A 11797-2026 tillsynsbegäran.docx", "A 11797-2026")</f>
        <v/>
      </c>
      <c r="AD9">
        <f>HYPERLINK("https://klasma.github.io/Logging_0684/tillsynsmail/A 11797-2026 tillsynsbegäran mail.docx", "A 11797-2026")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46281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46281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51095-2023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45218</v>
      </c>
      <c r="E12" s="1" t="n">
        <v>46281</v>
      </c>
      <c r="F12" t="inlineStr">
        <is>
          <t>JÖNKÖPINGS LÄN</t>
        </is>
      </c>
      <c r="G12" t="inlineStr">
        <is>
          <t>SÄVSJÖ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Korallrot</t>
        </is>
      </c>
      <c r="W12">
        <f>HYPERLINK("https://klasma.github.io/Logging_0684/artfynd/A 51095-2023 artfynd.xlsx", "A 51095-2023")</f>
        <v/>
      </c>
      <c r="X12">
        <f>HYPERLINK("https://klasma.github.io/Logging_0684/kartor/A 51095-2023 karta.png", "A 51095-2023")</f>
        <v/>
      </c>
      <c r="Y12">
        <f>HYPERLINK("https://klasma.github.io/Logging_0684/kartor_geotiff/A 51095-2023 georefererad karta.tif", "A 51095-2023")</f>
        <v/>
      </c>
      <c r="AA12">
        <f>HYPERLINK("https://klasma.github.io/Logging_0684/klagomål/A 51095-2023 FSC-klagomål.docx", "A 51095-2023")</f>
        <v/>
      </c>
      <c r="AB12">
        <f>HYPERLINK("https://klasma.github.io/Logging_0684/klagomålsmail/A 51095-2023 FSC-klagomål mail.docx", "A 51095-2023")</f>
        <v/>
      </c>
      <c r="AC12">
        <f>HYPERLINK("https://klasma.github.io/Logging_0684/tillsyn/A 51095-2023 tillsynsbegäran.docx", "A 51095-2023")</f>
        <v/>
      </c>
      <c r="AD12">
        <f>HYPERLINK("https://klasma.github.io/Logging_0684/tillsynsmail/A 51095-2023 tillsynsbegäran mail.docx", "A 51095-2023")</f>
        <v/>
      </c>
    </row>
    <row r="13" ht="15" customHeight="1">
      <c r="A13" t="inlineStr">
        <is>
          <t>A 8198-2024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46281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Småfruktigt blågryn</t>
        </is>
      </c>
      <c r="W13">
        <f>HYPERLINK("https://klasma.github.io/Logging_0684/artfynd/A 8198-2024 artfynd.xlsx", "A 8198-2024")</f>
        <v/>
      </c>
      <c r="X13">
        <f>HYPERLINK("https://klasma.github.io/Logging_0684/kartor/A 8198-2024 karta.png", "A 8198-2024")</f>
        <v/>
      </c>
      <c r="Y13">
        <f>HYPERLINK("https://klasma.github.io/Logging_0684/kartor_geotiff/A 8198-2024 georefererad karta.tif", "A 8198-2024")</f>
        <v/>
      </c>
      <c r="AA13">
        <f>HYPERLINK("https://klasma.github.io/Logging_0684/klagomål/A 8198-2024 FSC-klagomål.docx", "A 8198-2024")</f>
        <v/>
      </c>
      <c r="AB13">
        <f>HYPERLINK("https://klasma.github.io/Logging_0684/klagomålsmail/A 8198-2024 FSC-klagomål mail.docx", "A 8198-2024")</f>
        <v/>
      </c>
      <c r="AC13">
        <f>HYPERLINK("https://klasma.github.io/Logging_0684/tillsyn/A 8198-2024 tillsynsbegäran.docx", "A 8198-2024")</f>
        <v/>
      </c>
      <c r="AD13">
        <f>HYPERLINK("https://klasma.github.io/Logging_0684/tillsynsmail/A 8198-2024 tillsynsbegäran mail.docx", "A 8198-2024")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46281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61556-2025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46001</v>
      </c>
      <c r="E15" s="1" t="n">
        <v>46281</v>
      </c>
      <c r="F15" t="inlineStr">
        <is>
          <t>JÖNKÖPINGS LÄN</t>
        </is>
      </c>
      <c r="G15" t="inlineStr">
        <is>
          <t>SÄVSJÖ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HYPERLINK("https://klasma.github.io/Logging_0684/artfynd/A 61556-2025 artfynd.xlsx", "A 61556-2025")</f>
        <v/>
      </c>
      <c r="X15">
        <f>HYPERLINK("https://klasma.github.io/Logging_0684/kartor/A 61556-2025 karta.png", "A 61556-2025")</f>
        <v/>
      </c>
      <c r="Y15">
        <f>HYPERLINK("https://klasma.github.io/Logging_0684/kartor_geotiff/A 61556-2025 georefererad karta.tif", "A 61556-2025")</f>
        <v/>
      </c>
      <c r="AA15">
        <f>HYPERLINK("https://klasma.github.io/Logging_0684/klagomål/A 61556-2025 FSC-klagomål.docx", "A 61556-2025")</f>
        <v/>
      </c>
      <c r="AB15">
        <f>HYPERLINK("https://klasma.github.io/Logging_0684/klagomålsmail/A 61556-2025 FSC-klagomål mail.docx", "A 61556-2025")</f>
        <v/>
      </c>
      <c r="AC15">
        <f>HYPERLINK("https://klasma.github.io/Logging_0684/tillsyn/A 61556-2025 tillsynsbegäran.docx", "A 61556-2025")</f>
        <v/>
      </c>
      <c r="AD15">
        <f>HYPERLINK("https://klasma.github.io/Logging_0684/tillsynsmail/A 61556-2025 tillsynsbegäran mail.docx", "A 61556-2025")</f>
        <v/>
      </c>
      <c r="AE15">
        <f>HYPERLINK("https://klasma.github.io/Logging_0684/fåglar/A 61556-2025 prioriterade fågelarter.docx", "A 61556-2025")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46281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40075-2023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45168</v>
      </c>
      <c r="E17" s="1" t="n">
        <v>46281</v>
      </c>
      <c r="F17" t="inlineStr">
        <is>
          <t>JÖNKÖPINGS LÄN</t>
        </is>
      </c>
      <c r="G17" t="inlineStr">
        <is>
          <t>SÄVSJÖ</t>
        </is>
      </c>
      <c r="I17" t="n">
        <v>1.5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Solvända</t>
        </is>
      </c>
      <c r="W17">
        <f>HYPERLINK("https://klasma.github.io/Logging_0684/artfynd/A 40075-2023 artfynd.xlsx", "A 40075-2023")</f>
        <v/>
      </c>
      <c r="X17">
        <f>HYPERLINK("https://klasma.github.io/Logging_0684/kartor/A 40075-2023 karta.png", "A 40075-2023")</f>
        <v/>
      </c>
      <c r="Y17">
        <f>HYPERLINK("https://klasma.github.io/Logging_0684/kartor_geotiff/A 40075-2023 georefererad karta.tif", "A 40075-2023")</f>
        <v/>
      </c>
      <c r="AA17">
        <f>HYPERLINK("https://klasma.github.io/Logging_0684/klagomål/A 40075-2023 FSC-klagomål.docx", "A 40075-2023")</f>
        <v/>
      </c>
      <c r="AB17">
        <f>HYPERLINK("https://klasma.github.io/Logging_0684/klagomålsmail/A 40075-2023 FSC-klagomål mail.docx", "A 40075-2023")</f>
        <v/>
      </c>
      <c r="AC17">
        <f>HYPERLINK("https://klasma.github.io/Logging_0684/tillsyn/A 40075-2023 tillsynsbegäran.docx", "A 40075-2023")</f>
        <v/>
      </c>
      <c r="AD17">
        <f>HYPERLINK("https://klasma.github.io/Logging_0684/tillsynsmail/A 40075-2023 tillsynsbegäran mail.docx", "A 40075-2023")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46281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46281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35891-2026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46266</v>
      </c>
      <c r="E20" s="1" t="n">
        <v>46281</v>
      </c>
      <c r="F20" t="inlineStr">
        <is>
          <t>JÖNKÖPINGS LÄN</t>
        </is>
      </c>
      <c r="G20" t="inlineStr">
        <is>
          <t>SÄVSJÖ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Pilfibbla</t>
        </is>
      </c>
      <c r="W20">
        <f>HYPERLINK("https://klasma.github.io/Logging_0684/artfynd/A 35891-2026 artfynd.xlsx", "A 35891-2026")</f>
        <v/>
      </c>
      <c r="X20">
        <f>HYPERLINK("https://klasma.github.io/Logging_0684/kartor/A 35891-2026 karta.png", "A 35891-2026")</f>
        <v/>
      </c>
      <c r="Y20">
        <f>HYPERLINK("https://klasma.github.io/Logging_0684/kartor_geotiff/A 35891-2026 georefererad karta.tif", "A 35891-2026")</f>
        <v/>
      </c>
      <c r="AA20">
        <f>HYPERLINK("https://klasma.github.io/Logging_0684/klagomål/A 35891-2026 FSC-klagomål.docx", "A 35891-2026")</f>
        <v/>
      </c>
      <c r="AB20">
        <f>HYPERLINK("https://klasma.github.io/Logging_0684/klagomålsmail/A 35891-2026 FSC-klagomål mail.docx", "A 35891-2026")</f>
        <v/>
      </c>
      <c r="AC20">
        <f>HYPERLINK("https://klasma.github.io/Logging_0684/tillsyn/A 35891-2026 tillsynsbegäran.docx", "A 35891-2026")</f>
        <v/>
      </c>
      <c r="AD20">
        <f>HYPERLINK("https://klasma.github.io/Logging_0684/tillsynsmail/A 35891-2026 tillsynsbegäran mail.docx", "A 35891-2026")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46281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A 10775-2025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45722</v>
      </c>
      <c r="E22" s="1" t="n">
        <v>46281</v>
      </c>
      <c r="F22" t="inlineStr">
        <is>
          <t>JÖNKÖPINGS LÄN</t>
        </is>
      </c>
      <c r="G22" t="inlineStr">
        <is>
          <t>SÄVSJÖ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HYPERLINK("https://klasma.github.io/Logging_0684/artfynd/A 10775-2025 artfynd.xlsx", "A 10775-2025")</f>
        <v/>
      </c>
      <c r="X22">
        <f>HYPERLINK("https://klasma.github.io/Logging_0684/kartor/A 10775-2025 karta.png", "A 10775-2025")</f>
        <v/>
      </c>
      <c r="Y22">
        <f>HYPERLINK("https://klasma.github.io/Logging_0684/kartor_geotiff/A 10775-2025 georefererad karta.tif", "A 10775-2025")</f>
        <v/>
      </c>
      <c r="AA22">
        <f>HYPERLINK("https://klasma.github.io/Logging_0684/klagomål/A 10775-2025 FSC-klagomål.docx", "A 10775-2025")</f>
        <v/>
      </c>
      <c r="AB22">
        <f>HYPERLINK("https://klasma.github.io/Logging_0684/klagomålsmail/A 10775-2025 FSC-klagomål mail.docx", "A 10775-2025")</f>
        <v/>
      </c>
      <c r="AC22">
        <f>HYPERLINK("https://klasma.github.io/Logging_0684/tillsyn/A 10775-2025 tillsynsbegäran.docx", "A 10775-2025")</f>
        <v/>
      </c>
      <c r="AD22">
        <f>HYPERLINK("https://klasma.github.io/Logging_0684/tillsynsmail/A 10775-2025 tillsynsbegäran mail.docx", "A 10775-2025")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46281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46281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46281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46281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46281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46281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46281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46281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46281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46281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46281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46281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46281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46281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46281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46281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46281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46281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46281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46281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46281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46281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46281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46281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46281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46281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46281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46281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46281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46281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46281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46281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46281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46281</v>
      </c>
      <c r="F56" t="inlineStr">
        <is>
          <t>JÖNKÖPINGS LÄN</t>
        </is>
      </c>
      <c r="G56" t="inlineStr">
        <is>
          <t>SÄVSJÖ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46281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46281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44781</v>
      </c>
      <c r="E59" s="1" t="n">
        <v>46281</v>
      </c>
      <c r="F59" t="inlineStr">
        <is>
          <t>JÖNKÖPINGS LÄN</t>
        </is>
      </c>
      <c r="G59" t="inlineStr">
        <is>
          <t>SÄVSJÖ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46281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10592-2022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46281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20603-2022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44700</v>
      </c>
      <c r="E62" s="1" t="n">
        <v>46281</v>
      </c>
      <c r="F62" t="inlineStr">
        <is>
          <t>JÖNKÖPINGS LÄN</t>
        </is>
      </c>
      <c r="G62" t="inlineStr">
        <is>
          <t>SÄVSJÖ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46281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46281</v>
      </c>
      <c r="F64" t="inlineStr">
        <is>
          <t>JÖNKÖPINGS LÄN</t>
        </is>
      </c>
      <c r="G64" t="inlineStr">
        <is>
          <t>SÄVSJÖ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46281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46281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46281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46281</v>
      </c>
      <c r="F68" t="inlineStr">
        <is>
          <t>JÖNKÖPINGS LÄN</t>
        </is>
      </c>
      <c r="G68" t="inlineStr">
        <is>
          <t>SÄVSJÖ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45211</v>
      </c>
      <c r="E69" s="1" t="n">
        <v>46281</v>
      </c>
      <c r="F69" t="inlineStr">
        <is>
          <t>JÖNKÖPINGS LÄN</t>
        </is>
      </c>
      <c r="G69" t="inlineStr">
        <is>
          <t>SÄVSJÖ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46281</v>
      </c>
      <c r="F70" t="inlineStr">
        <is>
          <t>JÖNKÖPINGS LÄN</t>
        </is>
      </c>
      <c r="G70" t="inlineStr">
        <is>
          <t>SÄVSJÖ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44664</v>
      </c>
      <c r="E71" s="1" t="n">
        <v>46281</v>
      </c>
      <c r="F71" t="inlineStr">
        <is>
          <t>JÖNKÖPINGS LÄN</t>
        </is>
      </c>
      <c r="G71" t="inlineStr">
        <is>
          <t>SÄVSJÖ</t>
        </is>
      </c>
      <c r="H71" t="inlineStr">
        <is>
          <t>Kommuner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46281</v>
      </c>
      <c r="F72" t="inlineStr">
        <is>
          <t>JÖNKÖPINGS LÄN</t>
        </is>
      </c>
      <c r="G72" t="inlineStr">
        <is>
          <t>SÄVSJÖ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46281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46281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46281</v>
      </c>
      <c r="F75" t="inlineStr">
        <is>
          <t>JÖNKÖPINGS LÄN</t>
        </is>
      </c>
      <c r="G75" t="inlineStr">
        <is>
          <t>SÄVSJÖ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46281</v>
      </c>
      <c r="F76" t="inlineStr">
        <is>
          <t>JÖNKÖPINGS LÄN</t>
        </is>
      </c>
      <c r="G76" t="inlineStr">
        <is>
          <t>SÄVSJÖ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46281</v>
      </c>
      <c r="F77" t="inlineStr">
        <is>
          <t>JÖNKÖPINGS LÄN</t>
        </is>
      </c>
      <c r="G77" t="inlineStr">
        <is>
          <t>SÄVSJÖ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44861</v>
      </c>
      <c r="E78" s="1" t="n">
        <v>46281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46281</v>
      </c>
      <c r="F79" t="inlineStr">
        <is>
          <t>JÖNKÖPINGS LÄN</t>
        </is>
      </c>
      <c r="G79" t="inlineStr">
        <is>
          <t>SÄVSJÖ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22222-2024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46281</v>
      </c>
      <c r="F80" t="inlineStr">
        <is>
          <t>JÖNKÖPINGS LÄN</t>
        </is>
      </c>
      <c r="G80" t="inlineStr">
        <is>
          <t>SÄVSJÖ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46281</v>
      </c>
      <c r="F81" t="inlineStr">
        <is>
          <t>JÖNKÖPINGS LÄN</t>
        </is>
      </c>
      <c r="G81" t="inlineStr">
        <is>
          <t>SÄVSJÖ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46281</v>
      </c>
      <c r="F82" t="inlineStr">
        <is>
          <t>JÖNKÖPINGS LÄN</t>
        </is>
      </c>
      <c r="G82" t="inlineStr">
        <is>
          <t>SÄVSJÖ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45669</v>
      </c>
      <c r="E83" s="1" t="n">
        <v>46281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46281</v>
      </c>
      <c r="F84" t="inlineStr">
        <is>
          <t>JÖNKÖPINGS LÄN</t>
        </is>
      </c>
      <c r="G84" t="inlineStr">
        <is>
          <t>SÄVSJÖ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46281</v>
      </c>
      <c r="F85" t="inlineStr">
        <is>
          <t>JÖNKÖPINGS LÄN</t>
        </is>
      </c>
      <c r="G85" t="inlineStr">
        <is>
          <t>SÄVSJÖ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45454</v>
      </c>
      <c r="E86" s="1" t="n">
        <v>46281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46281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46281</v>
      </c>
      <c r="F88" t="inlineStr">
        <is>
          <t>JÖNKÖPINGS LÄN</t>
        </is>
      </c>
      <c r="G88" t="inlineStr">
        <is>
          <t>SÄVSJÖ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45881</v>
      </c>
      <c r="E89" s="1" t="n">
        <v>46281</v>
      </c>
      <c r="F89" t="inlineStr">
        <is>
          <t>JÖNKÖPINGS LÄN</t>
        </is>
      </c>
      <c r="G89" t="inlineStr">
        <is>
          <t>SÄVSJÖ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46281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46281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46281</v>
      </c>
      <c r="F92" t="inlineStr">
        <is>
          <t>JÖNKÖPINGS LÄN</t>
        </is>
      </c>
      <c r="G92" t="inlineStr">
        <is>
          <t>SÄVSJÖ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45302</v>
      </c>
      <c r="E93" s="1" t="n">
        <v>46281</v>
      </c>
      <c r="F93" t="inlineStr">
        <is>
          <t>JÖNKÖPINGS LÄN</t>
        </is>
      </c>
      <c r="G93" t="inlineStr">
        <is>
          <t>SÄVSJÖ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46281</v>
      </c>
      <c r="F94" t="inlineStr">
        <is>
          <t>JÖNKÖPINGS LÄN</t>
        </is>
      </c>
      <c r="G94" t="inlineStr">
        <is>
          <t>SÄVSJÖ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45301</v>
      </c>
      <c r="E95" s="1" t="n">
        <v>46281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44883</v>
      </c>
      <c r="E96" s="1" t="n">
        <v>46281</v>
      </c>
      <c r="F96" t="inlineStr">
        <is>
          <t>JÖNKÖPINGS LÄN</t>
        </is>
      </c>
      <c r="G96" t="inlineStr">
        <is>
          <t>SÄVSJÖ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46281</v>
      </c>
      <c r="F97" t="inlineStr">
        <is>
          <t>JÖNKÖPINGS LÄN</t>
        </is>
      </c>
      <c r="G97" t="inlineStr">
        <is>
          <t>SÄVSJÖ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46281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46281</v>
      </c>
      <c r="F99" t="inlineStr">
        <is>
          <t>JÖNKÖPINGS LÄN</t>
        </is>
      </c>
      <c r="G99" t="inlineStr">
        <is>
          <t>SÄVSJÖ</t>
        </is>
      </c>
      <c r="H99" t="inlineStr">
        <is>
          <t>Kyrkan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45110</v>
      </c>
      <c r="E100" s="1" t="n">
        <v>46281</v>
      </c>
      <c r="F100" t="inlineStr">
        <is>
          <t>JÖNKÖPINGS LÄN</t>
        </is>
      </c>
      <c r="G100" t="inlineStr">
        <is>
          <t>SÄVSJÖ</t>
        </is>
      </c>
      <c r="H100" t="inlineStr">
        <is>
          <t>Kommuner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46281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46281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45460</v>
      </c>
      <c r="E103" s="1" t="n">
        <v>46281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46281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12242-2026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46087</v>
      </c>
      <c r="E105" s="1" t="n">
        <v>46281</v>
      </c>
      <c r="F105" t="inlineStr">
        <is>
          <t>JÖNKÖPINGS LÄN</t>
        </is>
      </c>
      <c r="G105" t="inlineStr">
        <is>
          <t>SÄVSJÖ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46281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44475</v>
      </c>
      <c r="E107" s="1" t="n">
        <v>46281</v>
      </c>
      <c r="F107" t="inlineStr">
        <is>
          <t>JÖNKÖPINGS LÄN</t>
        </is>
      </c>
      <c r="G107" t="inlineStr">
        <is>
          <t>SÄVSJÖ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44951</v>
      </c>
      <c r="E108" s="1" t="n">
        <v>46281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46281</v>
      </c>
      <c r="F109" t="inlineStr">
        <is>
          <t>JÖNKÖPINGS LÄN</t>
        </is>
      </c>
      <c r="G109" t="inlineStr">
        <is>
          <t>SÄVSJÖ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46281</v>
      </c>
      <c r="F110" t="inlineStr">
        <is>
          <t>JÖNKÖPINGS LÄN</t>
        </is>
      </c>
      <c r="G110" t="inlineStr">
        <is>
          <t>SÄVSJÖ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44972</v>
      </c>
      <c r="E111" s="1" t="n">
        <v>46281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46281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46281</v>
      </c>
      <c r="F113" t="inlineStr">
        <is>
          <t>JÖNKÖPINGS LÄN</t>
        </is>
      </c>
      <c r="G113" t="inlineStr">
        <is>
          <t>SÄVSJÖ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46281</v>
      </c>
      <c r="F114" t="inlineStr">
        <is>
          <t>JÖNKÖPINGS LÄN</t>
        </is>
      </c>
      <c r="G114" t="inlineStr">
        <is>
          <t>SÄVSJÖ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46281</v>
      </c>
      <c r="F115" t="inlineStr">
        <is>
          <t>JÖNKÖPINGS LÄN</t>
        </is>
      </c>
      <c r="G115" t="inlineStr">
        <is>
          <t>SÄVSJÖ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46281</v>
      </c>
      <c r="F116" t="inlineStr">
        <is>
          <t>JÖNKÖPINGS LÄN</t>
        </is>
      </c>
      <c r="G116" t="inlineStr">
        <is>
          <t>SÄVSJÖ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46281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46281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45534</v>
      </c>
      <c r="E119" s="1" t="n">
        <v>46281</v>
      </c>
      <c r="F119" t="inlineStr">
        <is>
          <t>JÖNKÖPINGS LÄN</t>
        </is>
      </c>
      <c r="G119" t="inlineStr">
        <is>
          <t>SÄVSJÖ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46281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46281</v>
      </c>
      <c r="F121" t="inlineStr">
        <is>
          <t>JÖNKÖPINGS LÄN</t>
        </is>
      </c>
      <c r="G121" t="inlineStr">
        <is>
          <t>SÄVSJÖ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45660</v>
      </c>
      <c r="E122" s="1" t="n">
        <v>46281</v>
      </c>
      <c r="F122" t="inlineStr">
        <is>
          <t>JÖNKÖPINGS LÄN</t>
        </is>
      </c>
      <c r="G122" t="inlineStr">
        <is>
          <t>SÄVSJÖ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46281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46281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15991-2026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46281</v>
      </c>
      <c r="F125" t="inlineStr">
        <is>
          <t>JÖNKÖPINGS LÄN</t>
        </is>
      </c>
      <c r="G125" t="inlineStr">
        <is>
          <t>SÄVSJÖ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46281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45252</v>
      </c>
      <c r="E127" s="1" t="n">
        <v>46281</v>
      </c>
      <c r="F127" t="inlineStr">
        <is>
          <t>JÖNKÖPINGS LÄN</t>
        </is>
      </c>
      <c r="G127" t="inlineStr">
        <is>
          <t>SÄVSJÖ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46281</v>
      </c>
      <c r="F128" t="inlineStr">
        <is>
          <t>JÖNKÖPINGS LÄN</t>
        </is>
      </c>
      <c r="G128" t="inlineStr">
        <is>
          <t>SÄVSJÖ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45127</v>
      </c>
      <c r="E129" s="1" t="n">
        <v>46281</v>
      </c>
      <c r="F129" t="inlineStr">
        <is>
          <t>JÖNKÖPINGS LÄN</t>
        </is>
      </c>
      <c r="G129" t="inlineStr">
        <is>
          <t>SÄVSJÖ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46281</v>
      </c>
      <c r="F130" t="inlineStr">
        <is>
          <t>JÖNKÖPINGS LÄN</t>
        </is>
      </c>
      <c r="G130" t="inlineStr">
        <is>
          <t>SÄVSJÖ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44590</v>
      </c>
      <c r="E131" s="1" t="n">
        <v>46281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45547</v>
      </c>
      <c r="E132" s="1" t="n">
        <v>46281</v>
      </c>
      <c r="F132" t="inlineStr">
        <is>
          <t>JÖNKÖPINGS LÄN</t>
        </is>
      </c>
      <c r="G132" t="inlineStr">
        <is>
          <t>SÄVSJÖ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18045-2026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46281</v>
      </c>
      <c r="F133" t="inlineStr">
        <is>
          <t>JÖNKÖPINGS LÄN</t>
        </is>
      </c>
      <c r="G133" t="inlineStr">
        <is>
          <t>SÄVSJÖ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46125</v>
      </c>
      <c r="E134" s="1" t="n">
        <v>46281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46281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46281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44838</v>
      </c>
      <c r="E137" s="1" t="n">
        <v>46281</v>
      </c>
      <c r="F137" t="inlineStr">
        <is>
          <t>JÖNKÖPINGS LÄN</t>
        </is>
      </c>
      <c r="G137" t="inlineStr">
        <is>
          <t>SÄVSJÖ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46281</v>
      </c>
      <c r="F138" t="inlineStr">
        <is>
          <t>JÖNKÖPINGS LÄN</t>
        </is>
      </c>
      <c r="G138" t="inlineStr">
        <is>
          <t>SÄVSJÖ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46281</v>
      </c>
      <c r="F139" t="inlineStr">
        <is>
          <t>JÖNKÖPINGS LÄN</t>
        </is>
      </c>
      <c r="G139" t="inlineStr">
        <is>
          <t>SÄVSJÖ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55909-2024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45623</v>
      </c>
      <c r="E140" s="1" t="n">
        <v>46281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46281</v>
      </c>
      <c r="F141" t="inlineStr">
        <is>
          <t>JÖNKÖPINGS LÄN</t>
        </is>
      </c>
      <c r="G141" t="inlineStr">
        <is>
          <t>SÄVSJÖ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46281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46281</v>
      </c>
      <c r="F143" t="inlineStr">
        <is>
          <t>JÖNKÖPINGS LÄN</t>
        </is>
      </c>
      <c r="G143" t="inlineStr">
        <is>
          <t>SÄVSJÖ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45061</v>
      </c>
      <c r="E144" s="1" t="n">
        <v>46281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46281</v>
      </c>
      <c r="F145" t="inlineStr">
        <is>
          <t>JÖNKÖPINGS LÄN</t>
        </is>
      </c>
      <c r="G145" t="inlineStr">
        <is>
          <t>SÄVSJÖ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46281</v>
      </c>
      <c r="F146" t="inlineStr">
        <is>
          <t>JÖNKÖPINGS LÄN</t>
        </is>
      </c>
      <c r="G146" t="inlineStr">
        <is>
          <t>SÄVSJÖ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45879</v>
      </c>
      <c r="E147" s="1" t="n">
        <v>46281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46281</v>
      </c>
      <c r="F148" t="inlineStr">
        <is>
          <t>JÖNKÖPINGS LÄN</t>
        </is>
      </c>
      <c r="G148" t="inlineStr">
        <is>
          <t>SÄVSJÖ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46281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46281</v>
      </c>
      <c r="F150" t="inlineStr">
        <is>
          <t>JÖNKÖPINGS LÄN</t>
        </is>
      </c>
      <c r="G150" t="inlineStr">
        <is>
          <t>SÄVSJÖ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46281</v>
      </c>
      <c r="F151" t="inlineStr">
        <is>
          <t>JÖNKÖPINGS LÄN</t>
        </is>
      </c>
      <c r="G151" t="inlineStr">
        <is>
          <t>SÄVSJÖ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46281</v>
      </c>
      <c r="F152" t="inlineStr">
        <is>
          <t>JÖNKÖPINGS LÄN</t>
        </is>
      </c>
      <c r="G152" t="inlineStr">
        <is>
          <t>SÄVSJÖ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52363-2025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45953</v>
      </c>
      <c r="E153" s="1" t="n">
        <v>46281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46281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46281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46281</v>
      </c>
      <c r="F156" t="inlineStr">
        <is>
          <t>JÖNKÖPINGS LÄN</t>
        </is>
      </c>
      <c r="G156" t="inlineStr">
        <is>
          <t>SÄVSJÖ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46281</v>
      </c>
      <c r="F157" t="inlineStr">
        <is>
          <t>JÖNKÖPINGS LÄN</t>
        </is>
      </c>
      <c r="G157" t="inlineStr">
        <is>
          <t>SÄVSJÖ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46281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46281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46281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45964</v>
      </c>
      <c r="E161" s="1" t="n">
        <v>46281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46281</v>
      </c>
      <c r="F162" t="inlineStr">
        <is>
          <t>JÖNKÖPINGS LÄN</t>
        </is>
      </c>
      <c r="G162" t="inlineStr">
        <is>
          <t>SÄVSJÖ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46281</v>
      </c>
      <c r="F163" t="inlineStr">
        <is>
          <t>JÖNKÖPINGS LÄN</t>
        </is>
      </c>
      <c r="G163" t="inlineStr">
        <is>
          <t>SÄVSJÖ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45593</v>
      </c>
      <c r="E164" s="1" t="n">
        <v>46281</v>
      </c>
      <c r="F164" t="inlineStr">
        <is>
          <t>JÖNKÖPINGS LÄN</t>
        </is>
      </c>
      <c r="G164" t="inlineStr">
        <is>
          <t>SÄVSJÖ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45971</v>
      </c>
      <c r="E165" s="1" t="n">
        <v>46281</v>
      </c>
      <c r="F165" t="inlineStr">
        <is>
          <t>JÖNKÖPINGS LÄN</t>
        </is>
      </c>
      <c r="G165" t="inlineStr">
        <is>
          <t>SÄVSJÖ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45106</v>
      </c>
      <c r="E166" s="1" t="n">
        <v>46281</v>
      </c>
      <c r="F166" t="inlineStr">
        <is>
          <t>JÖNKÖPINGS LÄN</t>
        </is>
      </c>
      <c r="G166" t="inlineStr">
        <is>
          <t>SÄVSJÖ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45623</v>
      </c>
      <c r="E167" s="1" t="n">
        <v>46281</v>
      </c>
      <c r="F167" t="inlineStr">
        <is>
          <t>JÖNKÖPINGS LÄN</t>
        </is>
      </c>
      <c r="G167" t="inlineStr">
        <is>
          <t>SÄVSJÖ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46281</v>
      </c>
      <c r="F168" t="inlineStr">
        <is>
          <t>JÖNKÖPINGS LÄN</t>
        </is>
      </c>
      <c r="G168" t="inlineStr">
        <is>
          <t>SÄVSJÖ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46281</v>
      </c>
      <c r="F169" t="inlineStr">
        <is>
          <t>JÖNKÖPINGS LÄN</t>
        </is>
      </c>
      <c r="G169" t="inlineStr">
        <is>
          <t>SÄVSJÖ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46281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45008</v>
      </c>
      <c r="E171" s="1" t="n">
        <v>46281</v>
      </c>
      <c r="F171" t="inlineStr">
        <is>
          <t>JÖNKÖPINGS LÄN</t>
        </is>
      </c>
      <c r="G171" t="inlineStr">
        <is>
          <t>SÄVSJÖ</t>
        </is>
      </c>
      <c r="H171" t="inlineStr">
        <is>
          <t>Kommuner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45671</v>
      </c>
      <c r="E172" s="1" t="n">
        <v>46281</v>
      </c>
      <c r="F172" t="inlineStr">
        <is>
          <t>JÖNKÖPINGS LÄN</t>
        </is>
      </c>
      <c r="G172" t="inlineStr">
        <is>
          <t>SÄVSJÖ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46281</v>
      </c>
      <c r="F173" t="inlineStr">
        <is>
          <t>JÖNKÖPINGS LÄN</t>
        </is>
      </c>
      <c r="G173" t="inlineStr">
        <is>
          <t>SÄVSJÖ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46281</v>
      </c>
      <c r="F174" t="inlineStr">
        <is>
          <t>JÖNKÖPINGS LÄN</t>
        </is>
      </c>
      <c r="G174" t="inlineStr">
        <is>
          <t>SÄVSJÖ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44952</v>
      </c>
      <c r="E175" s="1" t="n">
        <v>46281</v>
      </c>
      <c r="F175" t="inlineStr">
        <is>
          <t>JÖNKÖPINGS LÄN</t>
        </is>
      </c>
      <c r="G175" t="inlineStr">
        <is>
          <t>SÄVSJÖ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46281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46281</v>
      </c>
      <c r="F177" t="inlineStr">
        <is>
          <t>JÖNKÖPINGS LÄN</t>
        </is>
      </c>
      <c r="G177" t="inlineStr">
        <is>
          <t>SÄVSJÖ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46281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7285-2023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44970</v>
      </c>
      <c r="E179" s="1" t="n">
        <v>46281</v>
      </c>
      <c r="F179" t="inlineStr">
        <is>
          <t>JÖNKÖPINGS LÄN</t>
        </is>
      </c>
      <c r="G179" t="inlineStr">
        <is>
          <t>SÄVSJÖ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46281</v>
      </c>
      <c r="F180" t="inlineStr">
        <is>
          <t>JÖNKÖPINGS LÄN</t>
        </is>
      </c>
      <c r="G180" t="inlineStr">
        <is>
          <t>SÄVSJÖ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46281</v>
      </c>
      <c r="F181" t="inlineStr">
        <is>
          <t>JÖNKÖPINGS LÄN</t>
        </is>
      </c>
      <c r="G181" t="inlineStr">
        <is>
          <t>SÄVSJÖ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46281</v>
      </c>
      <c r="F182" t="inlineStr">
        <is>
          <t>JÖNKÖPINGS LÄN</t>
        </is>
      </c>
      <c r="G182" t="inlineStr">
        <is>
          <t>SÄVSJÖ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46281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46281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46281</v>
      </c>
      <c r="F185" t="inlineStr">
        <is>
          <t>JÖNKÖPINGS LÄN</t>
        </is>
      </c>
      <c r="G185" t="inlineStr">
        <is>
          <t>SÄVSJÖ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46281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46281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46281</v>
      </c>
      <c r="F188" t="inlineStr">
        <is>
          <t>JÖNKÖPINGS LÄN</t>
        </is>
      </c>
      <c r="G188" t="inlineStr">
        <is>
          <t>SÄVSJÖ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46281</v>
      </c>
      <c r="F189" t="inlineStr">
        <is>
          <t>JÖNKÖPINGS LÄN</t>
        </is>
      </c>
      <c r="G189" t="inlineStr">
        <is>
          <t>SÄVSJÖ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46281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60331-2025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45993</v>
      </c>
      <c r="E191" s="1" t="n">
        <v>46281</v>
      </c>
      <c r="F191" t="inlineStr">
        <is>
          <t>JÖNKÖPINGS LÄN</t>
        </is>
      </c>
      <c r="G191" t="inlineStr">
        <is>
          <t>SÄVSJÖ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45634</v>
      </c>
      <c r="E192" s="1" t="n">
        <v>46281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46281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44991</v>
      </c>
      <c r="E194" s="1" t="n">
        <v>46281</v>
      </c>
      <c r="F194" t="inlineStr">
        <is>
          <t>JÖNKÖPINGS LÄN</t>
        </is>
      </c>
      <c r="G194" t="inlineStr">
        <is>
          <t>SÄVSJÖ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46281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45067</v>
      </c>
      <c r="E196" s="1" t="n">
        <v>46281</v>
      </c>
      <c r="F196" t="inlineStr">
        <is>
          <t>JÖNKÖPINGS LÄN</t>
        </is>
      </c>
      <c r="G196" t="inlineStr">
        <is>
          <t>SÄVSJÖ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61545-2021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44501</v>
      </c>
      <c r="E197" s="1" t="n">
        <v>46281</v>
      </c>
      <c r="F197" t="inlineStr">
        <is>
          <t>JÖNKÖPINGS LÄN</t>
        </is>
      </c>
      <c r="G197" t="inlineStr">
        <is>
          <t>SÄVSJÖ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46281</v>
      </c>
      <c r="F198" t="inlineStr">
        <is>
          <t>JÖNKÖPINGS LÄN</t>
        </is>
      </c>
      <c r="G198" t="inlineStr">
        <is>
          <t>SÄVSJÖ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62870-2025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46008</v>
      </c>
      <c r="E199" s="1" t="n">
        <v>46281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46281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46281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46281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46281</v>
      </c>
      <c r="F203" t="inlineStr">
        <is>
          <t>JÖNKÖPINGS LÄN</t>
        </is>
      </c>
      <c r="G203" t="inlineStr">
        <is>
          <t>SÄVSJÖ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46281</v>
      </c>
      <c r="F204" t="inlineStr">
        <is>
          <t>JÖNKÖPINGS LÄN</t>
        </is>
      </c>
      <c r="G204" t="inlineStr">
        <is>
          <t>SÄVSJÖ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46281</v>
      </c>
      <c r="F205" t="inlineStr">
        <is>
          <t>JÖNKÖPINGS LÄN</t>
        </is>
      </c>
      <c r="G205" t="inlineStr">
        <is>
          <t>SÄVSJÖ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45274</v>
      </c>
      <c r="E206" s="1" t="n">
        <v>46281</v>
      </c>
      <c r="F206" t="inlineStr">
        <is>
          <t>JÖNKÖPINGS LÄN</t>
        </is>
      </c>
      <c r="G206" t="inlineStr">
        <is>
          <t>SÄVSJÖ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46281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46281</v>
      </c>
      <c r="F208" t="inlineStr">
        <is>
          <t>JÖNKÖPINGS LÄN</t>
        </is>
      </c>
      <c r="G208" t="inlineStr">
        <is>
          <t>SÄVSJÖ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46017</v>
      </c>
      <c r="E209" s="1" t="n">
        <v>46281</v>
      </c>
      <c r="F209" t="inlineStr">
        <is>
          <t>JÖNKÖPINGS LÄN</t>
        </is>
      </c>
      <c r="G209" t="inlineStr">
        <is>
          <t>SÄVSJÖ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46281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46281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46164</v>
      </c>
      <c r="E212" s="1" t="n">
        <v>46281</v>
      </c>
      <c r="F212" t="inlineStr">
        <is>
          <t>JÖNKÖPINGS LÄN</t>
        </is>
      </c>
      <c r="G212" t="inlineStr">
        <is>
          <t>SÄVSJÖ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50627-2022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44866</v>
      </c>
      <c r="E213" s="1" t="n">
        <v>46281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46281</v>
      </c>
      <c r="F214" t="inlineStr">
        <is>
          <t>JÖNKÖPINGS LÄN</t>
        </is>
      </c>
      <c r="G214" t="inlineStr">
        <is>
          <t>SÄVSJÖ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45111</v>
      </c>
      <c r="E215" s="1" t="n">
        <v>46281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46281</v>
      </c>
      <c r="F216" t="inlineStr">
        <is>
          <t>JÖNKÖPINGS LÄN</t>
        </is>
      </c>
      <c r="G216" t="inlineStr">
        <is>
          <t>SÄVSJÖ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24232-2026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46281</v>
      </c>
      <c r="F217" t="inlineStr">
        <is>
          <t>JÖNKÖPINGS LÄN</t>
        </is>
      </c>
      <c r="G217" t="inlineStr">
        <is>
          <t>SÄVSJÖ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23816-2026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46165</v>
      </c>
      <c r="E218" s="1" t="n">
        <v>46281</v>
      </c>
      <c r="F218" t="inlineStr">
        <is>
          <t>JÖNKÖPINGS LÄN</t>
        </is>
      </c>
      <c r="G218" t="inlineStr">
        <is>
          <t>SÄVSJÖ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46281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45066</v>
      </c>
      <c r="E220" s="1" t="n">
        <v>46281</v>
      </c>
      <c r="F220" t="inlineStr">
        <is>
          <t>JÖNKÖPINGS LÄN</t>
        </is>
      </c>
      <c r="G220" t="inlineStr">
        <is>
          <t>SÄVSJÖ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45427</v>
      </c>
      <c r="E221" s="1" t="n">
        <v>46281</v>
      </c>
      <c r="F221" t="inlineStr">
        <is>
          <t>JÖNKÖPINGS LÄN</t>
        </is>
      </c>
      <c r="G221" t="inlineStr">
        <is>
          <t>SÄVSJÖ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45607</v>
      </c>
      <c r="E222" s="1" t="n">
        <v>46281</v>
      </c>
      <c r="F222" t="inlineStr">
        <is>
          <t>JÖNKÖPINGS LÄN</t>
        </is>
      </c>
      <c r="G222" t="inlineStr">
        <is>
          <t>SÄVSJÖ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45252</v>
      </c>
      <c r="E223" s="1" t="n">
        <v>46281</v>
      </c>
      <c r="F223" t="inlineStr">
        <is>
          <t>JÖNKÖPINGS LÄN</t>
        </is>
      </c>
      <c r="G223" t="inlineStr">
        <is>
          <t>SÄVSJÖ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45086</v>
      </c>
      <c r="E224" s="1" t="n">
        <v>46281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44839</v>
      </c>
      <c r="E225" s="1" t="n">
        <v>46281</v>
      </c>
      <c r="F225" t="inlineStr">
        <is>
          <t>JÖNKÖPINGS LÄN</t>
        </is>
      </c>
      <c r="G225" t="inlineStr">
        <is>
          <t>SÄVSJÖ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45094</v>
      </c>
      <c r="E226" s="1" t="n">
        <v>46281</v>
      </c>
      <c r="F226" t="inlineStr">
        <is>
          <t>JÖNKÖPINGS LÄN</t>
        </is>
      </c>
      <c r="G226" t="inlineStr">
        <is>
          <t>SÄVSJÖ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41391-2022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46281</v>
      </c>
      <c r="F227" t="inlineStr">
        <is>
          <t>JÖNKÖPINGS LÄN</t>
        </is>
      </c>
      <c r="G227" t="inlineStr">
        <is>
          <t>SÄVSJÖ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45094</v>
      </c>
      <c r="E228" s="1" t="n">
        <v>46281</v>
      </c>
      <c r="F228" t="inlineStr">
        <is>
          <t>JÖNKÖPINGS LÄN</t>
        </is>
      </c>
      <c r="G228" t="inlineStr">
        <is>
          <t>SÄVSJÖ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46281</v>
      </c>
      <c r="F229" t="inlineStr">
        <is>
          <t>JÖNKÖPINGS LÄN</t>
        </is>
      </c>
      <c r="G229" t="inlineStr">
        <is>
          <t>SÄVSJÖ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62421-2023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45268</v>
      </c>
      <c r="E230" s="1" t="n">
        <v>46281</v>
      </c>
      <c r="F230" t="inlineStr">
        <is>
          <t>JÖNKÖPINGS LÄN</t>
        </is>
      </c>
      <c r="G230" t="inlineStr">
        <is>
          <t>SÄVSJÖ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44510</v>
      </c>
      <c r="E231" s="1" t="n">
        <v>46281</v>
      </c>
      <c r="F231" t="inlineStr">
        <is>
          <t>JÖNKÖPINGS LÄN</t>
        </is>
      </c>
      <c r="G231" t="inlineStr">
        <is>
          <t>SÄVSJÖ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53916-2021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46281</v>
      </c>
      <c r="F232" t="inlineStr">
        <is>
          <t>JÖNKÖPINGS LÄN</t>
        </is>
      </c>
      <c r="G232" t="inlineStr">
        <is>
          <t>SÄVSJÖ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46281</v>
      </c>
      <c r="F233" t="inlineStr">
        <is>
          <t>JÖNKÖPINGS LÄN</t>
        </is>
      </c>
      <c r="G233" t="inlineStr">
        <is>
          <t>SÄVSJÖ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46281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46281</v>
      </c>
      <c r="F235" t="inlineStr">
        <is>
          <t>JÖNKÖPINGS LÄN</t>
        </is>
      </c>
      <c r="G235" t="inlineStr">
        <is>
          <t>SÄVSJÖ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46281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62961-2021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44505</v>
      </c>
      <c r="E237" s="1" t="n">
        <v>46281</v>
      </c>
      <c r="F237" t="inlineStr">
        <is>
          <t>JÖNKÖPINGS LÄN</t>
        </is>
      </c>
      <c r="G237" t="inlineStr">
        <is>
          <t>SÄVSJÖ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46281</v>
      </c>
      <c r="F238" t="inlineStr">
        <is>
          <t>JÖNKÖPINGS LÄN</t>
        </is>
      </c>
      <c r="G238" t="inlineStr">
        <is>
          <t>SÄVSJÖ</t>
        </is>
      </c>
      <c r="H238" t="inlineStr">
        <is>
          <t>Kyrkan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46070</v>
      </c>
      <c r="E239" s="1" t="n">
        <v>46281</v>
      </c>
      <c r="F239" t="inlineStr">
        <is>
          <t>JÖNKÖPINGS LÄN</t>
        </is>
      </c>
      <c r="G239" t="inlineStr">
        <is>
          <t>SÄVSJÖ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46281</v>
      </c>
      <c r="F240" t="inlineStr">
        <is>
          <t>JÖNKÖPINGS LÄN</t>
        </is>
      </c>
      <c r="G240" t="inlineStr">
        <is>
          <t>SÄVSJÖ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46281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46281</v>
      </c>
      <c r="F242" t="inlineStr">
        <is>
          <t>JÖNKÖPINGS LÄN</t>
        </is>
      </c>
      <c r="G242" t="inlineStr">
        <is>
          <t>SÄVSJÖ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35320-2023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45146</v>
      </c>
      <c r="E243" s="1" t="n">
        <v>46281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46281</v>
      </c>
      <c r="F244" t="inlineStr">
        <is>
          <t>JÖNKÖPINGS LÄN</t>
        </is>
      </c>
      <c r="G244" t="inlineStr">
        <is>
          <t>SÄVSJÖ</t>
        </is>
      </c>
      <c r="H244" t="inlineStr">
        <is>
          <t>Kommuner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45148</v>
      </c>
      <c r="E245" s="1" t="n">
        <v>46281</v>
      </c>
      <c r="F245" t="inlineStr">
        <is>
          <t>JÖNKÖPINGS LÄN</t>
        </is>
      </c>
      <c r="G245" t="inlineStr">
        <is>
          <t>SÄVSJÖ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46281</v>
      </c>
      <c r="F246" t="inlineStr">
        <is>
          <t>JÖNKÖPINGS LÄN</t>
        </is>
      </c>
      <c r="G246" t="inlineStr">
        <is>
          <t>SÄVSJÖ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46281</v>
      </c>
      <c r="F247" t="inlineStr">
        <is>
          <t>JÖNKÖPINGS LÄN</t>
        </is>
      </c>
      <c r="G247" t="inlineStr">
        <is>
          <t>SÄVSJÖ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49292-2023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45210</v>
      </c>
      <c r="E248" s="1" t="n">
        <v>46281</v>
      </c>
      <c r="F248" t="inlineStr">
        <is>
          <t>JÖNKÖPINGS LÄN</t>
        </is>
      </c>
      <c r="G248" t="inlineStr">
        <is>
          <t>SÄVSJÖ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46281</v>
      </c>
      <c r="F249" t="inlineStr">
        <is>
          <t>JÖNKÖPINGS LÄN</t>
        </is>
      </c>
      <c r="G249" t="inlineStr">
        <is>
          <t>SÄVSJÖ</t>
        </is>
      </c>
      <c r="H249" t="inlineStr">
        <is>
          <t>Kommuner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46281</v>
      </c>
      <c r="F250" t="inlineStr">
        <is>
          <t>JÖNKÖPINGS LÄN</t>
        </is>
      </c>
      <c r="G250" t="inlineStr">
        <is>
          <t>SÄVSJÖ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46281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46281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45419</v>
      </c>
      <c r="E253" s="1" t="n">
        <v>46281</v>
      </c>
      <c r="F253" t="inlineStr">
        <is>
          <t>JÖNKÖPINGS LÄN</t>
        </is>
      </c>
      <c r="G253" t="inlineStr">
        <is>
          <t>SÄVSJÖ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46281</v>
      </c>
      <c r="F254" t="inlineStr">
        <is>
          <t>JÖNKÖPINGS LÄN</t>
        </is>
      </c>
      <c r="G254" t="inlineStr">
        <is>
          <t>SÄVSJÖ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44995</v>
      </c>
      <c r="E255" s="1" t="n">
        <v>46281</v>
      </c>
      <c r="F255" t="inlineStr">
        <is>
          <t>JÖNKÖPINGS LÄN</t>
        </is>
      </c>
      <c r="G255" t="inlineStr">
        <is>
          <t>SÄVSJÖ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45053</v>
      </c>
      <c r="E256" s="1" t="n">
        <v>46281</v>
      </c>
      <c r="F256" t="inlineStr">
        <is>
          <t>JÖNKÖPINGS LÄN</t>
        </is>
      </c>
      <c r="G256" t="inlineStr">
        <is>
          <t>SÄVSJÖ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45317</v>
      </c>
      <c r="E257" s="1" t="n">
        <v>46281</v>
      </c>
      <c r="F257" t="inlineStr">
        <is>
          <t>JÖNKÖPINGS LÄN</t>
        </is>
      </c>
      <c r="G257" t="inlineStr">
        <is>
          <t>SÄVSJÖ</t>
        </is>
      </c>
      <c r="I257" t="n">
        <v>19.9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46281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45634</v>
      </c>
      <c r="E259" s="1" t="n">
        <v>46281</v>
      </c>
      <c r="F259" t="inlineStr">
        <is>
          <t>JÖNKÖPINGS LÄN</t>
        </is>
      </c>
      <c r="G259" t="inlineStr">
        <is>
          <t>SÄVSJÖ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45634</v>
      </c>
      <c r="E260" s="1" t="n">
        <v>46281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46281</v>
      </c>
      <c r="F261" t="inlineStr">
        <is>
          <t>JÖNKÖPINGS LÄN</t>
        </is>
      </c>
      <c r="G261" t="inlineStr">
        <is>
          <t>SÄVSJÖ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46281</v>
      </c>
      <c r="F262" t="inlineStr">
        <is>
          <t>JÖNKÖPINGS LÄN</t>
        </is>
      </c>
      <c r="G262" t="inlineStr">
        <is>
          <t>SÄVSJÖ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46281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46281</v>
      </c>
      <c r="F264" t="inlineStr">
        <is>
          <t>JÖNKÖPINGS LÄN</t>
        </is>
      </c>
      <c r="G264" t="inlineStr">
        <is>
          <t>SÄVSJÖ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55801-2021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46281</v>
      </c>
      <c r="F265" t="inlineStr">
        <is>
          <t>JÖNKÖPINGS LÄN</t>
        </is>
      </c>
      <c r="G265" t="inlineStr">
        <is>
          <t>SÄVSJÖ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46281</v>
      </c>
      <c r="F266" t="inlineStr">
        <is>
          <t>JÖNKÖPINGS LÄN</t>
        </is>
      </c>
      <c r="G266" t="inlineStr">
        <is>
          <t>SÄVSJÖ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45407</v>
      </c>
      <c r="E267" s="1" t="n">
        <v>46281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46281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45518</v>
      </c>
      <c r="E269" s="1" t="n">
        <v>46281</v>
      </c>
      <c r="F269" t="inlineStr">
        <is>
          <t>JÖNKÖPINGS LÄN</t>
        </is>
      </c>
      <c r="G269" t="inlineStr">
        <is>
          <t>SÄVSJÖ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46281</v>
      </c>
      <c r="F270" t="inlineStr">
        <is>
          <t>JÖNKÖPINGS LÄN</t>
        </is>
      </c>
      <c r="G270" t="inlineStr">
        <is>
          <t>SÄVSJÖ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46281</v>
      </c>
      <c r="F271" t="inlineStr">
        <is>
          <t>JÖNKÖPINGS LÄN</t>
        </is>
      </c>
      <c r="G271" t="inlineStr">
        <is>
          <t>SÄVSJÖ</t>
        </is>
      </c>
      <c r="H271" t="inlineStr">
        <is>
          <t>Övriga Aktiebolag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46281</v>
      </c>
      <c r="F272" t="inlineStr">
        <is>
          <t>JÖNKÖPINGS LÄN</t>
        </is>
      </c>
      <c r="G272" t="inlineStr">
        <is>
          <t>SÄVSJÖ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46281</v>
      </c>
      <c r="F273" t="inlineStr">
        <is>
          <t>JÖNKÖPINGS LÄN</t>
        </is>
      </c>
      <c r="G273" t="inlineStr">
        <is>
          <t>SÄVSJÖ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46281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46281</v>
      </c>
      <c r="F275" t="inlineStr">
        <is>
          <t>JÖNKÖPINGS LÄN</t>
        </is>
      </c>
      <c r="G275" t="inlineStr">
        <is>
          <t>SÄVSJÖ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46281</v>
      </c>
      <c r="F276" t="inlineStr">
        <is>
          <t>JÖNKÖPINGS LÄN</t>
        </is>
      </c>
      <c r="G276" t="inlineStr">
        <is>
          <t>SÄVSJÖ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46281</v>
      </c>
      <c r="F277" t="inlineStr">
        <is>
          <t>JÖNKÖPINGS LÄN</t>
        </is>
      </c>
      <c r="G277" t="inlineStr">
        <is>
          <t>SÄVSJÖ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46281</v>
      </c>
      <c r="F278" t="inlineStr">
        <is>
          <t>JÖNKÖPINGS LÄN</t>
        </is>
      </c>
      <c r="G278" t="inlineStr">
        <is>
          <t>SÄVSJÖ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46281</v>
      </c>
      <c r="F279" t="inlineStr">
        <is>
          <t>JÖNKÖPINGS LÄN</t>
        </is>
      </c>
      <c r="G279" t="inlineStr">
        <is>
          <t>SÄVSJÖ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46281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45067</v>
      </c>
      <c r="E281" s="1" t="n">
        <v>46281</v>
      </c>
      <c r="F281" t="inlineStr">
        <is>
          <t>JÖNKÖPINGS LÄN</t>
        </is>
      </c>
      <c r="G281" t="inlineStr">
        <is>
          <t>SÄVSJÖ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46251</v>
      </c>
      <c r="E282" s="1" t="n">
        <v>46281</v>
      </c>
      <c r="F282" t="inlineStr">
        <is>
          <t>JÖNKÖPINGS LÄN</t>
        </is>
      </c>
      <c r="G282" t="inlineStr">
        <is>
          <t>SÄVSJÖ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49708-2023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45212</v>
      </c>
      <c r="E283" s="1" t="n">
        <v>46281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46281</v>
      </c>
      <c r="F284" t="inlineStr">
        <is>
          <t>JÖNKÖPINGS LÄN</t>
        </is>
      </c>
      <c r="G284" t="inlineStr">
        <is>
          <t>SÄVSJÖ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46281</v>
      </c>
      <c r="F285" t="inlineStr">
        <is>
          <t>JÖNKÖPINGS LÄN</t>
        </is>
      </c>
      <c r="G285" t="inlineStr">
        <is>
          <t>SÄVSJÖ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46281</v>
      </c>
      <c r="F286" t="inlineStr">
        <is>
          <t>JÖNKÖPINGS LÄN</t>
        </is>
      </c>
      <c r="G286" t="inlineStr">
        <is>
          <t>SÄVSJÖ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44610</v>
      </c>
      <c r="E287" s="1" t="n">
        <v>46281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46281</v>
      </c>
      <c r="F288" t="inlineStr">
        <is>
          <t>JÖNKÖPINGS LÄN</t>
        </is>
      </c>
      <c r="G288" t="inlineStr">
        <is>
          <t>SÄVSJÖ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46281</v>
      </c>
      <c r="F289" t="inlineStr">
        <is>
          <t>JÖNKÖPINGS LÄN</t>
        </is>
      </c>
      <c r="G289" t="inlineStr">
        <is>
          <t>SÄVSJÖ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46281</v>
      </c>
      <c r="F290" t="inlineStr">
        <is>
          <t>JÖNKÖPINGS LÄN</t>
        </is>
      </c>
      <c r="G290" t="inlineStr">
        <is>
          <t>SÄVSJÖ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45301</v>
      </c>
      <c r="E291" s="1" t="n">
        <v>46281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45371</v>
      </c>
      <c r="E292" s="1" t="n">
        <v>46281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46281</v>
      </c>
      <c r="F293" t="inlineStr">
        <is>
          <t>JÖNKÖPINGS LÄN</t>
        </is>
      </c>
      <c r="G293" t="inlineStr">
        <is>
          <t>SÄVSJÖ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46281</v>
      </c>
      <c r="F294" t="inlineStr">
        <is>
          <t>JÖNKÖPINGS LÄN</t>
        </is>
      </c>
      <c r="G294" t="inlineStr">
        <is>
          <t>SÄVSJÖ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46281</v>
      </c>
      <c r="F295" t="inlineStr">
        <is>
          <t>JÖNKÖPINGS LÄN</t>
        </is>
      </c>
      <c r="G295" t="inlineStr">
        <is>
          <t>SÄVSJÖ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46281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46281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46281</v>
      </c>
      <c r="F298" t="inlineStr">
        <is>
          <t>JÖNKÖPINGS LÄN</t>
        </is>
      </c>
      <c r="G298" t="inlineStr">
        <is>
          <t>SÄVSJÖ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46281</v>
      </c>
      <c r="F299" t="inlineStr">
        <is>
          <t>JÖNKÖPINGS LÄN</t>
        </is>
      </c>
      <c r="G299" t="inlineStr">
        <is>
          <t>SÄVSJÖ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45102</v>
      </c>
      <c r="E300" s="1" t="n">
        <v>46281</v>
      </c>
      <c r="F300" t="inlineStr">
        <is>
          <t>JÖNKÖPINGS LÄN</t>
        </is>
      </c>
      <c r="G300" t="inlineStr">
        <is>
          <t>SÄVSJÖ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50629-2022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44866</v>
      </c>
      <c r="E301" s="1" t="n">
        <v>46281</v>
      </c>
      <c r="F301" t="inlineStr">
        <is>
          <t>JÖNKÖPINGS LÄN</t>
        </is>
      </c>
      <c r="G301" t="inlineStr">
        <is>
          <t>SÄVSJÖ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44664</v>
      </c>
      <c r="E302" s="1" t="n">
        <v>46281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44872</v>
      </c>
      <c r="E303" s="1" t="n">
        <v>46281</v>
      </c>
      <c r="F303" t="inlineStr">
        <is>
          <t>JÖNKÖPINGS LÄN</t>
        </is>
      </c>
      <c r="G303" t="inlineStr">
        <is>
          <t>SÄVSJÖ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44642</v>
      </c>
      <c r="E304" s="1" t="n">
        <v>46281</v>
      </c>
      <c r="F304" t="inlineStr">
        <is>
          <t>JÖNKÖPINGS LÄN</t>
        </is>
      </c>
      <c r="G304" t="inlineStr">
        <is>
          <t>SÄVSJÖ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46281</v>
      </c>
      <c r="F305" t="inlineStr">
        <is>
          <t>JÖNKÖPINGS LÄN</t>
        </is>
      </c>
      <c r="G305" t="inlineStr">
        <is>
          <t>SÄVSJÖ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46281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46281</v>
      </c>
      <c r="F307" t="inlineStr">
        <is>
          <t>JÖNKÖPINGS LÄN</t>
        </is>
      </c>
      <c r="G307" t="inlineStr">
        <is>
          <t>SÄVSJÖ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45228</v>
      </c>
      <c r="E308" s="1" t="n">
        <v>46281</v>
      </c>
      <c r="F308" t="inlineStr">
        <is>
          <t>JÖNKÖPINGS LÄN</t>
        </is>
      </c>
      <c r="G308" t="inlineStr">
        <is>
          <t>SÄVSJÖ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45704</v>
      </c>
      <c r="E309" s="1" t="n">
        <v>46281</v>
      </c>
      <c r="F309" t="inlineStr">
        <is>
          <t>JÖNKÖPINGS LÄN</t>
        </is>
      </c>
      <c r="G309" t="inlineStr">
        <is>
          <t>SÄVSJÖ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35212-2026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46281</v>
      </c>
      <c r="F310" t="inlineStr">
        <is>
          <t>JÖNKÖPINGS LÄN</t>
        </is>
      </c>
      <c r="G310" t="inlineStr">
        <is>
          <t>SÄVSJÖ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14880-2022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44656</v>
      </c>
      <c r="E311" s="1" t="n">
        <v>46281</v>
      </c>
      <c r="F311" t="inlineStr">
        <is>
          <t>JÖNKÖPINGS LÄN</t>
        </is>
      </c>
      <c r="G311" t="inlineStr">
        <is>
          <t>SÄVSJÖ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46281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45161</v>
      </c>
      <c r="E313" s="1" t="n">
        <v>46281</v>
      </c>
      <c r="F313" t="inlineStr">
        <is>
          <t>JÖNKÖPINGS LÄN</t>
        </is>
      </c>
      <c r="G313" t="inlineStr">
        <is>
          <t>SÄVSJÖ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46281</v>
      </c>
      <c r="F314" t="inlineStr">
        <is>
          <t>JÖNKÖPINGS LÄN</t>
        </is>
      </c>
      <c r="G314" t="inlineStr">
        <is>
          <t>SÄVSJÖ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45694</v>
      </c>
      <c r="E315" s="1" t="n">
        <v>46281</v>
      </c>
      <c r="F315" t="inlineStr">
        <is>
          <t>JÖNKÖPINGS LÄN</t>
        </is>
      </c>
      <c r="G315" t="inlineStr">
        <is>
          <t>SÄVSJÖ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46281</v>
      </c>
      <c r="F316" t="inlineStr">
        <is>
          <t>JÖNKÖPINGS LÄN</t>
        </is>
      </c>
      <c r="G316" t="inlineStr">
        <is>
          <t>SÄVSJÖ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45433</v>
      </c>
      <c r="E317" s="1" t="n">
        <v>46281</v>
      </c>
      <c r="F317" t="inlineStr">
        <is>
          <t>JÖNKÖPINGS LÄN</t>
        </is>
      </c>
      <c r="G317" t="inlineStr">
        <is>
          <t>SÄVSJÖ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45366</v>
      </c>
      <c r="E318" s="1" t="n">
        <v>46281</v>
      </c>
      <c r="F318" t="inlineStr">
        <is>
          <t>JÖNKÖPINGS LÄN</t>
        </is>
      </c>
      <c r="G318" t="inlineStr">
        <is>
          <t>SÄVSJÖ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46281</v>
      </c>
      <c r="F319" t="inlineStr">
        <is>
          <t>JÖNKÖPINGS LÄN</t>
        </is>
      </c>
      <c r="G319" t="inlineStr">
        <is>
          <t>SÄVSJÖ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46281</v>
      </c>
      <c r="F320" t="inlineStr">
        <is>
          <t>JÖNKÖPINGS LÄN</t>
        </is>
      </c>
      <c r="G320" t="inlineStr">
        <is>
          <t>SÄVSJÖ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46266</v>
      </c>
      <c r="E321" s="1" t="n">
        <v>46281</v>
      </c>
      <c r="F321" t="inlineStr">
        <is>
          <t>JÖNKÖPINGS LÄN</t>
        </is>
      </c>
      <c r="G321" t="inlineStr">
        <is>
          <t>SÄVSJÖ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46281</v>
      </c>
      <c r="F322" t="inlineStr">
        <is>
          <t>JÖNKÖPINGS LÄN</t>
        </is>
      </c>
      <c r="G322" t="inlineStr">
        <is>
          <t>SÄVSJÖ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45015</v>
      </c>
      <c r="E323" s="1" t="n">
        <v>46281</v>
      </c>
      <c r="F323" t="inlineStr">
        <is>
          <t>JÖNKÖPINGS LÄN</t>
        </is>
      </c>
      <c r="G323" t="inlineStr">
        <is>
          <t>SÄVSJÖ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46281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52965-2024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45611</v>
      </c>
      <c r="E325" s="1" t="n">
        <v>46281</v>
      </c>
      <c r="F325" t="inlineStr">
        <is>
          <t>JÖNKÖPINGS LÄN</t>
        </is>
      </c>
      <c r="G325" t="inlineStr">
        <is>
          <t>SÄVSJÖ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46281</v>
      </c>
      <c r="F326" t="inlineStr">
        <is>
          <t>JÖNKÖPINGS LÄN</t>
        </is>
      </c>
      <c r="G326" t="inlineStr">
        <is>
          <t>SÄVSJÖ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45341</v>
      </c>
      <c r="E327" s="1" t="n">
        <v>46281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31721-2026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46226</v>
      </c>
      <c r="E328" s="1" t="n">
        <v>46281</v>
      </c>
      <c r="F328" t="inlineStr">
        <is>
          <t>JÖNKÖPINGS LÄN</t>
        </is>
      </c>
      <c r="G328" t="inlineStr">
        <is>
          <t>SÄVSJÖ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46272</v>
      </c>
      <c r="E329" s="1" t="n">
        <v>46281</v>
      </c>
      <c r="F329" t="inlineStr">
        <is>
          <t>JÖNKÖPINGS LÄN</t>
        </is>
      </c>
      <c r="G329" t="inlineStr">
        <is>
          <t>SÄVSJÖ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33536-2026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46248</v>
      </c>
      <c r="E330" s="1" t="n">
        <v>46281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46281</v>
      </c>
      <c r="F331" t="inlineStr">
        <is>
          <t>JÖNKÖPINGS LÄN</t>
        </is>
      </c>
      <c r="G331" t="inlineStr">
        <is>
          <t>SÄVSJÖ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46281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46281</v>
      </c>
      <c r="F333" t="inlineStr">
        <is>
          <t>JÖNKÖPINGS LÄN</t>
        </is>
      </c>
      <c r="G333" t="inlineStr">
        <is>
          <t>SÄVSJÖ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46281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45252</v>
      </c>
      <c r="E335" s="1" t="n">
        <v>46281</v>
      </c>
      <c r="F335" t="inlineStr">
        <is>
          <t>JÖNKÖPINGS LÄN</t>
        </is>
      </c>
      <c r="G335" t="inlineStr">
        <is>
          <t>SÄVSJÖ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45321</v>
      </c>
      <c r="E336" s="1" t="n">
        <v>46281</v>
      </c>
      <c r="F336" t="inlineStr">
        <is>
          <t>JÖNKÖPINGS LÄN</t>
        </is>
      </c>
      <c r="G336" t="inlineStr">
        <is>
          <t>SÄVSJÖ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46281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45001</v>
      </c>
      <c r="E338" s="1" t="n">
        <v>46281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46274</v>
      </c>
      <c r="E339" s="1" t="n">
        <v>46281</v>
      </c>
      <c r="F339" t="inlineStr">
        <is>
          <t>JÖNKÖPINGS LÄN</t>
        </is>
      </c>
      <c r="G339" t="inlineStr">
        <is>
          <t>SÄVSJÖ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45755</v>
      </c>
      <c r="E340" s="1" t="n">
        <v>46281</v>
      </c>
      <c r="F340" t="inlineStr">
        <is>
          <t>JÖNKÖPINGS LÄN</t>
        </is>
      </c>
      <c r="G340" t="inlineStr">
        <is>
          <t>SÄVSJÖ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37079-2026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46273</v>
      </c>
      <c r="E341" s="1" t="n">
        <v>46281</v>
      </c>
      <c r="F341" t="inlineStr">
        <is>
          <t>JÖNKÖPINGS LÄN</t>
        </is>
      </c>
      <c r="G341" t="inlineStr">
        <is>
          <t>SÄVSJÖ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45253</v>
      </c>
      <c r="E342" s="1" t="n">
        <v>46281</v>
      </c>
      <c r="F342" t="inlineStr">
        <is>
          <t>JÖNKÖPINGS LÄN</t>
        </is>
      </c>
      <c r="G342" t="inlineStr">
        <is>
          <t>SÄVSJÖ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45747</v>
      </c>
      <c r="E343" s="1" t="n">
        <v>46281</v>
      </c>
      <c r="F343" t="inlineStr">
        <is>
          <t>JÖNKÖPINGS LÄN</t>
        </is>
      </c>
      <c r="G343" t="inlineStr">
        <is>
          <t>SÄVSJÖ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7917-2024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45350</v>
      </c>
      <c r="E344" s="1" t="n">
        <v>46281</v>
      </c>
      <c r="F344" t="inlineStr">
        <is>
          <t>JÖNKÖPINGS LÄN</t>
        </is>
      </c>
      <c r="G344" t="inlineStr">
        <is>
          <t>SÄVSJÖ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45694</v>
      </c>
      <c r="E345" s="1" t="n">
        <v>46281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45694</v>
      </c>
      <c r="E346" s="1" t="n">
        <v>46281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46281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45315</v>
      </c>
      <c r="E348" s="1" t="n">
        <v>46281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46276</v>
      </c>
      <c r="E349" s="1" t="n">
        <v>46281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45223</v>
      </c>
      <c r="E350" s="1" t="n">
        <v>46281</v>
      </c>
      <c r="F350" t="inlineStr">
        <is>
          <t>JÖNKÖPINGS LÄN</t>
        </is>
      </c>
      <c r="G350" t="inlineStr">
        <is>
          <t>SÄVSJÖ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45412</v>
      </c>
      <c r="E351" s="1" t="n">
        <v>46281</v>
      </c>
      <c r="F351" t="inlineStr">
        <is>
          <t>JÖNKÖPINGS LÄN</t>
        </is>
      </c>
      <c r="G351" t="inlineStr">
        <is>
          <t>SÄVSJÖ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45725</v>
      </c>
      <c r="E352" s="1" t="n">
        <v>46281</v>
      </c>
      <c r="F352" t="inlineStr">
        <is>
          <t>JÖNKÖPINGS LÄN</t>
        </is>
      </c>
      <c r="G352" t="inlineStr">
        <is>
          <t>SÄVSJÖ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46281</v>
      </c>
      <c r="F353" t="inlineStr">
        <is>
          <t>JÖNKÖPINGS LÄN</t>
        </is>
      </c>
      <c r="G353" t="inlineStr">
        <is>
          <t>SÄVSJÖ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45573</v>
      </c>
      <c r="E354" s="1" t="n">
        <v>46281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60805-2024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45644</v>
      </c>
      <c r="E355" s="1" t="n">
        <v>46281</v>
      </c>
      <c r="F355" t="inlineStr">
        <is>
          <t>JÖNKÖPINGS LÄN</t>
        </is>
      </c>
      <c r="G355" t="inlineStr">
        <is>
          <t>SÄVSJÖ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46281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46281</v>
      </c>
      <c r="F357" t="inlineStr">
        <is>
          <t>JÖNKÖPINGS LÄN</t>
        </is>
      </c>
      <c r="G357" t="inlineStr">
        <is>
          <t>SÄVSJÖ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45791</v>
      </c>
      <c r="E358" s="1" t="n">
        <v>46281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46281</v>
      </c>
      <c r="F359" t="inlineStr">
        <is>
          <t>JÖNKÖPINGS LÄN</t>
        </is>
      </c>
      <c r="G359" t="inlineStr">
        <is>
          <t>SÄVSJÖ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46281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46281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46281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46281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46281</v>
      </c>
      <c r="F364" t="inlineStr">
        <is>
          <t>JÖNKÖPINGS LÄN</t>
        </is>
      </c>
      <c r="G364" t="inlineStr">
        <is>
          <t>SÄVSJÖ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46281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46281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46281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46281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46281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46281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46281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46281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46281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46281</v>
      </c>
      <c r="F374" t="inlineStr">
        <is>
          <t>JÖNKÖPINGS LÄN</t>
        </is>
      </c>
      <c r="G374" t="inlineStr">
        <is>
          <t>SÄVSJÖ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46281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46281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46281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46281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46281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46281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46281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46281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46281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46281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46281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46281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46281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46281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46281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46281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46281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46281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46281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46281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46281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46281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46281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46281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46281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46281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46281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46281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46281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46281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46281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46281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46281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2026-09-16T02:04:52Z</dcterms:created>
  <dcterms:modified xmlns:dcterms="http://purl.org/dc/terms/" xmlns:xsi="http://www.w3.org/2001/XMLSchema-instance" xsi:type="dcterms:W3CDTF">2026-09-16T02:04:52Z</dcterms:modified>
</cp:coreProperties>
</file>