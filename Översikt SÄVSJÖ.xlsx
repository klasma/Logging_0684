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46235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46235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46235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46235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46235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46235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46235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34214-2025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46235</v>
      </c>
      <c r="F10" t="inlineStr">
        <is>
          <t>JÖNKÖPINGS LÄN</t>
        </is>
      </c>
      <c r="G10" t="inlineStr">
        <is>
          <t>SÄVSJÖ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1</v>
      </c>
      <c r="V10" s="2" t="inlineStr">
        <is>
          <t>Lungrot</t>
        </is>
      </c>
      <c r="W10">
        <f>HYPERLINK("https://klasma.github.io/Logging_0684/artfynd/A 34214-2025 artfynd.xlsx", "A 34214-2025")</f>
        <v/>
      </c>
      <c r="X10">
        <f>HYPERLINK("https://klasma.github.io/Logging_0684/kartor/A 34214-2025 karta.png", "A 34214-2025")</f>
        <v/>
      </c>
      <c r="Y10">
        <f>HYPERLINK("https://klasma.github.io/Logging_0684/kartor_geotiff/A 34214-2025 georefererad karta.tif", "A 34214-2025")</f>
        <v/>
      </c>
      <c r="AA10">
        <f>HYPERLINK("https://klasma.github.io/Logging_0684/klagomål/A 34214-2025 FSC-klagomål.docx", "A 34214-2025")</f>
        <v/>
      </c>
      <c r="AB10">
        <f>HYPERLINK("https://klasma.github.io/Logging_0684/klagomålsmail/A 34214-2025 FSC-klagomål mail.docx", "A 34214-2025")</f>
        <v/>
      </c>
      <c r="AC10">
        <f>HYPERLINK("https://klasma.github.io/Logging_0684/tillsyn/A 34214-2025 tillsynsbegäran.docx", "A 34214-2025")</f>
        <v/>
      </c>
      <c r="AD10">
        <f>HYPERLINK("https://klasma.github.io/Logging_0684/tillsynsmail/A 34214-2025 tillsynsbegäran mail.docx", "A 34214-2025")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46235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46235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46235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46235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46235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46235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46235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10775-2025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45722</v>
      </c>
      <c r="E18" s="1" t="n">
        <v>46235</v>
      </c>
      <c r="F18" t="inlineStr">
        <is>
          <t>JÖNKÖPINGS LÄN</t>
        </is>
      </c>
      <c r="G18" t="inlineStr">
        <is>
          <t>SÄVSJÖ</t>
        </is>
      </c>
      <c r="I18" t="n">
        <v>10.1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Solvända</t>
        </is>
      </c>
      <c r="W18">
        <f>HYPERLINK("https://klasma.github.io/Logging_0684/artfynd/A 10775-2025 artfynd.xlsx", "A 10775-2025")</f>
        <v/>
      </c>
      <c r="X18">
        <f>HYPERLINK("https://klasma.github.io/Logging_0684/kartor/A 10775-2025 karta.png", "A 10775-2025")</f>
        <v/>
      </c>
      <c r="Y18">
        <f>HYPERLINK("https://klasma.github.io/Logging_0684/kartor_geotiff/A 10775-2025 georefererad karta.tif", "A 10775-2025")</f>
        <v/>
      </c>
      <c r="AA18">
        <f>HYPERLINK("https://klasma.github.io/Logging_0684/klagomål/A 10775-2025 FSC-klagomål.docx", "A 10775-2025")</f>
        <v/>
      </c>
      <c r="AB18">
        <f>HYPERLINK("https://klasma.github.io/Logging_0684/klagomålsmail/A 10775-2025 FSC-klagomål mail.docx", "A 10775-2025")</f>
        <v/>
      </c>
      <c r="AC18">
        <f>HYPERLINK("https://klasma.github.io/Logging_0684/tillsyn/A 10775-2025 tillsynsbegäran.docx", "A 10775-2025")</f>
        <v/>
      </c>
      <c r="AD18">
        <f>HYPERLINK("https://klasma.github.io/Logging_0684/tillsynsmail/A 10775-2025 tillsynsbegäran mail.docx", "A 10775-2025")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46235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46235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46235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46235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46235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46235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46235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46235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46235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46235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46235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46235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46235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46235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46235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46235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46235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46235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46235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46235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46235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46235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46235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46235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46235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46235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44608</v>
      </c>
      <c r="E45" s="1" t="n">
        <v>46235</v>
      </c>
      <c r="F45" t="inlineStr">
        <is>
          <t>JÖNKÖPINGS LÄN</t>
        </is>
      </c>
      <c r="G45" t="inlineStr">
        <is>
          <t>SÄVSJÖ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45155-2022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44844</v>
      </c>
      <c r="E46" s="1" t="n">
        <v>46235</v>
      </c>
      <c r="F46" t="inlineStr">
        <is>
          <t>JÖNKÖPINGS LÄN</t>
        </is>
      </c>
      <c r="G46" t="inlineStr">
        <is>
          <t>SÄVSJÖ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46235</v>
      </c>
      <c r="F47" t="inlineStr">
        <is>
          <t>JÖNKÖPINGS LÄN</t>
        </is>
      </c>
      <c r="G47" t="inlineStr">
        <is>
          <t>SÄVSJÖ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46235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46235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46235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46235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46235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46235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46235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46235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46235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46235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46235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46235</v>
      </c>
      <c r="F59" t="inlineStr">
        <is>
          <t>JÖNKÖPINGS LÄN</t>
        </is>
      </c>
      <c r="G59" t="inlineStr">
        <is>
          <t>SÄVSJÖ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46235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46235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46235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46235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46235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46235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46235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46235</v>
      </c>
      <c r="F67" t="inlineStr">
        <is>
          <t>JÖNKÖPINGS LÄN</t>
        </is>
      </c>
      <c r="G67" t="inlineStr">
        <is>
          <t>SÄVSJÖ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46235</v>
      </c>
      <c r="F68" t="inlineStr">
        <is>
          <t>JÖNKÖPINGS LÄN</t>
        </is>
      </c>
      <c r="G68" t="inlineStr">
        <is>
          <t>SÄVSJÖ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45244</v>
      </c>
      <c r="E69" s="1" t="n">
        <v>46235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46235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46235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45226</v>
      </c>
      <c r="E72" s="1" t="n">
        <v>46235</v>
      </c>
      <c r="F72" t="inlineStr">
        <is>
          <t>JÖNKÖPINGS LÄN</t>
        </is>
      </c>
      <c r="G72" t="inlineStr">
        <is>
          <t>SÄVSJÖ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46235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46235</v>
      </c>
      <c r="F74" t="inlineStr">
        <is>
          <t>JÖNKÖPINGS LÄN</t>
        </is>
      </c>
      <c r="G74" t="inlineStr">
        <is>
          <t>SÄVSJÖ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45455</v>
      </c>
      <c r="E75" s="1" t="n">
        <v>46235</v>
      </c>
      <c r="F75" t="inlineStr">
        <is>
          <t>JÖNKÖPINGS LÄN</t>
        </is>
      </c>
      <c r="G75" t="inlineStr">
        <is>
          <t>SÄVSJÖ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46235</v>
      </c>
      <c r="F76" t="inlineStr">
        <is>
          <t>JÖNKÖPINGS LÄN</t>
        </is>
      </c>
      <c r="G76" t="inlineStr">
        <is>
          <t>SÄVSJÖ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46235</v>
      </c>
      <c r="F77" t="inlineStr">
        <is>
          <t>JÖNKÖPINGS LÄN</t>
        </is>
      </c>
      <c r="G77" t="inlineStr">
        <is>
          <t>SÄVSJÖ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46235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46235</v>
      </c>
      <c r="F79" t="inlineStr">
        <is>
          <t>JÖNKÖPINGS LÄN</t>
        </is>
      </c>
      <c r="G79" t="inlineStr">
        <is>
          <t>SÄVSJÖ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46235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46235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46235</v>
      </c>
      <c r="F82" t="inlineStr">
        <is>
          <t>JÖNKÖPINGS LÄN</t>
        </is>
      </c>
      <c r="G82" t="inlineStr">
        <is>
          <t>SÄVSJÖ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46235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46235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44972</v>
      </c>
      <c r="E85" s="1" t="n">
        <v>46235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46235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45669</v>
      </c>
      <c r="E87" s="1" t="n">
        <v>46235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46235</v>
      </c>
      <c r="F88" t="inlineStr">
        <is>
          <t>JÖNKÖPINGS LÄN</t>
        </is>
      </c>
      <c r="G88" t="inlineStr">
        <is>
          <t>SÄVSJÖ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46235</v>
      </c>
      <c r="F89" t="inlineStr">
        <is>
          <t>JÖNKÖPINGS LÄN</t>
        </is>
      </c>
      <c r="G89" t="inlineStr">
        <is>
          <t>SÄVSJÖ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46235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46235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46235</v>
      </c>
      <c r="F92" t="inlineStr">
        <is>
          <t>JÖNKÖPINGS LÄN</t>
        </is>
      </c>
      <c r="G92" t="inlineStr">
        <is>
          <t>SÄVSJÖ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46235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46235</v>
      </c>
      <c r="F94" t="inlineStr">
        <is>
          <t>JÖNKÖPINGS LÄN</t>
        </is>
      </c>
      <c r="G94" t="inlineStr">
        <is>
          <t>SÄVSJÖ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45881</v>
      </c>
      <c r="E95" s="1" t="n">
        <v>46235</v>
      </c>
      <c r="F95" t="inlineStr">
        <is>
          <t>JÖNKÖPINGS LÄN</t>
        </is>
      </c>
      <c r="G95" t="inlineStr">
        <is>
          <t>SÄVSJÖ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46235</v>
      </c>
      <c r="F96" t="inlineStr">
        <is>
          <t>JÖNKÖPINGS LÄN</t>
        </is>
      </c>
      <c r="G96" t="inlineStr">
        <is>
          <t>SÄVSJÖ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46235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46235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46235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45660</v>
      </c>
      <c r="E100" s="1" t="n">
        <v>46235</v>
      </c>
      <c r="F100" t="inlineStr">
        <is>
          <t>JÖNKÖPINGS LÄN</t>
        </is>
      </c>
      <c r="G100" t="inlineStr">
        <is>
          <t>SÄVSJÖ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46235</v>
      </c>
      <c r="F101" t="inlineStr">
        <is>
          <t>JÖNKÖPINGS LÄN</t>
        </is>
      </c>
      <c r="G101" t="inlineStr">
        <is>
          <t>SÄVSJÖ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46235</v>
      </c>
      <c r="F102" t="inlineStr">
        <is>
          <t>JÖNKÖPINGS LÄN</t>
        </is>
      </c>
      <c r="G102" t="inlineStr">
        <is>
          <t>SÄVSJÖ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46235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46235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46235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46235</v>
      </c>
      <c r="F106" t="inlineStr">
        <is>
          <t>JÖNKÖPINGS LÄN</t>
        </is>
      </c>
      <c r="G106" t="inlineStr">
        <is>
          <t>SÄVSJÖ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45454</v>
      </c>
      <c r="E107" s="1" t="n">
        <v>46235</v>
      </c>
      <c r="F107" t="inlineStr">
        <is>
          <t>JÖNKÖPINGS LÄN</t>
        </is>
      </c>
      <c r="G107" t="inlineStr">
        <is>
          <t>SÄVSJÖ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45110</v>
      </c>
      <c r="E108" s="1" t="n">
        <v>46235</v>
      </c>
      <c r="F108" t="inlineStr">
        <is>
          <t>JÖNKÖPINGS LÄN</t>
        </is>
      </c>
      <c r="G108" t="inlineStr">
        <is>
          <t>SÄVSJÖ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46235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46235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46235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46235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46235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46235</v>
      </c>
      <c r="F114" t="inlineStr">
        <is>
          <t>JÖNKÖPINGS LÄN</t>
        </is>
      </c>
      <c r="G114" t="inlineStr">
        <is>
          <t>SÄVSJÖ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46235</v>
      </c>
      <c r="F115" t="inlineStr">
        <is>
          <t>JÖNKÖPINGS LÄN</t>
        </is>
      </c>
      <c r="G115" t="inlineStr">
        <is>
          <t>SÄVSJÖ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44590</v>
      </c>
      <c r="E116" s="1" t="n">
        <v>46235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46235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46235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46235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46235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46235</v>
      </c>
      <c r="F121" t="inlineStr">
        <is>
          <t>JÖNKÖPINGS LÄN</t>
        </is>
      </c>
      <c r="G121" t="inlineStr">
        <is>
          <t>SÄVSJÖ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46235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44447</v>
      </c>
      <c r="E123" s="1" t="n">
        <v>46235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46235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46235</v>
      </c>
      <c r="F125" t="inlineStr">
        <is>
          <t>JÖNKÖPINGS LÄN</t>
        </is>
      </c>
      <c r="G125" t="inlineStr">
        <is>
          <t>SÄVSJÖ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46235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45061</v>
      </c>
      <c r="E127" s="1" t="n">
        <v>46235</v>
      </c>
      <c r="F127" t="inlineStr">
        <is>
          <t>JÖNKÖPINGS LÄN</t>
        </is>
      </c>
      <c r="G127" t="inlineStr">
        <is>
          <t>SÄVSJÖ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45037</v>
      </c>
      <c r="E128" s="1" t="n">
        <v>46235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46235</v>
      </c>
      <c r="F129" t="inlineStr">
        <is>
          <t>JÖNKÖPINGS LÄN</t>
        </is>
      </c>
      <c r="G129" t="inlineStr">
        <is>
          <t>SÄVSJÖ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46235</v>
      </c>
      <c r="F130" t="inlineStr">
        <is>
          <t>JÖNKÖPINGS LÄN</t>
        </is>
      </c>
      <c r="G130" t="inlineStr">
        <is>
          <t>SÄVSJÖ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46235</v>
      </c>
      <c r="F131" t="inlineStr">
        <is>
          <t>JÖNKÖPINGS LÄN</t>
        </is>
      </c>
      <c r="G131" t="inlineStr">
        <is>
          <t>SÄVSJÖ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46235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46235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46235</v>
      </c>
      <c r="F134" t="inlineStr">
        <is>
          <t>JÖNKÖPINGS LÄN</t>
        </is>
      </c>
      <c r="G134" t="inlineStr">
        <is>
          <t>SÄVSJÖ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46235</v>
      </c>
      <c r="F135" t="inlineStr">
        <is>
          <t>JÖNKÖPINGS LÄN</t>
        </is>
      </c>
      <c r="G135" t="inlineStr">
        <is>
          <t>SÄVSJÖ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46235</v>
      </c>
      <c r="F136" t="inlineStr">
        <is>
          <t>JÖNKÖPINGS LÄN</t>
        </is>
      </c>
      <c r="G136" t="inlineStr">
        <is>
          <t>SÄVSJÖ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46235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46235</v>
      </c>
      <c r="F138" t="inlineStr">
        <is>
          <t>JÖNKÖPINGS LÄN</t>
        </is>
      </c>
      <c r="G138" t="inlineStr">
        <is>
          <t>SÄVSJÖ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46235</v>
      </c>
      <c r="F139" t="inlineStr">
        <is>
          <t>JÖNKÖPINGS LÄN</t>
        </is>
      </c>
      <c r="G139" t="inlineStr">
        <is>
          <t>SÄVSJÖ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46235</v>
      </c>
      <c r="F140" t="inlineStr">
        <is>
          <t>JÖNKÖPINGS LÄN</t>
        </is>
      </c>
      <c r="G140" t="inlineStr">
        <is>
          <t>SÄVSJÖ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46235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46235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45268</v>
      </c>
      <c r="E143" s="1" t="n">
        <v>46235</v>
      </c>
      <c r="F143" t="inlineStr">
        <is>
          <t>JÖNKÖPINGS LÄN</t>
        </is>
      </c>
      <c r="G143" t="inlineStr">
        <is>
          <t>SÄVSJÖ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46235</v>
      </c>
      <c r="F144" t="inlineStr">
        <is>
          <t>JÖNKÖPINGS LÄN</t>
        </is>
      </c>
      <c r="G144" t="inlineStr">
        <is>
          <t>SÄVSJÖ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7285-2023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44970</v>
      </c>
      <c r="E145" s="1" t="n">
        <v>46235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46235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46235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49292-2023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45210</v>
      </c>
      <c r="E148" s="1" t="n">
        <v>46235</v>
      </c>
      <c r="F148" t="inlineStr">
        <is>
          <t>JÖNKÖPINGS LÄN</t>
        </is>
      </c>
      <c r="G148" t="inlineStr">
        <is>
          <t>SÄVSJÖ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46235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45953</v>
      </c>
      <c r="E150" s="1" t="n">
        <v>46235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46235</v>
      </c>
      <c r="F151" t="inlineStr">
        <is>
          <t>JÖNKÖPINGS LÄN</t>
        </is>
      </c>
      <c r="G151" t="inlineStr">
        <is>
          <t>SÄVSJÖ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46235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46235</v>
      </c>
      <c r="F153" t="inlineStr">
        <is>
          <t>JÖNKÖPINGS LÄN</t>
        </is>
      </c>
      <c r="G153" t="inlineStr">
        <is>
          <t>SÄVSJÖ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46235</v>
      </c>
      <c r="F154" t="inlineStr">
        <is>
          <t>JÖNKÖPINGS LÄN</t>
        </is>
      </c>
      <c r="G154" t="inlineStr">
        <is>
          <t>SÄVSJÖ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46235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46235</v>
      </c>
      <c r="F156" t="inlineStr">
        <is>
          <t>JÖNKÖPINGS LÄN</t>
        </is>
      </c>
      <c r="G156" t="inlineStr">
        <is>
          <t>SÄVSJÖ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46235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46235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46235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46235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45634</v>
      </c>
      <c r="E161" s="1" t="n">
        <v>46235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46235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44414</v>
      </c>
      <c r="E163" s="1" t="n">
        <v>46235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54275-2025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45964</v>
      </c>
      <c r="E164" s="1" t="n">
        <v>46235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46235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46235</v>
      </c>
      <c r="F166" t="inlineStr">
        <is>
          <t>JÖNKÖPINGS LÄN</t>
        </is>
      </c>
      <c r="G166" t="inlineStr">
        <is>
          <t>SÄVSJÖ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46235</v>
      </c>
      <c r="F167" t="inlineStr">
        <is>
          <t>JÖNKÖPINGS LÄN</t>
        </is>
      </c>
      <c r="G167" t="inlineStr">
        <is>
          <t>SÄVSJÖ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46235</v>
      </c>
      <c r="F168" t="inlineStr">
        <is>
          <t>JÖNKÖPINGS LÄN</t>
        </is>
      </c>
      <c r="G168" t="inlineStr">
        <is>
          <t>SÄVSJÖ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46235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46235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45067</v>
      </c>
      <c r="E171" s="1" t="n">
        <v>46235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46235</v>
      </c>
      <c r="F172" t="inlineStr">
        <is>
          <t>JÖNKÖPINGS LÄN</t>
        </is>
      </c>
      <c r="G172" t="inlineStr">
        <is>
          <t>SÄVSJÖ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46235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46235</v>
      </c>
      <c r="F174" t="inlineStr">
        <is>
          <t>JÖNKÖPINGS LÄN</t>
        </is>
      </c>
      <c r="G174" t="inlineStr">
        <is>
          <t>SÄVSJÖ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46235</v>
      </c>
      <c r="F175" t="inlineStr">
        <is>
          <t>JÖNKÖPINGS LÄN</t>
        </is>
      </c>
      <c r="G175" t="inlineStr">
        <is>
          <t>SÄVSJÖ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46235</v>
      </c>
      <c r="F176" t="inlineStr">
        <is>
          <t>JÖNKÖPINGS LÄN</t>
        </is>
      </c>
      <c r="G176" t="inlineStr">
        <is>
          <t>SÄVSJÖ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46235</v>
      </c>
      <c r="F177" t="inlineStr">
        <is>
          <t>JÖNKÖPINGS LÄN</t>
        </is>
      </c>
      <c r="G177" t="inlineStr">
        <is>
          <t>SÄVSJÖ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46235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46235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46235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46235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46235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46235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46235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46235</v>
      </c>
      <c r="F185" t="inlineStr">
        <is>
          <t>JÖNKÖPINGS LÄN</t>
        </is>
      </c>
      <c r="G185" t="inlineStr">
        <is>
          <t>SÄVSJÖ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46235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46235</v>
      </c>
      <c r="F187" t="inlineStr">
        <is>
          <t>JÖNKÖPINGS LÄN</t>
        </is>
      </c>
      <c r="G187" t="inlineStr">
        <is>
          <t>SÄVSJÖ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46235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46235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50627-2022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44866</v>
      </c>
      <c r="E190" s="1" t="n">
        <v>46235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46235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46235</v>
      </c>
      <c r="F192" t="inlineStr">
        <is>
          <t>JÖNKÖPINGS LÄN</t>
        </is>
      </c>
      <c r="G192" t="inlineStr">
        <is>
          <t>SÄVSJÖ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46235</v>
      </c>
      <c r="F193" t="inlineStr">
        <is>
          <t>JÖNKÖPINGS LÄN</t>
        </is>
      </c>
      <c r="G193" t="inlineStr">
        <is>
          <t>SÄVSJÖ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46235</v>
      </c>
      <c r="F194" t="inlineStr">
        <is>
          <t>JÖNKÖPINGS LÄN</t>
        </is>
      </c>
      <c r="G194" t="inlineStr">
        <is>
          <t>SÄVSJÖ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46235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46235</v>
      </c>
      <c r="F196" t="inlineStr">
        <is>
          <t>JÖNKÖPINGS LÄN</t>
        </is>
      </c>
      <c r="G196" t="inlineStr">
        <is>
          <t>SÄVSJÖ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46235</v>
      </c>
      <c r="F197" t="inlineStr">
        <is>
          <t>JÖNKÖPINGS LÄN</t>
        </is>
      </c>
      <c r="G197" t="inlineStr">
        <is>
          <t>SÄVSJÖ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46235</v>
      </c>
      <c r="F198" t="inlineStr">
        <is>
          <t>JÖNKÖPINGS LÄN</t>
        </is>
      </c>
      <c r="G198" t="inlineStr">
        <is>
          <t>SÄVSJÖ</t>
        </is>
      </c>
      <c r="I198" t="n">
        <v>19.9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46235</v>
      </c>
      <c r="F199" t="inlineStr">
        <is>
          <t>JÖNKÖPINGS LÄN</t>
        </is>
      </c>
      <c r="G199" t="inlineStr">
        <is>
          <t>SÄVSJÖ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45066</v>
      </c>
      <c r="E200" s="1" t="n">
        <v>46235</v>
      </c>
      <c r="F200" t="inlineStr">
        <is>
          <t>JÖNKÖPINGS LÄN</t>
        </is>
      </c>
      <c r="G200" t="inlineStr">
        <is>
          <t>SÄVSJÖ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46307-2021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44442</v>
      </c>
      <c r="E201" s="1" t="n">
        <v>46235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25.6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46235</v>
      </c>
      <c r="F202" t="inlineStr">
        <is>
          <t>JÖNKÖPINGS LÄN</t>
        </is>
      </c>
      <c r="G202" t="inlineStr">
        <is>
          <t>SÄVSJÖ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46235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46235</v>
      </c>
      <c r="F204" t="inlineStr">
        <is>
          <t>JÖNKÖPINGS LÄN</t>
        </is>
      </c>
      <c r="G204" t="inlineStr">
        <is>
          <t>SÄVSJÖ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46235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46235</v>
      </c>
      <c r="F206" t="inlineStr">
        <is>
          <t>JÖNKÖPINGS LÄN</t>
        </is>
      </c>
      <c r="G206" t="inlineStr">
        <is>
          <t>SÄVSJÖ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46235</v>
      </c>
      <c r="F207" t="inlineStr">
        <is>
          <t>JÖNKÖPINGS LÄN</t>
        </is>
      </c>
      <c r="G207" t="inlineStr">
        <is>
          <t>SÄVSJÖ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23816-2026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46165</v>
      </c>
      <c r="E208" s="1" t="n">
        <v>46235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45094</v>
      </c>
      <c r="E209" s="1" t="n">
        <v>46235</v>
      </c>
      <c r="F209" t="inlineStr">
        <is>
          <t>JÖNKÖPINGS LÄN</t>
        </is>
      </c>
      <c r="G209" t="inlineStr">
        <is>
          <t>SÄVSJÖ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46235</v>
      </c>
      <c r="F210" t="inlineStr">
        <is>
          <t>JÖNKÖPINGS LÄN</t>
        </is>
      </c>
      <c r="G210" t="inlineStr">
        <is>
          <t>SÄVSJÖ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45094</v>
      </c>
      <c r="E211" s="1" t="n">
        <v>46235</v>
      </c>
      <c r="F211" t="inlineStr">
        <is>
          <t>JÖNKÖPINGS LÄN</t>
        </is>
      </c>
      <c r="G211" t="inlineStr">
        <is>
          <t>SÄVSJÖ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46235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46235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46235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46235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46235</v>
      </c>
      <c r="F216" t="inlineStr">
        <is>
          <t>JÖNKÖPINGS LÄN</t>
        </is>
      </c>
      <c r="G216" t="inlineStr">
        <is>
          <t>SÄVSJÖ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46235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46235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46235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46235</v>
      </c>
      <c r="F220" t="inlineStr">
        <is>
          <t>JÖNKÖPINGS LÄN</t>
        </is>
      </c>
      <c r="G220" t="inlineStr">
        <is>
          <t>SÄVSJÖ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46235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46235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46235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46235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46235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46235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45102</v>
      </c>
      <c r="E227" s="1" t="n">
        <v>46235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50629-2022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44866</v>
      </c>
      <c r="E228" s="1" t="n">
        <v>46235</v>
      </c>
      <c r="F228" t="inlineStr">
        <is>
          <t>JÖNKÖPINGS LÄN</t>
        </is>
      </c>
      <c r="G228" t="inlineStr">
        <is>
          <t>SÄVSJÖ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46235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46235</v>
      </c>
      <c r="F230" t="inlineStr">
        <is>
          <t>JÖNKÖPINGS LÄN</t>
        </is>
      </c>
      <c r="G230" t="inlineStr">
        <is>
          <t>SÄVSJÖ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45228</v>
      </c>
      <c r="E231" s="1" t="n">
        <v>46235</v>
      </c>
      <c r="F231" t="inlineStr">
        <is>
          <t>JÖNKÖPINGS LÄN</t>
        </is>
      </c>
      <c r="G231" t="inlineStr">
        <is>
          <t>SÄVSJÖ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46235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46235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46235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62961-2021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44505</v>
      </c>
      <c r="E235" s="1" t="n">
        <v>46235</v>
      </c>
      <c r="F235" t="inlineStr">
        <is>
          <t>JÖNKÖPINGS LÄN</t>
        </is>
      </c>
      <c r="G235" t="inlineStr">
        <is>
          <t>SÄVSJÖ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46235</v>
      </c>
      <c r="F236" t="inlineStr">
        <is>
          <t>JÖNKÖPINGS LÄN</t>
        </is>
      </c>
      <c r="G236" t="inlineStr">
        <is>
          <t>SÄVSJÖ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46235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46235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46235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46235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46235</v>
      </c>
      <c r="F241" t="inlineStr">
        <is>
          <t>JÖNKÖPINGS LÄN</t>
        </is>
      </c>
      <c r="G241" t="inlineStr">
        <is>
          <t>SÄVSJÖ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46235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46235</v>
      </c>
      <c r="F243" t="inlineStr">
        <is>
          <t>JÖNKÖPINGS LÄN</t>
        </is>
      </c>
      <c r="G243" t="inlineStr">
        <is>
          <t>SÄVSJÖ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46235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51809-2024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46235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46235</v>
      </c>
      <c r="F246" t="inlineStr">
        <is>
          <t>JÖNKÖPINGS LÄN</t>
        </is>
      </c>
      <c r="G246" t="inlineStr">
        <is>
          <t>SÄVSJÖ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46235</v>
      </c>
      <c r="F247" t="inlineStr">
        <is>
          <t>JÖNKÖPINGS LÄN</t>
        </is>
      </c>
      <c r="G247" t="inlineStr">
        <is>
          <t>SÄVSJÖ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45634</v>
      </c>
      <c r="E248" s="1" t="n">
        <v>46235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45634</v>
      </c>
      <c r="E249" s="1" t="n">
        <v>46235</v>
      </c>
      <c r="F249" t="inlineStr">
        <is>
          <t>JÖNKÖPINGS LÄN</t>
        </is>
      </c>
      <c r="G249" t="inlineStr">
        <is>
          <t>SÄVSJÖ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46235</v>
      </c>
      <c r="F250" t="inlineStr">
        <is>
          <t>JÖNKÖPINGS LÄN</t>
        </is>
      </c>
      <c r="G250" t="inlineStr">
        <is>
          <t>SÄVSJÖ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46235</v>
      </c>
      <c r="F251" t="inlineStr">
        <is>
          <t>JÖNKÖPINGS LÄN</t>
        </is>
      </c>
      <c r="G251" t="inlineStr">
        <is>
          <t>SÄVSJÖ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44988</v>
      </c>
      <c r="E252" s="1" t="n">
        <v>46235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55801-2021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44476</v>
      </c>
      <c r="E253" s="1" t="n">
        <v>46235</v>
      </c>
      <c r="F253" t="inlineStr">
        <is>
          <t>JÖNKÖPINGS LÄN</t>
        </is>
      </c>
      <c r="G253" t="inlineStr">
        <is>
          <t>SÄVSJÖ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46235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45094</v>
      </c>
      <c r="E255" s="1" t="n">
        <v>46235</v>
      </c>
      <c r="F255" t="inlineStr">
        <is>
          <t>JÖNKÖPINGS LÄN</t>
        </is>
      </c>
      <c r="G255" t="inlineStr">
        <is>
          <t>SÄVSJÖ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46235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46235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45518</v>
      </c>
      <c r="E258" s="1" t="n">
        <v>46235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31721-2026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46226</v>
      </c>
      <c r="E259" s="1" t="n">
        <v>46235</v>
      </c>
      <c r="F259" t="inlineStr">
        <is>
          <t>JÖNKÖPINGS LÄN</t>
        </is>
      </c>
      <c r="G259" t="inlineStr">
        <is>
          <t>SÄVSJÖ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46235</v>
      </c>
      <c r="F260" t="inlineStr">
        <is>
          <t>JÖNKÖPINGS LÄN</t>
        </is>
      </c>
      <c r="G260" t="inlineStr">
        <is>
          <t>SÄVSJÖ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45607</v>
      </c>
      <c r="E261" s="1" t="n">
        <v>46235</v>
      </c>
      <c r="F261" t="inlineStr">
        <is>
          <t>JÖNKÖPINGS LÄN</t>
        </is>
      </c>
      <c r="G261" t="inlineStr">
        <is>
          <t>SÄVSJÖ</t>
        </is>
      </c>
      <c r="H261" t="inlineStr">
        <is>
          <t>Övriga Aktiebolag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46235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46235</v>
      </c>
      <c r="F263" t="inlineStr">
        <is>
          <t>JÖNKÖPINGS LÄN</t>
        </is>
      </c>
      <c r="G263" t="inlineStr">
        <is>
          <t>SÄVSJÖ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46235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46235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46235</v>
      </c>
      <c r="F266" t="inlineStr">
        <is>
          <t>JÖNKÖPINGS LÄN</t>
        </is>
      </c>
      <c r="G266" t="inlineStr">
        <is>
          <t>SÄVSJÖ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46235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46235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46235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46235</v>
      </c>
      <c r="F270" t="inlineStr">
        <is>
          <t>JÖNKÖPINGS LÄN</t>
        </is>
      </c>
      <c r="G270" t="inlineStr">
        <is>
          <t>SÄVSJÖ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46235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46235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46235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46235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46235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46235</v>
      </c>
      <c r="F276" t="inlineStr">
        <is>
          <t>JÖNKÖPINGS LÄN</t>
        </is>
      </c>
      <c r="G276" t="inlineStr">
        <is>
          <t>SÄVSJÖ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45054</v>
      </c>
      <c r="E277" s="1" t="n">
        <v>46235</v>
      </c>
      <c r="F277" t="inlineStr">
        <is>
          <t>JÖNKÖPINGS LÄN</t>
        </is>
      </c>
      <c r="G277" t="inlineStr">
        <is>
          <t>SÄVSJÖ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45067</v>
      </c>
      <c r="E278" s="1" t="n">
        <v>46235</v>
      </c>
      <c r="F278" t="inlineStr">
        <is>
          <t>JÖNKÖPINGS LÄN</t>
        </is>
      </c>
      <c r="G278" t="inlineStr">
        <is>
          <t>SÄVSJÖ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46235</v>
      </c>
      <c r="F279" t="inlineStr">
        <is>
          <t>JÖNKÖPINGS LÄN</t>
        </is>
      </c>
      <c r="G279" t="inlineStr">
        <is>
          <t>SÄVSJÖ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46235</v>
      </c>
      <c r="F280" t="inlineStr">
        <is>
          <t>JÖNKÖPINGS LÄN</t>
        </is>
      </c>
      <c r="G280" t="inlineStr">
        <is>
          <t>SÄVSJÖ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46235</v>
      </c>
      <c r="F281" t="inlineStr">
        <is>
          <t>JÖNKÖPINGS LÄN</t>
        </is>
      </c>
      <c r="G281" t="inlineStr">
        <is>
          <t>SÄVSJÖ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46235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46235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46235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46235</v>
      </c>
      <c r="F285" t="inlineStr">
        <is>
          <t>JÖNKÖPINGS LÄN</t>
        </is>
      </c>
      <c r="G285" t="inlineStr">
        <is>
          <t>SÄVSJÖ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46235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46235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46235</v>
      </c>
      <c r="F288" t="inlineStr">
        <is>
          <t>JÖNKÖPINGS LÄN</t>
        </is>
      </c>
      <c r="G288" t="inlineStr">
        <is>
          <t>SÄVSJÖ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45334</v>
      </c>
      <c r="E289" s="1" t="n">
        <v>46235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46235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46235</v>
      </c>
      <c r="F291" t="inlineStr">
        <is>
          <t>JÖNKÖPINGS LÄN</t>
        </is>
      </c>
      <c r="G291" t="inlineStr">
        <is>
          <t>SÄVSJÖ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45321</v>
      </c>
      <c r="E292" s="1" t="n">
        <v>46235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46235</v>
      </c>
      <c r="F293" t="inlineStr">
        <is>
          <t>JÖNKÖPINGS LÄN</t>
        </is>
      </c>
      <c r="G293" t="inlineStr">
        <is>
          <t>SÄVSJÖ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46235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46235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46235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46235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46235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46235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46235</v>
      </c>
      <c r="F300" t="inlineStr">
        <is>
          <t>JÖNKÖPINGS LÄN</t>
        </is>
      </c>
      <c r="G300" t="inlineStr">
        <is>
          <t>SÄVSJÖ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46235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45253</v>
      </c>
      <c r="E302" s="1" t="n">
        <v>46235</v>
      </c>
      <c r="F302" t="inlineStr">
        <is>
          <t>JÖNKÖPINGS LÄN</t>
        </is>
      </c>
      <c r="G302" t="inlineStr">
        <is>
          <t>SÄVSJÖ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44872</v>
      </c>
      <c r="E303" s="1" t="n">
        <v>46235</v>
      </c>
      <c r="F303" t="inlineStr">
        <is>
          <t>JÖNKÖPINGS LÄN</t>
        </is>
      </c>
      <c r="G303" t="inlineStr">
        <is>
          <t>SÄVSJÖ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46235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46235</v>
      </c>
      <c r="F305" t="inlineStr">
        <is>
          <t>JÖNKÖPINGS LÄN</t>
        </is>
      </c>
      <c r="G305" t="inlineStr">
        <is>
          <t>SÄVSJÖ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46235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46235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46235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14880-2022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44656</v>
      </c>
      <c r="E309" s="1" t="n">
        <v>46235</v>
      </c>
      <c r="F309" t="inlineStr">
        <is>
          <t>JÖNKÖPINGS LÄN</t>
        </is>
      </c>
      <c r="G309" t="inlineStr">
        <is>
          <t>SÄVSJÖ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7917-2024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45350</v>
      </c>
      <c r="E310" s="1" t="n">
        <v>46235</v>
      </c>
      <c r="F310" t="inlineStr">
        <is>
          <t>JÖNKÖPINGS LÄN</t>
        </is>
      </c>
      <c r="G310" t="inlineStr">
        <is>
          <t>SÄVSJÖ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46235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46235</v>
      </c>
      <c r="F312" t="inlineStr">
        <is>
          <t>JÖNKÖPINGS LÄN</t>
        </is>
      </c>
      <c r="G312" t="inlineStr">
        <is>
          <t>SÄVSJÖ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46235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46235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46235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46235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46235</v>
      </c>
      <c r="F317" t="inlineStr">
        <is>
          <t>JÖNKÖPINGS LÄN</t>
        </is>
      </c>
      <c r="G317" t="inlineStr">
        <is>
          <t>SÄVSJÖ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46235</v>
      </c>
      <c r="F318" t="inlineStr">
        <is>
          <t>JÖNKÖPINGS LÄN</t>
        </is>
      </c>
      <c r="G318" t="inlineStr">
        <is>
          <t>SÄVSJÖ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46235</v>
      </c>
      <c r="F319" t="inlineStr">
        <is>
          <t>JÖNKÖPINGS LÄN</t>
        </is>
      </c>
      <c r="G319" t="inlineStr">
        <is>
          <t>SÄVSJÖ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46235</v>
      </c>
      <c r="F320" t="inlineStr">
        <is>
          <t>JÖNKÖPINGS LÄN</t>
        </is>
      </c>
      <c r="G320" t="inlineStr">
        <is>
          <t>SÄVSJÖ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45433</v>
      </c>
      <c r="E321" s="1" t="n">
        <v>46235</v>
      </c>
      <c r="F321" t="inlineStr">
        <is>
          <t>JÖNKÖPINGS LÄN</t>
        </is>
      </c>
      <c r="G321" t="inlineStr">
        <is>
          <t>SÄVSJÖ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46235</v>
      </c>
      <c r="F322" t="inlineStr">
        <is>
          <t>JÖNKÖPINGS LÄN</t>
        </is>
      </c>
      <c r="G322" t="inlineStr">
        <is>
          <t>SÄVSJÖ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46235</v>
      </c>
      <c r="F323" t="inlineStr">
        <is>
          <t>JÖNKÖPINGS LÄN</t>
        </is>
      </c>
      <c r="G323" t="inlineStr">
        <is>
          <t>SÄVSJÖ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46235</v>
      </c>
      <c r="F324" t="inlineStr">
        <is>
          <t>JÖNKÖPINGS LÄN</t>
        </is>
      </c>
      <c r="G324" t="inlineStr">
        <is>
          <t>SÄVSJÖ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46235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44651</v>
      </c>
      <c r="E326" s="1" t="n">
        <v>46235</v>
      </c>
      <c r="F326" t="inlineStr">
        <is>
          <t>JÖNKÖPINGS LÄN</t>
        </is>
      </c>
      <c r="G326" t="inlineStr">
        <is>
          <t>SÄVSJÖ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46235</v>
      </c>
      <c r="F327" t="inlineStr">
        <is>
          <t>JÖNKÖPINGS LÄN</t>
        </is>
      </c>
      <c r="G327" t="inlineStr">
        <is>
          <t>SÄVSJÖ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46235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46235</v>
      </c>
      <c r="F329" t="inlineStr">
        <is>
          <t>JÖNKÖPINGS LÄN</t>
        </is>
      </c>
      <c r="G329" t="inlineStr">
        <is>
          <t>SÄVSJÖ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45226</v>
      </c>
      <c r="E330" s="1" t="n">
        <v>46235</v>
      </c>
      <c r="F330" t="inlineStr">
        <is>
          <t>JÖNKÖPINGS LÄN</t>
        </is>
      </c>
      <c r="G330" t="inlineStr">
        <is>
          <t>SÄVSJÖ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46235</v>
      </c>
      <c r="F331" t="inlineStr">
        <is>
          <t>JÖNKÖPINGS LÄN</t>
        </is>
      </c>
      <c r="G331" t="inlineStr">
        <is>
          <t>SÄVSJÖ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46235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46235</v>
      </c>
      <c r="F333" t="inlineStr">
        <is>
          <t>JÖNKÖPINGS LÄN</t>
        </is>
      </c>
      <c r="G333" t="inlineStr">
        <is>
          <t>SÄVSJÖ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45725</v>
      </c>
      <c r="E334" s="1" t="n">
        <v>46235</v>
      </c>
      <c r="F334" t="inlineStr">
        <is>
          <t>JÖNKÖPINGS LÄN</t>
        </is>
      </c>
      <c r="G334" t="inlineStr">
        <is>
          <t>SÄVSJÖ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46235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46235</v>
      </c>
      <c r="F336" t="inlineStr">
        <is>
          <t>JÖNKÖPINGS LÄN</t>
        </is>
      </c>
      <c r="G336" t="inlineStr">
        <is>
          <t>SÄVSJÖ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46235</v>
      </c>
      <c r="F337" t="inlineStr">
        <is>
          <t>JÖNKÖPINGS LÄN</t>
        </is>
      </c>
      <c r="G337" t="inlineStr">
        <is>
          <t>SÄVSJÖ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46235</v>
      </c>
      <c r="F338" t="inlineStr">
        <is>
          <t>JÖNKÖPINGS LÄN</t>
        </is>
      </c>
      <c r="G338" t="inlineStr">
        <is>
          <t>SÄVSJÖ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46235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45879</v>
      </c>
      <c r="E340" s="1" t="n">
        <v>46235</v>
      </c>
      <c r="F340" t="inlineStr">
        <is>
          <t>JÖNKÖPINGS LÄN</t>
        </is>
      </c>
      <c r="G340" t="inlineStr">
        <is>
          <t>SÄVSJÖ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60805-2024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45644</v>
      </c>
      <c r="E341" s="1" t="n">
        <v>46235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46235</v>
      </c>
      <c r="F342" t="inlineStr">
        <is>
          <t>JÖNKÖPINGS LÄN</t>
        </is>
      </c>
      <c r="G342" t="inlineStr">
        <is>
          <t>SÄVSJÖ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46235</v>
      </c>
      <c r="F343" t="inlineStr">
        <is>
          <t>JÖNKÖPINGS LÄN</t>
        </is>
      </c>
      <c r="G343" t="inlineStr">
        <is>
          <t>SÄVSJÖ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45301</v>
      </c>
      <c r="E344" s="1" t="n">
        <v>46235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46235</v>
      </c>
      <c r="F345" t="inlineStr">
        <is>
          <t>JÖNKÖPINGS LÄN</t>
        </is>
      </c>
      <c r="G345" t="inlineStr">
        <is>
          <t>SÄVSJÖ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46235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46235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46235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46235</v>
      </c>
      <c r="F349" t="inlineStr">
        <is>
          <t>JÖNKÖPINGS LÄN</t>
        </is>
      </c>
      <c r="G349" t="inlineStr">
        <is>
          <t>SÄVSJÖ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63679-2023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45275</v>
      </c>
      <c r="E350" s="1" t="n">
        <v>46235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45320</v>
      </c>
      <c r="E351" s="1" t="n">
        <v>46235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46235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46235</v>
      </c>
      <c r="F353" t="inlineStr">
        <is>
          <t>JÖNKÖPINGS LÄN</t>
        </is>
      </c>
      <c r="G353" t="inlineStr">
        <is>
          <t>SÄVSJÖ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46235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46235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38914-2024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45547</v>
      </c>
      <c r="E356" s="1" t="n">
        <v>46235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44838</v>
      </c>
      <c r="E357" s="1" t="n">
        <v>46235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55909-2024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45623</v>
      </c>
      <c r="E358" s="1" t="n">
        <v>46235</v>
      </c>
      <c r="F358" t="inlineStr">
        <is>
          <t>JÖNKÖPINGS LÄN</t>
        </is>
      </c>
      <c r="G358" t="inlineStr">
        <is>
          <t>SÄVSJÖ</t>
        </is>
      </c>
      <c r="H358" t="inlineStr">
        <is>
          <t>Kommuner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45733</v>
      </c>
      <c r="E359" s="1" t="n">
        <v>46235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46235</v>
      </c>
      <c r="F360" t="inlineStr">
        <is>
          <t>JÖNKÖPINGS LÄN</t>
        </is>
      </c>
      <c r="G360" t="inlineStr">
        <is>
          <t>SÄVSJÖ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46235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46235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46235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46235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46235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46235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46235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46235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46235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46235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46235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46235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46235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46235</v>
      </c>
      <c r="F374" t="inlineStr">
        <is>
          <t>JÖNKÖPINGS LÄN</t>
        </is>
      </c>
      <c r="G374" t="inlineStr">
        <is>
          <t>SÄVSJÖ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46235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46235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46235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46235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46235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46235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46235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46235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46235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46235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46235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46235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46235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46235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46235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46235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46235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46235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46235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46235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46235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46235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46235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46235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46235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46235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46235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46235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46235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46235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46235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46235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46235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2026-08-01T01:46:57Z</dcterms:created>
  <dcterms:modified xmlns:dcterms="http://purl.org/dc/terms/" xmlns:xsi="http://www.w3.org/2001/XMLSchema-instance" xsi:type="dcterms:W3CDTF">2026-08-01T01:46:58Z</dcterms:modified>
</cp:coreProperties>
</file>