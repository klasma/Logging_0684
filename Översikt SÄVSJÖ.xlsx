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46269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50816-2023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46269</v>
      </c>
      <c r="F4" t="inlineStr">
        <is>
          <t>JÖNKÖPINGS LÄN</t>
        </is>
      </c>
      <c r="G4" t="inlineStr">
        <is>
          <t>SÄVSJÖ</t>
        </is>
      </c>
      <c r="I4" t="n">
        <v>4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Praktvaxing
Sommarfibbla
Hagfingersvamp</t>
        </is>
      </c>
      <c r="W4">
        <f>HYPERLINK("https://klasma.github.io/Logging_0684/artfynd/A 50816-2023 artfynd.xlsx", "A 50816-2023")</f>
        <v/>
      </c>
      <c r="X4">
        <f>HYPERLINK("https://klasma.github.io/Logging_0684/kartor/A 50816-2023 karta.png", "A 50816-2023")</f>
        <v/>
      </c>
      <c r="Y4">
        <f>HYPERLINK("https://klasma.github.io/Logging_0684/kartor_geotiff/A 50816-2023 georefererad karta.tif", "A 50816-2023")</f>
        <v/>
      </c>
      <c r="AA4">
        <f>HYPERLINK("https://klasma.github.io/Logging_0684/klagomål/A 50816-2023 FSC-klagomål.docx", "A 50816-2023")</f>
        <v/>
      </c>
      <c r="AB4">
        <f>HYPERLINK("https://klasma.github.io/Logging_0684/klagomålsmail/A 50816-2023 FSC-klagomål mail.docx", "A 50816-2023")</f>
        <v/>
      </c>
      <c r="AC4">
        <f>HYPERLINK("https://klasma.github.io/Logging_0684/tillsyn/A 50816-2023 tillsynsbegäran.docx", "A 50816-2023")</f>
        <v/>
      </c>
      <c r="AD4">
        <f>HYPERLINK("https://klasma.github.io/Logging_0684/tillsynsmail/A 50816-2023 tillsynsbegäran mail.docx", "A 50816-2023")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46269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46269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46269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46269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10775-2025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45722</v>
      </c>
      <c r="E9" s="1" t="n">
        <v>46269</v>
      </c>
      <c r="F9" t="inlineStr">
        <is>
          <t>JÖNKÖPINGS LÄN</t>
        </is>
      </c>
      <c r="G9" t="inlineStr">
        <is>
          <t>SÄVSJÖ</t>
        </is>
      </c>
      <c r="I9" t="n">
        <v>10.1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10775-2025 artfynd.xlsx", "A 10775-2025")</f>
        <v/>
      </c>
      <c r="X9">
        <f>HYPERLINK("https://klasma.github.io/Logging_0684/kartor/A 10775-2025 karta.png", "A 10775-2025")</f>
        <v/>
      </c>
      <c r="Y9">
        <f>HYPERLINK("https://klasma.github.io/Logging_0684/kartor_geotiff/A 10775-2025 georefererad karta.tif", "A 10775-2025")</f>
        <v/>
      </c>
      <c r="AA9">
        <f>HYPERLINK("https://klasma.github.io/Logging_0684/klagomål/A 10775-2025 FSC-klagomål.docx", "A 10775-2025")</f>
        <v/>
      </c>
      <c r="AB9">
        <f>HYPERLINK("https://klasma.github.io/Logging_0684/klagomålsmail/A 10775-2025 FSC-klagomål mail.docx", "A 10775-2025")</f>
        <v/>
      </c>
      <c r="AC9">
        <f>HYPERLINK("https://klasma.github.io/Logging_0684/tillsyn/A 10775-2025 tillsynsbegäran.docx", "A 10775-2025")</f>
        <v/>
      </c>
      <c r="AD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46269</v>
      </c>
      <c r="F10" t="inlineStr">
        <is>
          <t>JÖNKÖPINGS LÄN</t>
        </is>
      </c>
      <c r="G10" t="inlineStr">
        <is>
          <t>SÄVSJÖ</t>
        </is>
      </c>
      <c r="I10" t="n">
        <v>8.6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HYPERLINK("https://klasma.github.io/Logging_0684/artfynd/A 10046-2025 artfynd.xlsx", "A 10046-2025")</f>
        <v/>
      </c>
      <c r="X10">
        <f>HYPERLINK("https://klasma.github.io/Logging_0684/kartor/A 10046-2025 karta.png", "A 10046-2025")</f>
        <v/>
      </c>
      <c r="Y10">
        <f>HYPERLINK("https://klasma.github.io/Logging_0684/kartor_geotiff/A 10046-2025 georefererad karta.tif", "A 10046-2025")</f>
        <v/>
      </c>
      <c r="AA10">
        <f>HYPERLINK("https://klasma.github.io/Logging_0684/klagomål/A 10046-2025 FSC-klagomål.docx", "A 10046-2025")</f>
        <v/>
      </c>
      <c r="AB10">
        <f>HYPERLINK("https://klasma.github.io/Logging_0684/klagomålsmail/A 10046-2025 FSC-klagomål mail.docx", "A 10046-2025")</f>
        <v/>
      </c>
      <c r="AC10">
        <f>HYPERLINK("https://klasma.github.io/Logging_0684/tillsyn/A 10046-2025 tillsynsbegäran.docx", "A 10046-2025")</f>
        <v/>
      </c>
      <c r="AD10">
        <f>HYPERLINK("https://klasma.github.io/Logging_0684/tillsynsmail/A 10046-2025 tillsynsbegäran mail.docx", "A 10046-2025")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46269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46269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46269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46269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46269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46269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46269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57846-2025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45981</v>
      </c>
      <c r="E18" s="1" t="n">
        <v>46269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Ask</t>
        </is>
      </c>
      <c r="W18">
        <f>HYPERLINK("https://klasma.github.io/Logging_0684/artfynd/A 57846-2025 artfynd.xlsx", "A 57846-2025")</f>
        <v/>
      </c>
      <c r="X18">
        <f>HYPERLINK("https://klasma.github.io/Logging_0684/kartor/A 57846-2025 karta.png", "A 57846-2025")</f>
        <v/>
      </c>
      <c r="Y18">
        <f>HYPERLINK("https://klasma.github.io/Logging_0684/kartor_geotiff/A 57846-2025 georefererad karta.tif", "A 57846-2025")</f>
        <v/>
      </c>
      <c r="AA18">
        <f>HYPERLINK("https://klasma.github.io/Logging_0684/klagomål/A 57846-2025 FSC-klagomål.docx", "A 57846-2025")</f>
        <v/>
      </c>
      <c r="AB18">
        <f>HYPERLINK("https://klasma.github.io/Logging_0684/klagomålsmail/A 57846-2025 FSC-klagomål mail.docx", "A 57846-2025")</f>
        <v/>
      </c>
      <c r="AC18">
        <f>HYPERLINK("https://klasma.github.io/Logging_0684/tillsyn/A 57846-2025 tillsynsbegäran.docx", "A 57846-2025")</f>
        <v/>
      </c>
      <c r="AD18">
        <f>HYPERLINK("https://klasma.github.io/Logging_0684/tillsynsmail/A 57846-2025 tillsynsbegäran mail.docx", "A 57846-2025")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46269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11797-2026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46269</v>
      </c>
      <c r="F20" t="inlineStr">
        <is>
          <t>JÖNKÖPINGS LÄN</t>
        </is>
      </c>
      <c r="G20" t="inlineStr">
        <is>
          <t>SÄVSJÖ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11797-2026 artfynd.xlsx", "A 11797-2026")</f>
        <v/>
      </c>
      <c r="X20">
        <f>HYPERLINK("https://klasma.github.io/Logging_0684/kartor/A 11797-2026 karta.png", "A 11797-2026")</f>
        <v/>
      </c>
      <c r="Y20">
        <f>HYPERLINK("https://klasma.github.io/Logging_0684/kartor_geotiff/A 11797-2026 georefererad karta.tif", "A 11797-2026")</f>
        <v/>
      </c>
      <c r="AA20">
        <f>HYPERLINK("https://klasma.github.io/Logging_0684/klagomål/A 11797-2026 FSC-klagomål.docx", "A 11797-2026")</f>
        <v/>
      </c>
      <c r="AB20">
        <f>HYPERLINK("https://klasma.github.io/Logging_0684/klagomålsmail/A 11797-2026 FSC-klagomål mail.docx", "A 11797-2026")</f>
        <v/>
      </c>
      <c r="AC20">
        <f>HYPERLINK("https://klasma.github.io/Logging_0684/tillsyn/A 11797-2026 tillsynsbegäran.docx", "A 11797-2026")</f>
        <v/>
      </c>
      <c r="AD20">
        <f>HYPERLINK("https://klasma.github.io/Logging_0684/tillsynsmail/A 11797-2026 tillsynsbegäran mail.docx", "A 11797-2026")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46269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61482-2024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45646</v>
      </c>
      <c r="E22" s="1" t="n">
        <v>46269</v>
      </c>
      <c r="F22" t="inlineStr">
        <is>
          <t>JÖNKÖPINGS LÄN</t>
        </is>
      </c>
      <c r="G22" t="inlineStr">
        <is>
          <t>SÄVSJÖ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61482-2024 artfynd.xlsx", "A 61482-2024")</f>
        <v/>
      </c>
      <c r="X22">
        <f>HYPERLINK("https://klasma.github.io/Logging_0684/kartor/A 61482-2024 karta.png", "A 61482-2024")</f>
        <v/>
      </c>
      <c r="Y22">
        <f>HYPERLINK("https://klasma.github.io/Logging_0684/kartor_geotiff/A 61482-2024 georefererad karta.tif", "A 61482-2024")</f>
        <v/>
      </c>
      <c r="AA22">
        <f>HYPERLINK("https://klasma.github.io/Logging_0684/klagomål/A 61482-2024 FSC-klagomål.docx", "A 61482-2024")</f>
        <v/>
      </c>
      <c r="AB22">
        <f>HYPERLINK("https://klasma.github.io/Logging_0684/klagomålsmail/A 61482-2024 FSC-klagomål mail.docx", "A 61482-2024")</f>
        <v/>
      </c>
      <c r="AC22">
        <f>HYPERLINK("https://klasma.github.io/Logging_0684/tillsyn/A 61482-2024 tillsynsbegäran.docx", "A 61482-2024")</f>
        <v/>
      </c>
      <c r="AD22">
        <f>HYPERLINK("https://klasma.github.io/Logging_0684/tillsynsmail/A 61482-2024 tillsynsbegäran mail.docx", "A 61482-2024")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46269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46269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46269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46269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46269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46269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46269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46269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46269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46269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46269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46269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46269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46269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46269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46269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46269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46269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46269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46269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44662</v>
      </c>
      <c r="E43" s="1" t="n">
        <v>46269</v>
      </c>
      <c r="F43" t="inlineStr">
        <is>
          <t>JÖNKÖPINGS LÄN</t>
        </is>
      </c>
      <c r="G43" t="inlineStr">
        <is>
          <t>SÄVSJÖ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15816-2022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44664</v>
      </c>
      <c r="E44" s="1" t="n">
        <v>46269</v>
      </c>
      <c r="F44" t="inlineStr">
        <is>
          <t>JÖNKÖPINGS LÄN</t>
        </is>
      </c>
      <c r="G44" t="inlineStr">
        <is>
          <t>SÄVSJÖ</t>
        </is>
      </c>
      <c r="H44" t="inlineStr">
        <is>
          <t>Kommuner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47542-2022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46269</v>
      </c>
      <c r="F45" t="inlineStr">
        <is>
          <t>JÖNKÖPINGS LÄN</t>
        </is>
      </c>
      <c r="G45" t="inlineStr">
        <is>
          <t>SÄVSJÖ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46269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44791</v>
      </c>
      <c r="E47" s="1" t="n">
        <v>46269</v>
      </c>
      <c r="F47" t="inlineStr">
        <is>
          <t>JÖNKÖPINGS LÄN</t>
        </is>
      </c>
      <c r="G47" t="inlineStr">
        <is>
          <t>SÄVSJÖ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46269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53364-2021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46269</v>
      </c>
      <c r="F49" t="inlineStr">
        <is>
          <t>JÖNKÖPINGS LÄN</t>
        </is>
      </c>
      <c r="G49" t="inlineStr">
        <is>
          <t>SÄVSJÖ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44789</v>
      </c>
      <c r="E50" s="1" t="n">
        <v>46269</v>
      </c>
      <c r="F50" t="inlineStr">
        <is>
          <t>JÖNKÖPINGS LÄN</t>
        </is>
      </c>
      <c r="G50" t="inlineStr">
        <is>
          <t>SÄVSJÖ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46269</v>
      </c>
      <c r="F51" t="inlineStr">
        <is>
          <t>JÖNKÖPINGS LÄN</t>
        </is>
      </c>
      <c r="G51" t="inlineStr">
        <is>
          <t>SÄVSJÖ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46269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46269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7762-2022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44608</v>
      </c>
      <c r="E54" s="1" t="n">
        <v>46269</v>
      </c>
      <c r="F54" t="inlineStr">
        <is>
          <t>JÖNKÖPINGS LÄN</t>
        </is>
      </c>
      <c r="G54" t="inlineStr">
        <is>
          <t>SÄVSJÖ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46269</v>
      </c>
      <c r="F55" t="inlineStr">
        <is>
          <t>JÖNKÖPINGS LÄN</t>
        </is>
      </c>
      <c r="G55" t="inlineStr">
        <is>
          <t>SÄVSJÖ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69927-2021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44533</v>
      </c>
      <c r="E56" s="1" t="n">
        <v>46269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71610-2021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44541</v>
      </c>
      <c r="E57" s="1" t="n">
        <v>46269</v>
      </c>
      <c r="F57" t="inlineStr">
        <is>
          <t>JÖNKÖPINGS LÄN</t>
        </is>
      </c>
      <c r="G57" t="inlineStr">
        <is>
          <t>SÄVSJÖ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45155-2022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44844</v>
      </c>
      <c r="E58" s="1" t="n">
        <v>46269</v>
      </c>
      <c r="F58" t="inlineStr">
        <is>
          <t>JÖNKÖPINGS LÄN</t>
        </is>
      </c>
      <c r="G58" t="inlineStr">
        <is>
          <t>SÄVSJÖ</t>
        </is>
      </c>
      <c r="H58" t="inlineStr">
        <is>
          <t>Sveaskog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46269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46269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44445</v>
      </c>
      <c r="E61" s="1" t="n">
        <v>46269</v>
      </c>
      <c r="F61" t="inlineStr">
        <is>
          <t>JÖNKÖPINGS LÄN</t>
        </is>
      </c>
      <c r="G61" t="inlineStr">
        <is>
          <t>SÄVSJÖ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44852</v>
      </c>
      <c r="E62" s="1" t="n">
        <v>46269</v>
      </c>
      <c r="F62" t="inlineStr">
        <is>
          <t>JÖNKÖPINGS LÄN</t>
        </is>
      </c>
      <c r="G62" t="inlineStr">
        <is>
          <t>SÄVSJÖ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20603-2022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44700</v>
      </c>
      <c r="E63" s="1" t="n">
        <v>46269</v>
      </c>
      <c r="F63" t="inlineStr">
        <is>
          <t>JÖNKÖPINGS LÄN</t>
        </is>
      </c>
      <c r="G63" t="inlineStr">
        <is>
          <t>SÄVSJÖ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66396-2021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44518</v>
      </c>
      <c r="E64" s="1" t="n">
        <v>46269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46269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42992-2022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44833</v>
      </c>
      <c r="E66" s="1" t="n">
        <v>46269</v>
      </c>
      <c r="F66" t="inlineStr">
        <is>
          <t>JÖNKÖPINGS LÄN</t>
        </is>
      </c>
      <c r="G66" t="inlineStr">
        <is>
          <t>SÄVSJÖ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44942</v>
      </c>
      <c r="E67" s="1" t="n">
        <v>46269</v>
      </c>
      <c r="F67" t="inlineStr">
        <is>
          <t>JÖNKÖPINGS LÄN</t>
        </is>
      </c>
      <c r="G67" t="inlineStr">
        <is>
          <t>SÄVSJÖ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48893-2023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46269</v>
      </c>
      <c r="F68" t="inlineStr">
        <is>
          <t>JÖNKÖPINGS LÄN</t>
        </is>
      </c>
      <c r="G68" t="inlineStr">
        <is>
          <t>SÄVSJÖ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46269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46269</v>
      </c>
      <c r="F70" t="inlineStr">
        <is>
          <t>JÖNKÖPINGS LÄN</t>
        </is>
      </c>
      <c r="G70" t="inlineStr">
        <is>
          <t>SÄVSJÖ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47405-2021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46269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46269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46269</v>
      </c>
      <c r="F73" t="inlineStr">
        <is>
          <t>JÖNKÖPINGS LÄN</t>
        </is>
      </c>
      <c r="G73" t="inlineStr">
        <is>
          <t>SÄVSJÖ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45541</v>
      </c>
      <c r="E74" s="1" t="n">
        <v>46269</v>
      </c>
      <c r="F74" t="inlineStr">
        <is>
          <t>JÖNKÖPINGS LÄN</t>
        </is>
      </c>
      <c r="G74" t="inlineStr">
        <is>
          <t>SÄVSJÖ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46269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20915-2023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45061</v>
      </c>
      <c r="E76" s="1" t="n">
        <v>46269</v>
      </c>
      <c r="F76" t="inlineStr">
        <is>
          <t>JÖNKÖPINGS LÄN</t>
        </is>
      </c>
      <c r="G76" t="inlineStr">
        <is>
          <t>SÄVSJÖ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45037</v>
      </c>
      <c r="E77" s="1" t="n">
        <v>46269</v>
      </c>
      <c r="F77" t="inlineStr">
        <is>
          <t>JÖNKÖPINGS LÄN</t>
        </is>
      </c>
      <c r="G77" t="inlineStr">
        <is>
          <t>SÄVSJÖ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46269</v>
      </c>
      <c r="F78" t="inlineStr">
        <is>
          <t>JÖNKÖPINGS LÄN</t>
        </is>
      </c>
      <c r="G78" t="inlineStr">
        <is>
          <t>SÄVSJÖ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46269</v>
      </c>
      <c r="F79" t="inlineStr">
        <is>
          <t>JÖNKÖPINGS LÄN</t>
        </is>
      </c>
      <c r="G79" t="inlineStr">
        <is>
          <t>SÄVSJÖ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45669</v>
      </c>
      <c r="E80" s="1" t="n">
        <v>46269</v>
      </c>
      <c r="F80" t="inlineStr">
        <is>
          <t>JÖNKÖPINGS LÄN</t>
        </is>
      </c>
      <c r="G80" t="inlineStr">
        <is>
          <t>SÄVSJÖ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46269</v>
      </c>
      <c r="F81" t="inlineStr">
        <is>
          <t>JÖNKÖPINGS LÄN</t>
        </is>
      </c>
      <c r="G81" t="inlineStr">
        <is>
          <t>SÄVSJÖ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46269</v>
      </c>
      <c r="F82" t="inlineStr">
        <is>
          <t>JÖNKÖPINGS LÄN</t>
        </is>
      </c>
      <c r="G82" t="inlineStr">
        <is>
          <t>SÄVSJÖ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46609-2023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46269</v>
      </c>
      <c r="F83" t="inlineStr">
        <is>
          <t>JÖNKÖPINGS LÄN</t>
        </is>
      </c>
      <c r="G83" t="inlineStr">
        <is>
          <t>SÄVSJÖ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45448</v>
      </c>
      <c r="E84" s="1" t="n">
        <v>46269</v>
      </c>
      <c r="F84" t="inlineStr">
        <is>
          <t>JÖNKÖPINGS LÄN</t>
        </is>
      </c>
      <c r="G84" t="inlineStr">
        <is>
          <t>SÄVSJÖ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46269</v>
      </c>
      <c r="F85" t="inlineStr">
        <is>
          <t>JÖNKÖPINGS LÄN</t>
        </is>
      </c>
      <c r="G85" t="inlineStr">
        <is>
          <t>SÄVSJÖ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45338</v>
      </c>
      <c r="E86" s="1" t="n">
        <v>46269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60805-2024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45644</v>
      </c>
      <c r="E87" s="1" t="n">
        <v>46269</v>
      </c>
      <c r="F87" t="inlineStr">
        <is>
          <t>JÖNKÖPINGS LÄN</t>
        </is>
      </c>
      <c r="G87" t="inlineStr">
        <is>
          <t>SÄVSJÖ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45414</v>
      </c>
      <c r="E88" s="1" t="n">
        <v>46269</v>
      </c>
      <c r="F88" t="inlineStr">
        <is>
          <t>JÖNKÖPINGS LÄN</t>
        </is>
      </c>
      <c r="G88" t="inlineStr">
        <is>
          <t>SÄVSJÖ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44781</v>
      </c>
      <c r="E89" s="1" t="n">
        <v>46269</v>
      </c>
      <c r="F89" t="inlineStr">
        <is>
          <t>JÖNKÖPINGS LÄN</t>
        </is>
      </c>
      <c r="G89" t="inlineStr">
        <is>
          <t>SÄVSJÖ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45698</v>
      </c>
      <c r="E90" s="1" t="n">
        <v>46269</v>
      </c>
      <c r="F90" t="inlineStr">
        <is>
          <t>JÖNKÖPINGS LÄN</t>
        </is>
      </c>
      <c r="G90" t="inlineStr">
        <is>
          <t>SÄVSJÖ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46269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45524</v>
      </c>
      <c r="E92" s="1" t="n">
        <v>46269</v>
      </c>
      <c r="F92" t="inlineStr">
        <is>
          <t>JÖNKÖPINGS LÄN</t>
        </is>
      </c>
      <c r="G92" t="inlineStr">
        <is>
          <t>SÄVSJÖ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46269</v>
      </c>
      <c r="F93" t="inlineStr">
        <is>
          <t>JÖNKÖPINGS LÄN</t>
        </is>
      </c>
      <c r="G93" t="inlineStr">
        <is>
          <t>SÄVSJÖ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46269</v>
      </c>
      <c r="F94" t="inlineStr">
        <is>
          <t>JÖNKÖPINGS LÄN</t>
        </is>
      </c>
      <c r="G94" t="inlineStr">
        <is>
          <t>SÄVSJÖ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46269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45611</v>
      </c>
      <c r="E96" s="1" t="n">
        <v>46269</v>
      </c>
      <c r="F96" t="inlineStr">
        <is>
          <t>JÖNKÖPINGS LÄN</t>
        </is>
      </c>
      <c r="G96" t="inlineStr">
        <is>
          <t>SÄVSJÖ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45791</v>
      </c>
      <c r="E97" s="1" t="n">
        <v>46269</v>
      </c>
      <c r="F97" t="inlineStr">
        <is>
          <t>JÖNKÖPINGS LÄN</t>
        </is>
      </c>
      <c r="G97" t="inlineStr">
        <is>
          <t>SÄVSJÖ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49449-2023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46269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46269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45448</v>
      </c>
      <c r="E100" s="1" t="n">
        <v>46269</v>
      </c>
      <c r="F100" t="inlineStr">
        <is>
          <t>JÖNKÖPINGS LÄN</t>
        </is>
      </c>
      <c r="G100" t="inlineStr">
        <is>
          <t>SÄVSJÖ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46269</v>
      </c>
      <c r="F101" t="inlineStr">
        <is>
          <t>JÖNKÖPINGS LÄN</t>
        </is>
      </c>
      <c r="G101" t="inlineStr">
        <is>
          <t>SÄVSJÖ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45733</v>
      </c>
      <c r="E102" s="1" t="n">
        <v>46269</v>
      </c>
      <c r="F102" t="inlineStr">
        <is>
          <t>JÖNKÖPINGS LÄN</t>
        </is>
      </c>
      <c r="G102" t="inlineStr">
        <is>
          <t>SÄVSJÖ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12804-2025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45733</v>
      </c>
      <c r="E103" s="1" t="n">
        <v>46269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45593</v>
      </c>
      <c r="E104" s="1" t="n">
        <v>46269</v>
      </c>
      <c r="F104" t="inlineStr">
        <is>
          <t>JÖNKÖPINGS LÄN</t>
        </is>
      </c>
      <c r="G104" t="inlineStr">
        <is>
          <t>SÄVSJÖ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45106</v>
      </c>
      <c r="E105" s="1" t="n">
        <v>46269</v>
      </c>
      <c r="F105" t="inlineStr">
        <is>
          <t>JÖNKÖPINGS LÄN</t>
        </is>
      </c>
      <c r="G105" t="inlineStr">
        <is>
          <t>SÄVSJÖ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45623</v>
      </c>
      <c r="E106" s="1" t="n">
        <v>46269</v>
      </c>
      <c r="F106" t="inlineStr">
        <is>
          <t>JÖNKÖPINGS LÄN</t>
        </is>
      </c>
      <c r="G106" t="inlineStr">
        <is>
          <t>SÄVSJÖ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46269</v>
      </c>
      <c r="F107" t="inlineStr">
        <is>
          <t>JÖNKÖPINGS LÄN</t>
        </is>
      </c>
      <c r="G107" t="inlineStr">
        <is>
          <t>SÄVSJÖ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46269</v>
      </c>
      <c r="F108" t="inlineStr">
        <is>
          <t>JÖNKÖPINGS LÄN</t>
        </is>
      </c>
      <c r="G108" t="inlineStr">
        <is>
          <t>SÄVSJÖ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46269</v>
      </c>
      <c r="F109" t="inlineStr">
        <is>
          <t>JÖNKÖPINGS LÄN</t>
        </is>
      </c>
      <c r="G109" t="inlineStr">
        <is>
          <t>SÄVSJÖ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46269</v>
      </c>
      <c r="F110" t="inlineStr">
        <is>
          <t>JÖNKÖPINGS LÄN</t>
        </is>
      </c>
      <c r="G110" t="inlineStr">
        <is>
          <t>SÄVSJÖ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46269</v>
      </c>
      <c r="F111" t="inlineStr">
        <is>
          <t>JÖNKÖPINGS LÄN</t>
        </is>
      </c>
      <c r="G111" t="inlineStr">
        <is>
          <t>SÄVSJÖ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46269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45671</v>
      </c>
      <c r="E113" s="1" t="n">
        <v>46269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46269</v>
      </c>
      <c r="F114" t="inlineStr">
        <is>
          <t>JÖNKÖPINGS LÄN</t>
        </is>
      </c>
      <c r="G114" t="inlineStr">
        <is>
          <t>SÄVSJÖ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46269</v>
      </c>
      <c r="F115" t="inlineStr">
        <is>
          <t>JÖNKÖPINGS LÄN</t>
        </is>
      </c>
      <c r="G115" t="inlineStr">
        <is>
          <t>SÄVSJÖ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51795-2022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46269</v>
      </c>
      <c r="F116" t="inlineStr">
        <is>
          <t>JÖNKÖPINGS LÄN</t>
        </is>
      </c>
      <c r="G116" t="inlineStr">
        <is>
          <t>SÄVSJÖ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7285-2023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44970</v>
      </c>
      <c r="E117" s="1" t="n">
        <v>46269</v>
      </c>
      <c r="F117" t="inlineStr">
        <is>
          <t>JÖNKÖPINGS LÄN</t>
        </is>
      </c>
      <c r="G117" t="inlineStr">
        <is>
          <t>SÄVSJÖ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45679</v>
      </c>
      <c r="E118" s="1" t="n">
        <v>46269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46269</v>
      </c>
      <c r="F119" t="inlineStr">
        <is>
          <t>JÖNKÖPINGS LÄN</t>
        </is>
      </c>
      <c r="G119" t="inlineStr">
        <is>
          <t>SÄVSJÖ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44883</v>
      </c>
      <c r="E120" s="1" t="n">
        <v>46269</v>
      </c>
      <c r="F120" t="inlineStr">
        <is>
          <t>JÖNKÖPINGS LÄN</t>
        </is>
      </c>
      <c r="G120" t="inlineStr">
        <is>
          <t>SÄVSJÖ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46269</v>
      </c>
      <c r="F121" t="inlineStr">
        <is>
          <t>JÖNKÖPINGS LÄN</t>
        </is>
      </c>
      <c r="G121" t="inlineStr">
        <is>
          <t>SÄVSJÖ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46269</v>
      </c>
      <c r="F122" t="inlineStr">
        <is>
          <t>JÖNKÖPINGS LÄN</t>
        </is>
      </c>
      <c r="G122" t="inlineStr">
        <is>
          <t>SÄVSJÖ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46269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46269</v>
      </c>
      <c r="F124" t="inlineStr">
        <is>
          <t>JÖNKÖPINGS LÄN</t>
        </is>
      </c>
      <c r="G124" t="inlineStr">
        <is>
          <t>SÄVSJÖ</t>
        </is>
      </c>
      <c r="H124" t="inlineStr">
        <is>
          <t>Kyrkan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46269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45634</v>
      </c>
      <c r="E126" s="1" t="n">
        <v>46269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45160</v>
      </c>
      <c r="E127" s="1" t="n">
        <v>46269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29386-2025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46269</v>
      </c>
      <c r="F128" t="inlineStr">
        <is>
          <t>JÖNKÖPINGS LÄN</t>
        </is>
      </c>
      <c r="G128" t="inlineStr">
        <is>
          <t>SÄVSJÖ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46269</v>
      </c>
      <c r="F129" t="inlineStr">
        <is>
          <t>JÖNKÖPINGS LÄN</t>
        </is>
      </c>
      <c r="G129" t="inlineStr">
        <is>
          <t>SÄVSJÖ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46269</v>
      </c>
      <c r="F130" t="inlineStr">
        <is>
          <t>JÖNKÖPINGS LÄN</t>
        </is>
      </c>
      <c r="G130" t="inlineStr">
        <is>
          <t>SÄVSJÖ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45455</v>
      </c>
      <c r="E131" s="1" t="n">
        <v>46269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46269</v>
      </c>
      <c r="F132" t="inlineStr">
        <is>
          <t>JÖNKÖPINGS LÄN</t>
        </is>
      </c>
      <c r="G132" t="inlineStr">
        <is>
          <t>SÄVSJÖ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55258-2021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46269</v>
      </c>
      <c r="F133" t="inlineStr">
        <is>
          <t>JÖNKÖPINGS LÄN</t>
        </is>
      </c>
      <c r="G133" t="inlineStr">
        <is>
          <t>SÄVSJÖ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44951</v>
      </c>
      <c r="E134" s="1" t="n">
        <v>46269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46269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46269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46269</v>
      </c>
      <c r="F137" t="inlineStr">
        <is>
          <t>JÖNKÖPINGS LÄN</t>
        </is>
      </c>
      <c r="G137" t="inlineStr">
        <is>
          <t>SÄVSJÖ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45067</v>
      </c>
      <c r="E138" s="1" t="n">
        <v>46269</v>
      </c>
      <c r="F138" t="inlineStr">
        <is>
          <t>JÖNKÖPINGS LÄN</t>
        </is>
      </c>
      <c r="G138" t="inlineStr">
        <is>
          <t>SÄVSJÖ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46269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46269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61545-2021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44501</v>
      </c>
      <c r="E141" s="1" t="n">
        <v>46269</v>
      </c>
      <c r="F141" t="inlineStr">
        <is>
          <t>JÖNKÖPINGS LÄN</t>
        </is>
      </c>
      <c r="G141" t="inlineStr">
        <is>
          <t>SÄVSJÖ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46269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19019-2025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45764</v>
      </c>
      <c r="E143" s="1" t="n">
        <v>46269</v>
      </c>
      <c r="F143" t="inlineStr">
        <is>
          <t>JÖNKÖPINGS LÄN</t>
        </is>
      </c>
      <c r="G143" t="inlineStr">
        <is>
          <t>SÄVSJÖ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46269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45704</v>
      </c>
      <c r="E145" s="1" t="n">
        <v>46269</v>
      </c>
      <c r="F145" t="inlineStr">
        <is>
          <t>JÖNKÖPINGS LÄN</t>
        </is>
      </c>
      <c r="G145" t="inlineStr">
        <is>
          <t>SÄVSJÖ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45839</v>
      </c>
      <c r="E146" s="1" t="n">
        <v>46269</v>
      </c>
      <c r="F146" t="inlineStr">
        <is>
          <t>JÖNKÖPINGS LÄN</t>
        </is>
      </c>
      <c r="G146" t="inlineStr">
        <is>
          <t>SÄVSJÖ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46269</v>
      </c>
      <c r="F147" t="inlineStr">
        <is>
          <t>JÖNKÖPINGS LÄN</t>
        </is>
      </c>
      <c r="G147" t="inlineStr">
        <is>
          <t>SÄVSJÖ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45695</v>
      </c>
      <c r="E148" s="1" t="n">
        <v>46269</v>
      </c>
      <c r="F148" t="inlineStr">
        <is>
          <t>JÖNKÖPINGS LÄN</t>
        </is>
      </c>
      <c r="G148" t="inlineStr">
        <is>
          <t>SÄVSJÖ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46269</v>
      </c>
      <c r="F149" t="inlineStr">
        <is>
          <t>JÖNKÖPINGS LÄN</t>
        </is>
      </c>
      <c r="G149" t="inlineStr">
        <is>
          <t>SÄVSJÖ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46269</v>
      </c>
      <c r="F150" t="inlineStr">
        <is>
          <t>JÖNKÖPINGS LÄN</t>
        </is>
      </c>
      <c r="G150" t="inlineStr">
        <is>
          <t>SÄVSJÖ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46269</v>
      </c>
      <c r="F151" t="inlineStr">
        <is>
          <t>JÖNKÖPINGS LÄN</t>
        </is>
      </c>
      <c r="G151" t="inlineStr">
        <is>
          <t>SÄVSJÖ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45768</v>
      </c>
      <c r="E152" s="1" t="n">
        <v>46269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46269</v>
      </c>
      <c r="F153" t="inlineStr">
        <is>
          <t>JÖNKÖPINGS LÄN</t>
        </is>
      </c>
      <c r="G153" t="inlineStr">
        <is>
          <t>SÄVSJÖ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46269</v>
      </c>
      <c r="F154" t="inlineStr">
        <is>
          <t>JÖNKÖPINGS LÄN</t>
        </is>
      </c>
      <c r="G154" t="inlineStr">
        <is>
          <t>SÄVSJÖ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17679-2024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46269</v>
      </c>
      <c r="F155" t="inlineStr">
        <is>
          <t>JÖNKÖPINGS LÄN</t>
        </is>
      </c>
      <c r="G155" t="inlineStr">
        <is>
          <t>SÄVSJÖ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36390-2024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45534</v>
      </c>
      <c r="E156" s="1" t="n">
        <v>46269</v>
      </c>
      <c r="F156" t="inlineStr">
        <is>
          <t>JÖNKÖPINGS LÄN</t>
        </is>
      </c>
      <c r="G156" t="inlineStr">
        <is>
          <t>SÄVSJÖ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46269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50627-2022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44866</v>
      </c>
      <c r="E158" s="1" t="n">
        <v>46269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46269</v>
      </c>
      <c r="F159" t="inlineStr">
        <is>
          <t>JÖNKÖPINGS LÄN</t>
        </is>
      </c>
      <c r="G159" t="inlineStr">
        <is>
          <t>SÄVSJÖ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54827-2021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44474</v>
      </c>
      <c r="E160" s="1" t="n">
        <v>46269</v>
      </c>
      <c r="F160" t="inlineStr">
        <is>
          <t>JÖNKÖPINGS LÄN</t>
        </is>
      </c>
      <c r="G160" t="inlineStr">
        <is>
          <t>SÄVSJÖ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46269</v>
      </c>
      <c r="F161" t="inlineStr">
        <is>
          <t>JÖNKÖPINGS LÄN</t>
        </is>
      </c>
      <c r="G161" t="inlineStr">
        <is>
          <t>SÄVSJÖ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30162-2023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45110</v>
      </c>
      <c r="E162" s="1" t="n">
        <v>46269</v>
      </c>
      <c r="F162" t="inlineStr">
        <is>
          <t>JÖNKÖPINGS LÄN</t>
        </is>
      </c>
      <c r="G162" t="inlineStr">
        <is>
          <t>SÄVSJÖ</t>
        </is>
      </c>
      <c r="H162" t="inlineStr">
        <is>
          <t>Kommuner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44833</v>
      </c>
      <c r="E163" s="1" t="n">
        <v>46269</v>
      </c>
      <c r="F163" t="inlineStr">
        <is>
          <t>JÖNKÖPINGS LÄN</t>
        </is>
      </c>
      <c r="G163" t="inlineStr">
        <is>
          <t>SÄVSJÖ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45660</v>
      </c>
      <c r="E164" s="1" t="n">
        <v>46269</v>
      </c>
      <c r="F164" t="inlineStr">
        <is>
          <t>JÖNKÖPINGS LÄN</t>
        </is>
      </c>
      <c r="G164" t="inlineStr">
        <is>
          <t>SÄVSJÖ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45111</v>
      </c>
      <c r="E165" s="1" t="n">
        <v>46269</v>
      </c>
      <c r="F165" t="inlineStr">
        <is>
          <t>JÖNKÖPINGS LÄN</t>
        </is>
      </c>
      <c r="G165" t="inlineStr">
        <is>
          <t>SÄVSJÖ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46269</v>
      </c>
      <c r="F166" t="inlineStr">
        <is>
          <t>JÖNKÖPINGS LÄN</t>
        </is>
      </c>
      <c r="G166" t="inlineStr">
        <is>
          <t>SÄVSJÖ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45029</v>
      </c>
      <c r="E167" s="1" t="n">
        <v>46269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45267</v>
      </c>
      <c r="E168" s="1" t="n">
        <v>46269</v>
      </c>
      <c r="F168" t="inlineStr">
        <is>
          <t>JÖNKÖPINGS LÄN</t>
        </is>
      </c>
      <c r="G168" t="inlineStr">
        <is>
          <t>SÄVSJÖ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46269</v>
      </c>
      <c r="F169" t="inlineStr">
        <is>
          <t>JÖNKÖPINGS LÄN</t>
        </is>
      </c>
      <c r="G169" t="inlineStr">
        <is>
          <t>SÄVSJÖ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45433</v>
      </c>
      <c r="E170" s="1" t="n">
        <v>46269</v>
      </c>
      <c r="F170" t="inlineStr">
        <is>
          <t>JÖNKÖPINGS LÄN</t>
        </is>
      </c>
      <c r="G170" t="inlineStr">
        <is>
          <t>SÄVSJÖ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21788-2023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45066</v>
      </c>
      <c r="E171" s="1" t="n">
        <v>46269</v>
      </c>
      <c r="F171" t="inlineStr">
        <is>
          <t>JÖNKÖPINGS LÄN</t>
        </is>
      </c>
      <c r="G171" t="inlineStr">
        <is>
          <t>SÄVSJÖ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18978-2024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45427</v>
      </c>
      <c r="E172" s="1" t="n">
        <v>46269</v>
      </c>
      <c r="F172" t="inlineStr">
        <is>
          <t>JÖNKÖPINGS LÄN</t>
        </is>
      </c>
      <c r="G172" t="inlineStr">
        <is>
          <t>SÄVSJÖ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45001</v>
      </c>
      <c r="E173" s="1" t="n">
        <v>46269</v>
      </c>
      <c r="F173" t="inlineStr">
        <is>
          <t>JÖNKÖPINGS LÄN</t>
        </is>
      </c>
      <c r="G173" t="inlineStr">
        <is>
          <t>SÄVSJÖ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45127</v>
      </c>
      <c r="E174" s="1" t="n">
        <v>46269</v>
      </c>
      <c r="F174" t="inlineStr">
        <is>
          <t>JÖNKÖPINGS LÄN</t>
        </is>
      </c>
      <c r="G174" t="inlineStr">
        <is>
          <t>SÄVSJÖ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46269</v>
      </c>
      <c r="F175" t="inlineStr">
        <is>
          <t>JÖNKÖPINGS LÄN</t>
        </is>
      </c>
      <c r="G175" t="inlineStr">
        <is>
          <t>SÄVSJÖ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46269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45086</v>
      </c>
      <c r="E177" s="1" t="n">
        <v>46269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44590</v>
      </c>
      <c r="E178" s="1" t="n">
        <v>46269</v>
      </c>
      <c r="F178" t="inlineStr">
        <is>
          <t>JÖNKÖPINGS LÄN</t>
        </is>
      </c>
      <c r="G178" t="inlineStr">
        <is>
          <t>SÄVSJÖ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46269</v>
      </c>
      <c r="F179" t="inlineStr">
        <is>
          <t>JÖNKÖPINGS LÄN</t>
        </is>
      </c>
      <c r="G179" t="inlineStr">
        <is>
          <t>SÄVSJÖ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45094</v>
      </c>
      <c r="E180" s="1" t="n">
        <v>46269</v>
      </c>
      <c r="F180" t="inlineStr">
        <is>
          <t>JÖNKÖPINGS LÄN</t>
        </is>
      </c>
      <c r="G180" t="inlineStr">
        <is>
          <t>SÄVSJÖ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46269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45320</v>
      </c>
      <c r="E182" s="1" t="n">
        <v>46269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44826</v>
      </c>
      <c r="E183" s="1" t="n">
        <v>46269</v>
      </c>
      <c r="F183" t="inlineStr">
        <is>
          <t>JÖNKÖPINGS LÄN</t>
        </is>
      </c>
      <c r="G183" t="inlineStr">
        <is>
          <t>SÄVSJÖ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45094</v>
      </c>
      <c r="E184" s="1" t="n">
        <v>46269</v>
      </c>
      <c r="F184" t="inlineStr">
        <is>
          <t>JÖNKÖPINGS LÄN</t>
        </is>
      </c>
      <c r="G184" t="inlineStr">
        <is>
          <t>SÄVSJÖ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29009-2023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46269</v>
      </c>
      <c r="F185" t="inlineStr">
        <is>
          <t>JÖNKÖPINGS LÄN</t>
        </is>
      </c>
      <c r="G185" t="inlineStr">
        <is>
          <t>SÄVSJÖ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46269</v>
      </c>
      <c r="F186" t="inlineStr">
        <is>
          <t>JÖNKÖPINGS LÄN</t>
        </is>
      </c>
      <c r="G186" t="inlineStr">
        <is>
          <t>SÄVSJÖ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64126-2021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44510</v>
      </c>
      <c r="E187" s="1" t="n">
        <v>46269</v>
      </c>
      <c r="F187" t="inlineStr">
        <is>
          <t>JÖNKÖPINGS LÄN</t>
        </is>
      </c>
      <c r="G187" t="inlineStr">
        <is>
          <t>SÄVSJÖ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44651</v>
      </c>
      <c r="E188" s="1" t="n">
        <v>46269</v>
      </c>
      <c r="F188" t="inlineStr">
        <is>
          <t>JÖNKÖPINGS LÄN</t>
        </is>
      </c>
      <c r="G188" t="inlineStr">
        <is>
          <t>SÄVSJÖ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46269</v>
      </c>
      <c r="F189" t="inlineStr">
        <is>
          <t>JÖNKÖPINGS LÄN</t>
        </is>
      </c>
      <c r="G189" t="inlineStr">
        <is>
          <t>SÄVSJÖ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46269</v>
      </c>
      <c r="F190" t="inlineStr">
        <is>
          <t>JÖNKÖPINGS LÄN</t>
        </is>
      </c>
      <c r="G190" t="inlineStr">
        <is>
          <t>SÄVSJÖ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46269</v>
      </c>
      <c r="F191" t="inlineStr">
        <is>
          <t>JÖNKÖPINGS LÄN</t>
        </is>
      </c>
      <c r="G191" t="inlineStr">
        <is>
          <t>SÄVSJÖ</t>
        </is>
      </c>
      <c r="H191" t="inlineStr">
        <is>
          <t>Kyrkan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46269</v>
      </c>
      <c r="F192" t="inlineStr">
        <is>
          <t>JÖNKÖPINGS LÄN</t>
        </is>
      </c>
      <c r="G192" t="inlineStr">
        <is>
          <t>SÄVSJÖ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45315</v>
      </c>
      <c r="E193" s="1" t="n">
        <v>46269</v>
      </c>
      <c r="F193" t="inlineStr">
        <is>
          <t>JÖNKÖPINGS LÄN</t>
        </is>
      </c>
      <c r="G193" t="inlineStr">
        <is>
          <t>SÄVSJÖ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46269</v>
      </c>
      <c r="F194" t="inlineStr">
        <is>
          <t>JÖNKÖPINGS LÄN</t>
        </is>
      </c>
      <c r="G194" t="inlineStr">
        <is>
          <t>SÄVSJÖ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62961-2021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44505</v>
      </c>
      <c r="E195" s="1" t="n">
        <v>46269</v>
      </c>
      <c r="F195" t="inlineStr">
        <is>
          <t>JÖNKÖPINGS LÄN</t>
        </is>
      </c>
      <c r="G195" t="inlineStr">
        <is>
          <t>SÄVSJÖ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42394-2022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46269</v>
      </c>
      <c r="F196" t="inlineStr">
        <is>
          <t>JÖNKÖPINGS LÄN</t>
        </is>
      </c>
      <c r="G196" t="inlineStr">
        <is>
          <t>SÄVSJÖ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45302</v>
      </c>
      <c r="E197" s="1" t="n">
        <v>46269</v>
      </c>
      <c r="F197" t="inlineStr">
        <is>
          <t>JÖNKÖPINGS LÄN</t>
        </is>
      </c>
      <c r="G197" t="inlineStr">
        <is>
          <t>SÄVSJÖ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45371</v>
      </c>
      <c r="E198" s="1" t="n">
        <v>46269</v>
      </c>
      <c r="F198" t="inlineStr">
        <is>
          <t>JÖNKÖPINGS LÄN</t>
        </is>
      </c>
      <c r="G198" t="inlineStr">
        <is>
          <t>SÄVSJÖ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38505-2025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46269</v>
      </c>
      <c r="F199" t="inlineStr">
        <is>
          <t>JÖNKÖPINGS LÄN</t>
        </is>
      </c>
      <c r="G199" t="inlineStr">
        <is>
          <t>SÄVSJÖ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46269</v>
      </c>
      <c r="F200" t="inlineStr">
        <is>
          <t>JÖNKÖPINGS LÄN</t>
        </is>
      </c>
      <c r="G200" t="inlineStr">
        <is>
          <t>SÄVSJÖ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30162-2023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45110</v>
      </c>
      <c r="E201" s="1" t="n">
        <v>46269</v>
      </c>
      <c r="F201" t="inlineStr">
        <is>
          <t>JÖNKÖPINGS LÄN</t>
        </is>
      </c>
      <c r="G201" t="inlineStr">
        <is>
          <t>SÄVSJÖ</t>
        </is>
      </c>
      <c r="H201" t="inlineStr">
        <is>
          <t>Kommuner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45146</v>
      </c>
      <c r="E202" s="1" t="n">
        <v>46269</v>
      </c>
      <c r="F202" t="inlineStr">
        <is>
          <t>JÖNKÖPINGS LÄN</t>
        </is>
      </c>
      <c r="G202" t="inlineStr">
        <is>
          <t>SÄVSJÖ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46269</v>
      </c>
      <c r="F203" t="inlineStr">
        <is>
          <t>JÖNKÖPINGS LÄN</t>
        </is>
      </c>
      <c r="G203" t="inlineStr">
        <is>
          <t>SÄVSJÖ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46269</v>
      </c>
      <c r="F204" t="inlineStr">
        <is>
          <t>JÖNKÖPINGS LÄN</t>
        </is>
      </c>
      <c r="G204" t="inlineStr">
        <is>
          <t>SÄVSJÖ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46269</v>
      </c>
      <c r="F205" t="inlineStr">
        <is>
          <t>JÖNKÖPINGS LÄN</t>
        </is>
      </c>
      <c r="G205" t="inlineStr">
        <is>
          <t>SÄVSJÖ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46269</v>
      </c>
      <c r="F206" t="inlineStr">
        <is>
          <t>JÖNKÖPINGS LÄN</t>
        </is>
      </c>
      <c r="G206" t="inlineStr">
        <is>
          <t>SÄVSJÖ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45879</v>
      </c>
      <c r="E207" s="1" t="n">
        <v>46269</v>
      </c>
      <c r="F207" t="inlineStr">
        <is>
          <t>JÖNKÖPINGS LÄN</t>
        </is>
      </c>
      <c r="G207" t="inlineStr">
        <is>
          <t>SÄVSJÖ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45166</v>
      </c>
      <c r="E208" s="1" t="n">
        <v>46269</v>
      </c>
      <c r="F208" t="inlineStr">
        <is>
          <t>JÖNKÖPINGS LÄN</t>
        </is>
      </c>
      <c r="G208" t="inlineStr">
        <is>
          <t>SÄVSJÖ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46269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46269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45247</v>
      </c>
      <c r="E211" s="1" t="n">
        <v>46269</v>
      </c>
      <c r="F211" t="inlineStr">
        <is>
          <t>JÖNKÖPINGS LÄN</t>
        </is>
      </c>
      <c r="G211" t="inlineStr">
        <is>
          <t>SÄVSJÖ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46269</v>
      </c>
      <c r="F212" t="inlineStr">
        <is>
          <t>JÖNKÖPINGS LÄN</t>
        </is>
      </c>
      <c r="G212" t="inlineStr">
        <is>
          <t>SÄVSJÖ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46269</v>
      </c>
      <c r="F213" t="inlineStr">
        <is>
          <t>JÖNKÖPINGS LÄN</t>
        </is>
      </c>
      <c r="G213" t="inlineStr">
        <is>
          <t>SÄVSJÖ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46269</v>
      </c>
      <c r="F214" t="inlineStr">
        <is>
          <t>JÖNKÖPINGS LÄN</t>
        </is>
      </c>
      <c r="G214" t="inlineStr">
        <is>
          <t>SÄVSJÖ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907-2024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45301</v>
      </c>
      <c r="E215" s="1" t="n">
        <v>46269</v>
      </c>
      <c r="F215" t="inlineStr">
        <is>
          <t>JÖNKÖPINGS LÄN</t>
        </is>
      </c>
      <c r="G215" t="inlineStr">
        <is>
          <t>SÄVSJÖ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46269</v>
      </c>
      <c r="F216" t="inlineStr">
        <is>
          <t>JÖNKÖPINGS LÄN</t>
        </is>
      </c>
      <c r="G216" t="inlineStr">
        <is>
          <t>SÄVSJÖ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46269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46269</v>
      </c>
      <c r="F218" t="inlineStr">
        <is>
          <t>JÖNKÖPINGS LÄN</t>
        </is>
      </c>
      <c r="G218" t="inlineStr">
        <is>
          <t>SÄVSJÖ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46269</v>
      </c>
      <c r="F219" t="inlineStr">
        <is>
          <t>JÖNKÖPINGS LÄN</t>
        </is>
      </c>
      <c r="G219" t="inlineStr">
        <is>
          <t>SÄVSJÖ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45104</v>
      </c>
      <c r="E220" s="1" t="n">
        <v>46269</v>
      </c>
      <c r="F220" t="inlineStr">
        <is>
          <t>JÖNKÖPINGS LÄN</t>
        </is>
      </c>
      <c r="G220" t="inlineStr">
        <is>
          <t>SÄVSJÖ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44988</v>
      </c>
      <c r="E221" s="1" t="n">
        <v>46269</v>
      </c>
      <c r="F221" t="inlineStr">
        <is>
          <t>JÖNKÖPINGS LÄN</t>
        </is>
      </c>
      <c r="G221" t="inlineStr">
        <is>
          <t>SÄVSJÖ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55801-2021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44476</v>
      </c>
      <c r="E222" s="1" t="n">
        <v>46269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46269</v>
      </c>
      <c r="F223" t="inlineStr">
        <is>
          <t>JÖNKÖPINGS LÄN</t>
        </is>
      </c>
      <c r="G223" t="inlineStr">
        <is>
          <t>SÄVSJÖ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46269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46269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33154-2024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45518</v>
      </c>
      <c r="E226" s="1" t="n">
        <v>46269</v>
      </c>
      <c r="F226" t="inlineStr">
        <is>
          <t>JÖNKÖPINGS LÄN</t>
        </is>
      </c>
      <c r="G226" t="inlineStr">
        <is>
          <t>SÄVSJÖ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40552-2023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45170</v>
      </c>
      <c r="E227" s="1" t="n">
        <v>46269</v>
      </c>
      <c r="F227" t="inlineStr">
        <is>
          <t>JÖNKÖPINGS LÄN</t>
        </is>
      </c>
      <c r="G227" t="inlineStr">
        <is>
          <t>SÄVSJÖ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45607</v>
      </c>
      <c r="E228" s="1" t="n">
        <v>46269</v>
      </c>
      <c r="F228" t="inlineStr">
        <is>
          <t>JÖNKÖPINGS LÄN</t>
        </is>
      </c>
      <c r="G228" t="inlineStr">
        <is>
          <t>SÄVSJÖ</t>
        </is>
      </c>
      <c r="H228" t="inlineStr">
        <is>
          <t>Övriga Aktiebolag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45040</v>
      </c>
      <c r="E229" s="1" t="n">
        <v>46269</v>
      </c>
      <c r="F229" t="inlineStr">
        <is>
          <t>JÖNKÖPINGS LÄN</t>
        </is>
      </c>
      <c r="G229" t="inlineStr">
        <is>
          <t>SÄVSJÖ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46269</v>
      </c>
      <c r="F230" t="inlineStr">
        <is>
          <t>JÖNKÖPINGS LÄN</t>
        </is>
      </c>
      <c r="G230" t="inlineStr">
        <is>
          <t>SÄVSJÖ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45758</v>
      </c>
      <c r="E231" s="1" t="n">
        <v>46269</v>
      </c>
      <c r="F231" t="inlineStr">
        <is>
          <t>JÖNKÖPINGS LÄN</t>
        </is>
      </c>
      <c r="G231" t="inlineStr">
        <is>
          <t>SÄVSJÖ</t>
        </is>
      </c>
      <c r="H231" t="inlineStr">
        <is>
          <t>Kyrkan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45534</v>
      </c>
      <c r="E232" s="1" t="n">
        <v>46269</v>
      </c>
      <c r="F232" t="inlineStr">
        <is>
          <t>JÖNKÖPINGS LÄN</t>
        </is>
      </c>
      <c r="G232" t="inlineStr">
        <is>
          <t>SÄVSJÖ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46269</v>
      </c>
      <c r="F233" t="inlineStr">
        <is>
          <t>JÖNKÖPINGS LÄN</t>
        </is>
      </c>
      <c r="G233" t="inlineStr">
        <is>
          <t>SÄVSJÖ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46269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45355</v>
      </c>
      <c r="E235" s="1" t="n">
        <v>46269</v>
      </c>
      <c r="F235" t="inlineStr">
        <is>
          <t>JÖNKÖPINGS LÄN</t>
        </is>
      </c>
      <c r="G235" t="inlineStr">
        <is>
          <t>SÄVSJÖ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46269</v>
      </c>
      <c r="F236" t="inlineStr">
        <is>
          <t>JÖNKÖPINGS LÄN</t>
        </is>
      </c>
      <c r="G236" t="inlineStr">
        <is>
          <t>SÄVSJÖ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44957</v>
      </c>
      <c r="E237" s="1" t="n">
        <v>46269</v>
      </c>
      <c r="F237" t="inlineStr">
        <is>
          <t>JÖNKÖPINGS LÄN</t>
        </is>
      </c>
      <c r="G237" t="inlineStr">
        <is>
          <t>SÄVSJÖ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46269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46269</v>
      </c>
      <c r="F239" t="inlineStr">
        <is>
          <t>JÖNKÖPINGS LÄN</t>
        </is>
      </c>
      <c r="G239" t="inlineStr">
        <is>
          <t>SÄVSJÖ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45054</v>
      </c>
      <c r="E240" s="1" t="n">
        <v>46269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45067</v>
      </c>
      <c r="E241" s="1" t="n">
        <v>46269</v>
      </c>
      <c r="F241" t="inlineStr">
        <is>
          <t>JÖNKÖPINGS LÄN</t>
        </is>
      </c>
      <c r="G241" t="inlineStr">
        <is>
          <t>SÄVSJÖ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46269</v>
      </c>
      <c r="F242" t="inlineStr">
        <is>
          <t>JÖNKÖPINGS LÄN</t>
        </is>
      </c>
      <c r="G242" t="inlineStr">
        <is>
          <t>SÄVSJÖ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45301</v>
      </c>
      <c r="E243" s="1" t="n">
        <v>46269</v>
      </c>
      <c r="F243" t="inlineStr">
        <is>
          <t>JÖNKÖPINGS LÄN</t>
        </is>
      </c>
      <c r="G243" t="inlineStr">
        <is>
          <t>SÄVSJÖ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44601</v>
      </c>
      <c r="E244" s="1" t="n">
        <v>46269</v>
      </c>
      <c r="F244" t="inlineStr">
        <is>
          <t>JÖNKÖPINGS LÄN</t>
        </is>
      </c>
      <c r="G244" t="inlineStr">
        <is>
          <t>SÄVSJÖ</t>
        </is>
      </c>
      <c r="H244" t="inlineStr">
        <is>
          <t>Sveaskog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46269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44610</v>
      </c>
      <c r="E246" s="1" t="n">
        <v>46269</v>
      </c>
      <c r="F246" t="inlineStr">
        <is>
          <t>JÖNKÖPINGS LÄN</t>
        </is>
      </c>
      <c r="G246" t="inlineStr">
        <is>
          <t>SÄVSJÖ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45601</v>
      </c>
      <c r="E247" s="1" t="n">
        <v>46269</v>
      </c>
      <c r="F247" t="inlineStr">
        <is>
          <t>JÖNKÖPINGS LÄN</t>
        </is>
      </c>
      <c r="G247" t="inlineStr">
        <is>
          <t>SÄVSJÖ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64573-2023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45281</v>
      </c>
      <c r="E248" s="1" t="n">
        <v>46269</v>
      </c>
      <c r="F248" t="inlineStr">
        <is>
          <t>JÖNKÖPINGS LÄN</t>
        </is>
      </c>
      <c r="G248" t="inlineStr">
        <is>
          <t>SÄVSJÖ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63679-2023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46269</v>
      </c>
      <c r="F249" t="inlineStr">
        <is>
          <t>JÖNKÖPINGS LÄN</t>
        </is>
      </c>
      <c r="G249" t="inlineStr">
        <is>
          <t>SÄVSJÖ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46269</v>
      </c>
      <c r="F250" t="inlineStr">
        <is>
          <t>JÖNKÖPINGS LÄN</t>
        </is>
      </c>
      <c r="G250" t="inlineStr">
        <is>
          <t>SÄVSJÖ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46269</v>
      </c>
      <c r="F251" t="inlineStr">
        <is>
          <t>JÖNKÖPINGS LÄN</t>
        </is>
      </c>
      <c r="G251" t="inlineStr">
        <is>
          <t>SÄVSJÖ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45407</v>
      </c>
      <c r="E252" s="1" t="n">
        <v>46269</v>
      </c>
      <c r="F252" t="inlineStr">
        <is>
          <t>JÖNKÖPINGS LÄN</t>
        </is>
      </c>
      <c r="G252" t="inlineStr">
        <is>
          <t>SÄVSJÖ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46269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45163</v>
      </c>
      <c r="E254" s="1" t="n">
        <v>46269</v>
      </c>
      <c r="F254" t="inlineStr">
        <is>
          <t>JÖNKÖPINGS LÄN</t>
        </is>
      </c>
      <c r="G254" t="inlineStr">
        <is>
          <t>SÄVSJÖ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45252</v>
      </c>
      <c r="E255" s="1" t="n">
        <v>46269</v>
      </c>
      <c r="F255" t="inlineStr">
        <is>
          <t>JÖNKÖPINGS LÄN</t>
        </is>
      </c>
      <c r="G255" t="inlineStr">
        <is>
          <t>SÄVSJÖ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46269</v>
      </c>
      <c r="F256" t="inlineStr">
        <is>
          <t>JÖNKÖPINGS LÄN</t>
        </is>
      </c>
      <c r="G256" t="inlineStr">
        <is>
          <t>SÄVSJÖ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46269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45197</v>
      </c>
      <c r="E258" s="1" t="n">
        <v>46269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46269</v>
      </c>
      <c r="F259" t="inlineStr">
        <is>
          <t>JÖNKÖPINGS LÄN</t>
        </is>
      </c>
      <c r="G259" t="inlineStr">
        <is>
          <t>SÄVSJÖ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46269</v>
      </c>
      <c r="F260" t="inlineStr">
        <is>
          <t>JÖNKÖPINGS LÄN</t>
        </is>
      </c>
      <c r="G260" t="inlineStr">
        <is>
          <t>SÄVSJÖ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38914-2024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45547</v>
      </c>
      <c r="E261" s="1" t="n">
        <v>46269</v>
      </c>
      <c r="F261" t="inlineStr">
        <is>
          <t>JÖNKÖPINGS LÄN</t>
        </is>
      </c>
      <c r="G261" t="inlineStr">
        <is>
          <t>SÄVSJÖ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52363-2025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45953</v>
      </c>
      <c r="E262" s="1" t="n">
        <v>46269</v>
      </c>
      <c r="F262" t="inlineStr">
        <is>
          <t>JÖNKÖPINGS LÄN</t>
        </is>
      </c>
      <c r="G262" t="inlineStr">
        <is>
          <t>SÄVSJÖ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46269</v>
      </c>
      <c r="F263" t="inlineStr">
        <is>
          <t>JÖNKÖPINGS LÄN</t>
        </is>
      </c>
      <c r="G263" t="inlineStr">
        <is>
          <t>SÄVSJÖ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46269</v>
      </c>
      <c r="F264" t="inlineStr">
        <is>
          <t>JÖNKÖPINGS LÄN</t>
        </is>
      </c>
      <c r="G264" t="inlineStr">
        <is>
          <t>SÄVSJÖ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46269</v>
      </c>
      <c r="F265" t="inlineStr">
        <is>
          <t>JÖNKÖPINGS LÄN</t>
        </is>
      </c>
      <c r="G265" t="inlineStr">
        <is>
          <t>SÄVSJÖ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43976-2022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44838</v>
      </c>
      <c r="E266" s="1" t="n">
        <v>46269</v>
      </c>
      <c r="F266" t="inlineStr">
        <is>
          <t>JÖNKÖPINGS LÄN</t>
        </is>
      </c>
      <c r="G266" t="inlineStr">
        <is>
          <t>SÄVSJÖ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46269</v>
      </c>
      <c r="F267" t="inlineStr">
        <is>
          <t>JÖNKÖPINGS LÄN</t>
        </is>
      </c>
      <c r="G267" t="inlineStr">
        <is>
          <t>SÄVSJÖ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55909-2024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45623</v>
      </c>
      <c r="E268" s="1" t="n">
        <v>46269</v>
      </c>
      <c r="F268" t="inlineStr">
        <is>
          <t>JÖNKÖPINGS LÄN</t>
        </is>
      </c>
      <c r="G268" t="inlineStr">
        <is>
          <t>SÄVSJÖ</t>
        </is>
      </c>
      <c r="H268" t="inlineStr">
        <is>
          <t>Kommuner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46269</v>
      </c>
      <c r="F269" t="inlineStr">
        <is>
          <t>JÖNKÖPINGS LÄN</t>
        </is>
      </c>
      <c r="G269" t="inlineStr">
        <is>
          <t>SÄVSJÖ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46269</v>
      </c>
      <c r="F270" t="inlineStr">
        <is>
          <t>JÖNKÖPINGS LÄN</t>
        </is>
      </c>
      <c r="G270" t="inlineStr">
        <is>
          <t>SÄVSJÖ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46269</v>
      </c>
      <c r="F271" t="inlineStr">
        <is>
          <t>JÖNKÖPINGS LÄN</t>
        </is>
      </c>
      <c r="G271" t="inlineStr">
        <is>
          <t>SÄVSJÖ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45534</v>
      </c>
      <c r="E272" s="1" t="n">
        <v>46269</v>
      </c>
      <c r="F272" t="inlineStr">
        <is>
          <t>JÖNKÖPINGS LÄN</t>
        </is>
      </c>
      <c r="G272" t="inlineStr">
        <is>
          <t>SÄVSJÖ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54275-2025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45964</v>
      </c>
      <c r="E273" s="1" t="n">
        <v>46269</v>
      </c>
      <c r="F273" t="inlineStr">
        <is>
          <t>JÖNKÖPINGS LÄN</t>
        </is>
      </c>
      <c r="G273" t="inlineStr">
        <is>
          <t>SÄVSJÖ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46164</v>
      </c>
      <c r="E274" s="1" t="n">
        <v>46269</v>
      </c>
      <c r="F274" t="inlineStr">
        <is>
          <t>JÖNKÖPINGS LÄN</t>
        </is>
      </c>
      <c r="G274" t="inlineStr">
        <is>
          <t>SÄVSJÖ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54759-2025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46269</v>
      </c>
      <c r="F275" t="inlineStr">
        <is>
          <t>JÖNKÖPINGS LÄN</t>
        </is>
      </c>
      <c r="G275" t="inlineStr">
        <is>
          <t>SÄVSJÖ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46269</v>
      </c>
      <c r="F276" t="inlineStr">
        <is>
          <t>JÖNKÖPINGS LÄN</t>
        </is>
      </c>
      <c r="G276" t="inlineStr">
        <is>
          <t>SÄVSJÖ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46269</v>
      </c>
      <c r="F277" t="inlineStr">
        <is>
          <t>JÖNKÖPINGS LÄN</t>
        </is>
      </c>
      <c r="G277" t="inlineStr">
        <is>
          <t>SÄVSJÖ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24232-2026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46269</v>
      </c>
      <c r="F278" t="inlineStr">
        <is>
          <t>JÖNKÖPINGS LÄN</t>
        </is>
      </c>
      <c r="G278" t="inlineStr">
        <is>
          <t>SÄVSJÖ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46269</v>
      </c>
      <c r="F279" t="inlineStr">
        <is>
          <t>JÖNKÖPINGS LÄN</t>
        </is>
      </c>
      <c r="G279" t="inlineStr">
        <is>
          <t>SÄVSJÖ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23816-2026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46165</v>
      </c>
      <c r="E280" s="1" t="n">
        <v>46269</v>
      </c>
      <c r="F280" t="inlineStr">
        <is>
          <t>JÖNKÖPINGS LÄN</t>
        </is>
      </c>
      <c r="G280" t="inlineStr">
        <is>
          <t>SÄVSJÖ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46269</v>
      </c>
      <c r="F281" t="inlineStr">
        <is>
          <t>JÖNKÖPINGS LÄN</t>
        </is>
      </c>
      <c r="G281" t="inlineStr">
        <is>
          <t>SÄVSJÖ</t>
        </is>
      </c>
      <c r="H281" t="inlineStr">
        <is>
          <t>Kommuner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46269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46269</v>
      </c>
      <c r="F283" t="inlineStr">
        <is>
          <t>JÖNKÖPINGS LÄN</t>
        </is>
      </c>
      <c r="G283" t="inlineStr">
        <is>
          <t>SÄVSJÖ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46269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46269</v>
      </c>
      <c r="F285" t="inlineStr">
        <is>
          <t>JÖNKÖPINGS LÄN</t>
        </is>
      </c>
      <c r="G285" t="inlineStr">
        <is>
          <t>SÄVSJÖ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46269</v>
      </c>
      <c r="F286" t="inlineStr">
        <is>
          <t>JÖNKÖPINGS LÄN</t>
        </is>
      </c>
      <c r="G286" t="inlineStr">
        <is>
          <t>SÄVSJÖ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46269</v>
      </c>
      <c r="F287" t="inlineStr">
        <is>
          <t>JÖNKÖPINGS LÄN</t>
        </is>
      </c>
      <c r="G287" t="inlineStr">
        <is>
          <t>SÄVSJÖ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44952</v>
      </c>
      <c r="E288" s="1" t="n">
        <v>46269</v>
      </c>
      <c r="F288" t="inlineStr">
        <is>
          <t>JÖNKÖPINGS LÄN</t>
        </is>
      </c>
      <c r="G288" t="inlineStr">
        <is>
          <t>SÄVSJÖ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58725-2025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46269</v>
      </c>
      <c r="F289" t="inlineStr">
        <is>
          <t>JÖNKÖPINGS LÄN</t>
        </is>
      </c>
      <c r="G289" t="inlineStr">
        <is>
          <t>SÄVSJÖ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46269</v>
      </c>
      <c r="F290" t="inlineStr">
        <is>
          <t>JÖNKÖPINGS LÄN</t>
        </is>
      </c>
      <c r="G290" t="inlineStr">
        <is>
          <t>SÄVSJÖ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46269</v>
      </c>
      <c r="F291" t="inlineStr">
        <is>
          <t>JÖNKÖPINGS LÄN</t>
        </is>
      </c>
      <c r="G291" t="inlineStr">
        <is>
          <t>SÄVSJÖ</t>
        </is>
      </c>
      <c r="H291" t="inlineStr">
        <is>
          <t>Kyrkan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60331-2025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45993</v>
      </c>
      <c r="E292" s="1" t="n">
        <v>46269</v>
      </c>
      <c r="F292" t="inlineStr">
        <is>
          <t>JÖNKÖPINGS LÄN</t>
        </is>
      </c>
      <c r="G292" t="inlineStr">
        <is>
          <t>SÄVSJÖ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46269</v>
      </c>
      <c r="F293" t="inlineStr">
        <is>
          <t>JÖNKÖPINGS LÄN</t>
        </is>
      </c>
      <c r="G293" t="inlineStr">
        <is>
          <t>SÄVSJÖ</t>
        </is>
      </c>
      <c r="H293" t="inlineStr">
        <is>
          <t>Sveaskog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46269</v>
      </c>
      <c r="F294" t="inlineStr">
        <is>
          <t>JÖNKÖPINGS LÄN</t>
        </is>
      </c>
      <c r="G294" t="inlineStr">
        <is>
          <t>SÄVSJÖ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44929</v>
      </c>
      <c r="E295" s="1" t="n">
        <v>46269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62870-2025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46008</v>
      </c>
      <c r="E296" s="1" t="n">
        <v>46269</v>
      </c>
      <c r="F296" t="inlineStr">
        <is>
          <t>JÖNKÖPINGS LÄN</t>
        </is>
      </c>
      <c r="G296" t="inlineStr">
        <is>
          <t>SÄVSJÖ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45261</v>
      </c>
      <c r="E297" s="1" t="n">
        <v>46269</v>
      </c>
      <c r="F297" t="inlineStr">
        <is>
          <t>JÖNKÖPINGS LÄN</t>
        </is>
      </c>
      <c r="G297" t="inlineStr">
        <is>
          <t>SÄVSJÖ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46010</v>
      </c>
      <c r="E298" s="1" t="n">
        <v>46269</v>
      </c>
      <c r="F298" t="inlineStr">
        <is>
          <t>JÖNKÖPINGS LÄN</t>
        </is>
      </c>
      <c r="G298" t="inlineStr">
        <is>
          <t>SÄVSJÖ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46014</v>
      </c>
      <c r="E299" s="1" t="n">
        <v>46269</v>
      </c>
      <c r="F299" t="inlineStr">
        <is>
          <t>JÖNKÖPINGS LÄN</t>
        </is>
      </c>
      <c r="G299" t="inlineStr">
        <is>
          <t>SÄVSJÖ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46014</v>
      </c>
      <c r="E300" s="1" t="n">
        <v>46269</v>
      </c>
      <c r="F300" t="inlineStr">
        <is>
          <t>JÖNKÖPINGS LÄN</t>
        </is>
      </c>
      <c r="G300" t="inlineStr">
        <is>
          <t>SÄVSJÖ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46269</v>
      </c>
      <c r="F301" t="inlineStr">
        <is>
          <t>JÖNKÖPINGS LÄN</t>
        </is>
      </c>
      <c r="G301" t="inlineStr">
        <is>
          <t>SÄVSJÖ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46014</v>
      </c>
      <c r="E302" s="1" t="n">
        <v>46269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46269</v>
      </c>
      <c r="F303" t="inlineStr">
        <is>
          <t>JÖNKÖPINGS LÄN</t>
        </is>
      </c>
      <c r="G303" t="inlineStr">
        <is>
          <t>SÄVSJÖ</t>
        </is>
      </c>
      <c r="H303" t="inlineStr">
        <is>
          <t>Kommuner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63752-2025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46017</v>
      </c>
      <c r="E304" s="1" t="n">
        <v>46269</v>
      </c>
      <c r="F304" t="inlineStr">
        <is>
          <t>JÖNKÖPINGS LÄN</t>
        </is>
      </c>
      <c r="G304" t="inlineStr">
        <is>
          <t>SÄVSJÖ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46269</v>
      </c>
      <c r="F305" t="inlineStr">
        <is>
          <t>JÖNKÖPINGS LÄN</t>
        </is>
      </c>
      <c r="G305" t="inlineStr">
        <is>
          <t>SÄVSJÖ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44893</v>
      </c>
      <c r="E306" s="1" t="n">
        <v>46269</v>
      </c>
      <c r="F306" t="inlineStr">
        <is>
          <t>JÖNKÖPINGS LÄN</t>
        </is>
      </c>
      <c r="G306" t="inlineStr">
        <is>
          <t>SÄVSJÖ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45607</v>
      </c>
      <c r="E307" s="1" t="n">
        <v>46269</v>
      </c>
      <c r="F307" t="inlineStr">
        <is>
          <t>JÖNKÖPINGS LÄN</t>
        </is>
      </c>
      <c r="G307" t="inlineStr">
        <is>
          <t>SÄVSJÖ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62421-2023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45268</v>
      </c>
      <c r="E308" s="1" t="n">
        <v>46269</v>
      </c>
      <c r="F308" t="inlineStr">
        <is>
          <t>JÖNKÖPINGS LÄN</t>
        </is>
      </c>
      <c r="G308" t="inlineStr">
        <is>
          <t>SÄVSJÖ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53916-2021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44469</v>
      </c>
      <c r="E309" s="1" t="n">
        <v>46269</v>
      </c>
      <c r="F309" t="inlineStr">
        <is>
          <t>JÖNKÖPINGS LÄN</t>
        </is>
      </c>
      <c r="G309" t="inlineStr">
        <is>
          <t>SÄVSJÖ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49292-2023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45210</v>
      </c>
      <c r="E310" s="1" t="n">
        <v>46269</v>
      </c>
      <c r="F310" t="inlineStr">
        <is>
          <t>JÖNKÖPINGS LÄN</t>
        </is>
      </c>
      <c r="G310" t="inlineStr">
        <is>
          <t>SÄVSJÖ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46066</v>
      </c>
      <c r="E311" s="1" t="n">
        <v>46269</v>
      </c>
      <c r="F311" t="inlineStr">
        <is>
          <t>JÖNKÖPINGS LÄN</t>
        </is>
      </c>
      <c r="G311" t="inlineStr">
        <is>
          <t>SÄVSJÖ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46066</v>
      </c>
      <c r="E312" s="1" t="n">
        <v>46269</v>
      </c>
      <c r="F312" t="inlineStr">
        <is>
          <t>JÖNKÖPINGS LÄN</t>
        </is>
      </c>
      <c r="G312" t="inlineStr">
        <is>
          <t>SÄVSJÖ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46269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46269</v>
      </c>
      <c r="F314" t="inlineStr">
        <is>
          <t>JÖNKÖPINGS LÄN</t>
        </is>
      </c>
      <c r="G314" t="inlineStr">
        <is>
          <t>SÄVSJÖ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46269</v>
      </c>
      <c r="F315" t="inlineStr">
        <is>
          <t>JÖNKÖPINGS LÄN</t>
        </is>
      </c>
      <c r="G315" t="inlineStr">
        <is>
          <t>SÄVSJÖ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46070</v>
      </c>
      <c r="E316" s="1" t="n">
        <v>46269</v>
      </c>
      <c r="F316" t="inlineStr">
        <is>
          <t>JÖNKÖPINGS LÄN</t>
        </is>
      </c>
      <c r="G316" t="inlineStr">
        <is>
          <t>SÄVSJÖ</t>
        </is>
      </c>
      <c r="H316" t="inlineStr">
        <is>
          <t>Kyrkan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46070</v>
      </c>
      <c r="E317" s="1" t="n">
        <v>46269</v>
      </c>
      <c r="F317" t="inlineStr">
        <is>
          <t>JÖNKÖPINGS LÄN</t>
        </is>
      </c>
      <c r="G317" t="inlineStr">
        <is>
          <t>SÄVSJÖ</t>
        </is>
      </c>
      <c r="H317" t="inlineStr">
        <is>
          <t>Kyrkan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17883-2024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46269</v>
      </c>
      <c r="F318" t="inlineStr">
        <is>
          <t>JÖNKÖPINGS LÄN</t>
        </is>
      </c>
      <c r="G318" t="inlineStr">
        <is>
          <t>SÄVSJÖ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44995</v>
      </c>
      <c r="E319" s="1" t="n">
        <v>46269</v>
      </c>
      <c r="F319" t="inlineStr">
        <is>
          <t>JÖNKÖPINGS LÄN</t>
        </is>
      </c>
      <c r="G319" t="inlineStr">
        <is>
          <t>SÄVSJÖ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46087</v>
      </c>
      <c r="E320" s="1" t="n">
        <v>46269</v>
      </c>
      <c r="F320" t="inlineStr">
        <is>
          <t>JÖNKÖPINGS LÄN</t>
        </is>
      </c>
      <c r="G320" t="inlineStr">
        <is>
          <t>SÄVSJÖ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45053</v>
      </c>
      <c r="E321" s="1" t="n">
        <v>46269</v>
      </c>
      <c r="F321" t="inlineStr">
        <is>
          <t>JÖNKÖPINGS LÄN</t>
        </is>
      </c>
      <c r="G321" t="inlineStr">
        <is>
          <t>SÄVSJÖ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45317</v>
      </c>
      <c r="E322" s="1" t="n">
        <v>46269</v>
      </c>
      <c r="F322" t="inlineStr">
        <is>
          <t>JÖNKÖPINGS LÄN</t>
        </is>
      </c>
      <c r="G322" t="inlineStr">
        <is>
          <t>SÄVSJÖ</t>
        </is>
      </c>
      <c r="I322" t="n">
        <v>19.9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11266-2024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46269</v>
      </c>
      <c r="F323" t="inlineStr">
        <is>
          <t>JÖNKÖPINGS LÄN</t>
        </is>
      </c>
      <c r="G323" t="inlineStr">
        <is>
          <t>SÄVSJÖ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46097</v>
      </c>
      <c r="E324" s="1" t="n">
        <v>46269</v>
      </c>
      <c r="F324" t="inlineStr">
        <is>
          <t>JÖNKÖPINGS LÄN</t>
        </is>
      </c>
      <c r="G324" t="inlineStr">
        <is>
          <t>SÄVSJÖ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46260</v>
      </c>
      <c r="E325" s="1" t="n">
        <v>46269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46269</v>
      </c>
      <c r="F326" t="inlineStr">
        <is>
          <t>JÖNKÖPINGS LÄN</t>
        </is>
      </c>
      <c r="G326" t="inlineStr">
        <is>
          <t>SÄVSJÖ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16368-2024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46269</v>
      </c>
      <c r="F327" t="inlineStr">
        <is>
          <t>JÖNKÖPINGS LÄN</t>
        </is>
      </c>
      <c r="G327" t="inlineStr">
        <is>
          <t>SÄVSJÖ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46269</v>
      </c>
      <c r="F328" t="inlineStr">
        <is>
          <t>JÖNKÖPINGS LÄN</t>
        </is>
      </c>
      <c r="G328" t="inlineStr">
        <is>
          <t>SÄVSJÖ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35212-2026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46260</v>
      </c>
      <c r="E329" s="1" t="n">
        <v>46269</v>
      </c>
      <c r="F329" t="inlineStr">
        <is>
          <t>JÖNKÖPINGS LÄN</t>
        </is>
      </c>
      <c r="G329" t="inlineStr">
        <is>
          <t>SÄVSJÖ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46269</v>
      </c>
      <c r="F330" t="inlineStr">
        <is>
          <t>JÖNKÖPINGS LÄN</t>
        </is>
      </c>
      <c r="G330" t="inlineStr">
        <is>
          <t>SÄVSJÖ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49708-2023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45212</v>
      </c>
      <c r="E331" s="1" t="n">
        <v>46269</v>
      </c>
      <c r="F331" t="inlineStr">
        <is>
          <t>JÖNKÖPINGS LÄN</t>
        </is>
      </c>
      <c r="G331" t="inlineStr">
        <is>
          <t>SÄVSJÖ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46269</v>
      </c>
      <c r="F332" t="inlineStr">
        <is>
          <t>JÖNKÖPINGS LÄN</t>
        </is>
      </c>
      <c r="G332" t="inlineStr">
        <is>
          <t>SÄVSJÖ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14779-2026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46269</v>
      </c>
      <c r="F333" t="inlineStr">
        <is>
          <t>JÖNKÖPINGS LÄN</t>
        </is>
      </c>
      <c r="G333" t="inlineStr">
        <is>
          <t>SÄVSJÖ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14620-2026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46101</v>
      </c>
      <c r="E334" s="1" t="n">
        <v>46269</v>
      </c>
      <c r="F334" t="inlineStr">
        <is>
          <t>JÖNKÖPINGS LÄN</t>
        </is>
      </c>
      <c r="G334" t="inlineStr">
        <is>
          <t>SÄVSJÖ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45764</v>
      </c>
      <c r="E335" s="1" t="n">
        <v>46269</v>
      </c>
      <c r="F335" t="inlineStr">
        <is>
          <t>JÖNKÖPINGS LÄN</t>
        </is>
      </c>
      <c r="G335" t="inlineStr">
        <is>
          <t>SÄVSJÖ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46269</v>
      </c>
      <c r="F336" t="inlineStr">
        <is>
          <t>JÖNKÖPINGS LÄN</t>
        </is>
      </c>
      <c r="G336" t="inlineStr">
        <is>
          <t>SÄVSJÖ</t>
        </is>
      </c>
      <c r="I336" t="n">
        <v>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46269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45315</v>
      </c>
      <c r="E338" s="1" t="n">
        <v>46269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46269</v>
      </c>
      <c r="F339" t="inlineStr">
        <is>
          <t>JÖNKÖPINGS LÄN</t>
        </is>
      </c>
      <c r="G339" t="inlineStr">
        <is>
          <t>SÄVSJÖ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45102</v>
      </c>
      <c r="E340" s="1" t="n">
        <v>46269</v>
      </c>
      <c r="F340" t="inlineStr">
        <is>
          <t>JÖNKÖPINGS LÄN</t>
        </is>
      </c>
      <c r="G340" t="inlineStr">
        <is>
          <t>SÄVSJÖ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50629-2022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44866</v>
      </c>
      <c r="E341" s="1" t="n">
        <v>46269</v>
      </c>
      <c r="F341" t="inlineStr">
        <is>
          <t>JÖNKÖPINGS LÄN</t>
        </is>
      </c>
      <c r="G341" t="inlineStr">
        <is>
          <t>SÄVSJÖ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44664</v>
      </c>
      <c r="E342" s="1" t="n">
        <v>46269</v>
      </c>
      <c r="F342" t="inlineStr">
        <is>
          <t>JÖNKÖPINGS LÄN</t>
        </is>
      </c>
      <c r="G342" t="inlineStr">
        <is>
          <t>SÄVSJÖ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46248</v>
      </c>
      <c r="E343" s="1" t="n">
        <v>46269</v>
      </c>
      <c r="F343" t="inlineStr">
        <is>
          <t>JÖNKÖPINGS LÄN</t>
        </is>
      </c>
      <c r="G343" t="inlineStr">
        <is>
          <t>SÄVSJÖ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46269</v>
      </c>
      <c r="F344" t="inlineStr">
        <is>
          <t>JÖNKÖPINGS LÄN</t>
        </is>
      </c>
      <c r="G344" t="inlineStr">
        <is>
          <t>SÄVSJÖ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44642</v>
      </c>
      <c r="E345" s="1" t="n">
        <v>46269</v>
      </c>
      <c r="F345" t="inlineStr">
        <is>
          <t>JÖNKÖPINGS LÄN</t>
        </is>
      </c>
      <c r="G345" t="inlineStr">
        <is>
          <t>SÄVSJÖ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46248</v>
      </c>
      <c r="E346" s="1" t="n">
        <v>46269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46266</v>
      </c>
      <c r="E347" s="1" t="n">
        <v>46269</v>
      </c>
      <c r="F347" t="inlineStr">
        <is>
          <t>JÖNKÖPINGS LÄN</t>
        </is>
      </c>
      <c r="G347" t="inlineStr">
        <is>
          <t>SÄVSJÖ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45228</v>
      </c>
      <c r="E348" s="1" t="n">
        <v>46269</v>
      </c>
      <c r="F348" t="inlineStr">
        <is>
          <t>JÖNKÖPINGS LÄN</t>
        </is>
      </c>
      <c r="G348" t="inlineStr">
        <is>
          <t>SÄVSJÖ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46266</v>
      </c>
      <c r="E349" s="1" t="n">
        <v>46269</v>
      </c>
      <c r="F349" t="inlineStr">
        <is>
          <t>JÖNKÖPINGS LÄN</t>
        </is>
      </c>
      <c r="G349" t="inlineStr">
        <is>
          <t>SÄVSJÖ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46266</v>
      </c>
      <c r="E350" s="1" t="n">
        <v>46269</v>
      </c>
      <c r="F350" t="inlineStr">
        <is>
          <t>JÖNKÖPINGS LÄN</t>
        </is>
      </c>
      <c r="G350" t="inlineStr">
        <is>
          <t>SÄVSJÖ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33536-2026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46248</v>
      </c>
      <c r="E351" s="1" t="n">
        <v>46269</v>
      </c>
      <c r="F351" t="inlineStr">
        <is>
          <t>JÖNKÖPINGS LÄN</t>
        </is>
      </c>
      <c r="G351" t="inlineStr">
        <is>
          <t>SÄVSJÖ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18045-2026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46125</v>
      </c>
      <c r="E352" s="1" t="n">
        <v>46269</v>
      </c>
      <c r="F352" t="inlineStr">
        <is>
          <t>JÖNKÖPINGS LÄN</t>
        </is>
      </c>
      <c r="G352" t="inlineStr">
        <is>
          <t>SÄVSJÖ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18089-2026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46125</v>
      </c>
      <c r="E353" s="1" t="n">
        <v>46269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46269</v>
      </c>
      <c r="F354" t="inlineStr">
        <is>
          <t>JÖNKÖPINGS LÄN</t>
        </is>
      </c>
      <c r="G354" t="inlineStr">
        <is>
          <t>SÄVSJÖ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46269</v>
      </c>
      <c r="F355" t="inlineStr">
        <is>
          <t>JÖNKÖPINGS LÄN</t>
        </is>
      </c>
      <c r="G355" t="inlineStr">
        <is>
          <t>SÄVSJÖ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31721-2026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46226</v>
      </c>
      <c r="E356" s="1" t="n">
        <v>46269</v>
      </c>
      <c r="F356" t="inlineStr">
        <is>
          <t>JÖNKÖPINGS LÄN</t>
        </is>
      </c>
      <c r="G356" t="inlineStr">
        <is>
          <t>SÄVSJÖ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15058-2023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45015</v>
      </c>
      <c r="E357" s="1" t="n">
        <v>46269</v>
      </c>
      <c r="F357" t="inlineStr">
        <is>
          <t>JÖNKÖPINGS LÄN</t>
        </is>
      </c>
      <c r="G357" t="inlineStr">
        <is>
          <t>SÄVSJÖ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45094</v>
      </c>
      <c r="E358" s="1" t="n">
        <v>46269</v>
      </c>
      <c r="F358" t="inlineStr">
        <is>
          <t>JÖNKÖPINGS LÄN</t>
        </is>
      </c>
      <c r="G358" t="inlineStr">
        <is>
          <t>SÄVSJÖ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52965-2024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45611</v>
      </c>
      <c r="E359" s="1" t="n">
        <v>46269</v>
      </c>
      <c r="F359" t="inlineStr">
        <is>
          <t>JÖNKÖPINGS LÄN</t>
        </is>
      </c>
      <c r="G359" t="inlineStr">
        <is>
          <t>SÄVSJÖ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46269</v>
      </c>
      <c r="F360" t="inlineStr">
        <is>
          <t>JÖNKÖPINGS LÄN</t>
        </is>
      </c>
      <c r="G360" t="inlineStr">
        <is>
          <t>SÄVSJÖ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6649-2024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45341</v>
      </c>
      <c r="E361" s="1" t="n">
        <v>46269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45334</v>
      </c>
      <c r="E362" s="1" t="n">
        <v>46269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45719</v>
      </c>
      <c r="E363" s="1" t="n">
        <v>46269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59057-2023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45252</v>
      </c>
      <c r="E364" s="1" t="n">
        <v>46269</v>
      </c>
      <c r="F364" t="inlineStr">
        <is>
          <t>JÖNKÖPINGS LÄN</t>
        </is>
      </c>
      <c r="G364" t="inlineStr">
        <is>
          <t>SÄVSJÖ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45321</v>
      </c>
      <c r="E365" s="1" t="n">
        <v>46269</v>
      </c>
      <c r="F365" t="inlineStr">
        <is>
          <t>JÖNKÖPINGS LÄN</t>
        </is>
      </c>
      <c r="G365" t="inlineStr">
        <is>
          <t>SÄVSJÖ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46269</v>
      </c>
      <c r="F366" t="inlineStr">
        <is>
          <t>JÖNKÖPINGS LÄN</t>
        </is>
      </c>
      <c r="G366" t="inlineStr">
        <is>
          <t>SÄVSJÖ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46269</v>
      </c>
      <c r="F367" t="inlineStr">
        <is>
          <t>JÖNKÖPINGS LÄN</t>
        </is>
      </c>
      <c r="G367" t="inlineStr">
        <is>
          <t>SÄVSJÖ</t>
        </is>
      </c>
      <c r="H367" t="inlineStr">
        <is>
          <t>Kyrkan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45755</v>
      </c>
      <c r="E368" s="1" t="n">
        <v>46269</v>
      </c>
      <c r="F368" t="inlineStr">
        <is>
          <t>JÖNKÖPINGS LÄN</t>
        </is>
      </c>
      <c r="G368" t="inlineStr">
        <is>
          <t>SÄVSJÖ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59126-2023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45253</v>
      </c>
      <c r="E369" s="1" t="n">
        <v>46269</v>
      </c>
      <c r="F369" t="inlineStr">
        <is>
          <t>JÖNKÖPINGS LÄN</t>
        </is>
      </c>
      <c r="G369" t="inlineStr">
        <is>
          <t>SÄVSJÖ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45747</v>
      </c>
      <c r="E370" s="1" t="n">
        <v>46269</v>
      </c>
      <c r="F370" t="inlineStr">
        <is>
          <t>JÖNKÖPINGS LÄN</t>
        </is>
      </c>
      <c r="G370" t="inlineStr">
        <is>
          <t>SÄVSJÖ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7917-2024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45350</v>
      </c>
      <c r="E371" s="1" t="n">
        <v>46269</v>
      </c>
      <c r="F371" t="inlineStr">
        <is>
          <t>JÖNKÖPINGS LÄN</t>
        </is>
      </c>
      <c r="G371" t="inlineStr">
        <is>
          <t>SÄVSJÖ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45694</v>
      </c>
      <c r="E372" s="1" t="n">
        <v>46269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45694</v>
      </c>
      <c r="E373" s="1" t="n">
        <v>46269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46269</v>
      </c>
      <c r="F374" t="inlineStr">
        <is>
          <t>JÖNKÖPINGS LÄN</t>
        </is>
      </c>
      <c r="G374" t="inlineStr">
        <is>
          <t>SÄVSJÖ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46269</v>
      </c>
      <c r="F375" t="inlineStr">
        <is>
          <t>JÖNKÖPINGS LÄN</t>
        </is>
      </c>
      <c r="G375" t="inlineStr">
        <is>
          <t>SÄVSJÖ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51921-2023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45223</v>
      </c>
      <c r="E376" s="1" t="n">
        <v>46269</v>
      </c>
      <c r="F376" t="inlineStr">
        <is>
          <t>JÖNKÖPINGS LÄN</t>
        </is>
      </c>
      <c r="G376" t="inlineStr">
        <is>
          <t>SÄVSJÖ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45412</v>
      </c>
      <c r="E377" s="1" t="n">
        <v>46269</v>
      </c>
      <c r="F377" t="inlineStr">
        <is>
          <t>JÖNKÖPINGS LÄN</t>
        </is>
      </c>
      <c r="G377" t="inlineStr">
        <is>
          <t>SÄVSJÖ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45725</v>
      </c>
      <c r="E378" s="1" t="n">
        <v>46269</v>
      </c>
      <c r="F378" t="inlineStr">
        <is>
          <t>JÖNKÖPINGS LÄN</t>
        </is>
      </c>
      <c r="G378" t="inlineStr">
        <is>
          <t>SÄVSJÖ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10445-2021</t>
        </is>
      </c>
      <c r="B379" t="inlineStr">
        <is>
          <t>samrådsanmälan</t>
        </is>
      </c>
      <c r="C379" t="inlineStr">
        <is>
          <t>Skogsbilväg</t>
        </is>
      </c>
      <c r="D379" s="1" t="n">
        <v>44558</v>
      </c>
      <c r="E379" s="1" t="n">
        <v>46269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46269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46269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46269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46269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46269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46269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46269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46269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46269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46269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46269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46269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46269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46269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46269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46269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46269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46269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46269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46269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46269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46269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46269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46269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46269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46269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46269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46269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46269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2026-09-04T02:06:42Z</dcterms:created>
  <dcterms:modified xmlns:dcterms="http://purl.org/dc/terms/" xmlns:xsi="http://www.w3.org/2001/XMLSchema-instance" xsi:type="dcterms:W3CDTF">2026-09-04T02:06:42Z</dcterms:modified>
</cp:coreProperties>
</file>