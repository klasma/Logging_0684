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46230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46230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46230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46230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46230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46230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46230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46230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40543-2023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45170</v>
      </c>
      <c r="E11" s="1" t="n">
        <v>46230</v>
      </c>
      <c r="F11" t="inlineStr">
        <is>
          <t>JÖNKÖPINGS LÄN</t>
        </is>
      </c>
      <c r="G11" t="inlineStr">
        <is>
          <t>SÄVSJÖ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Sommarfibbla</t>
        </is>
      </c>
      <c r="W11">
        <f>HYPERLINK("https://klasma.github.io/Logging_0684/artfynd/A 40543-2023 artfynd.xlsx", "A 40543-2023")</f>
        <v/>
      </c>
      <c r="X11">
        <f>HYPERLINK("https://klasma.github.io/Logging_0684/kartor/A 40543-2023 karta.png", "A 40543-2023")</f>
        <v/>
      </c>
      <c r="Y11">
        <f>HYPERLINK("https://klasma.github.io/Logging_0684/kartor_geotiff/A 40543-2023 georefererad karta.tif", "A 40543-2023")</f>
        <v/>
      </c>
      <c r="AA11">
        <f>HYPERLINK("https://klasma.github.io/Logging_0684/klagomål/A 40543-2023 FSC-klagomål.docx", "A 40543-2023")</f>
        <v/>
      </c>
      <c r="AB11">
        <f>HYPERLINK("https://klasma.github.io/Logging_0684/klagomålsmail/A 40543-2023 FSC-klagomål mail.docx", "A 40543-2023")</f>
        <v/>
      </c>
      <c r="AC11">
        <f>HYPERLINK("https://klasma.github.io/Logging_0684/tillsyn/A 40543-2023 tillsynsbegäran.docx", "A 40543-2023")</f>
        <v/>
      </c>
      <c r="AD11">
        <f>HYPERLINK("https://klasma.github.io/Logging_0684/tillsynsmail/A 40543-2023 tillsynsbegäran mail.docx", "A 40543-2023")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46230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34214-2025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46230</v>
      </c>
      <c r="F13" t="inlineStr">
        <is>
          <t>JÖNKÖPINGS LÄN</t>
        </is>
      </c>
      <c r="G13" t="inlineStr">
        <is>
          <t>SÄVSJÖ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Lungrot</t>
        </is>
      </c>
      <c r="W13">
        <f>HYPERLINK("https://klasma.github.io/Logging_0684/artfynd/A 34214-2025 artfynd.xlsx", "A 34214-2025")</f>
        <v/>
      </c>
      <c r="X13">
        <f>HYPERLINK("https://klasma.github.io/Logging_0684/kartor/A 34214-2025 karta.png", "A 34214-2025")</f>
        <v/>
      </c>
      <c r="Y13">
        <f>HYPERLINK("https://klasma.github.io/Logging_0684/kartor_geotiff/A 34214-2025 georefererad karta.tif", "A 34214-2025")</f>
        <v/>
      </c>
      <c r="AA13">
        <f>HYPERLINK("https://klasma.github.io/Logging_0684/klagomål/A 34214-2025 FSC-klagomål.docx", "A 34214-2025")</f>
        <v/>
      </c>
      <c r="AB13">
        <f>HYPERLINK("https://klasma.github.io/Logging_0684/klagomålsmail/A 34214-2025 FSC-klagomål mail.docx", "A 34214-2025")</f>
        <v/>
      </c>
      <c r="AC13">
        <f>HYPERLINK("https://klasma.github.io/Logging_0684/tillsyn/A 34214-2025 tillsynsbegäran.docx", "A 34214-2025")</f>
        <v/>
      </c>
      <c r="AD13">
        <f>HYPERLINK("https://klasma.github.io/Logging_0684/tillsynsmail/A 34214-2025 tillsynsbegäran mail.docx", "A 34214-2025")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46230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46230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46230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46230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46230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46230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46230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46230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46230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46230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46230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46230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46230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46230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46230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46230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46230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46230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46230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46230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46230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46230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46230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46230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46230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46230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46230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46230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46230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46230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46230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46230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46230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46230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46230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46230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46230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46230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46230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46230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46230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46230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46230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46230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46230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46230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46230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46230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46230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46230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46230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46230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46230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46230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46230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46230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20603-2022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44700</v>
      </c>
      <c r="E70" s="1" t="n">
        <v>46230</v>
      </c>
      <c r="F70" t="inlineStr">
        <is>
          <t>JÖNKÖPINGS LÄN</t>
        </is>
      </c>
      <c r="G70" t="inlineStr">
        <is>
          <t>SÄVSJÖ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46230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46230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46230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46230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46230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46230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46230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46230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46230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46230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46230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46230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46230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46230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46230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46230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7917-2024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45350</v>
      </c>
      <c r="E87" s="1" t="n">
        <v>46230</v>
      </c>
      <c r="F87" t="inlineStr">
        <is>
          <t>JÖNKÖPINGS LÄN</t>
        </is>
      </c>
      <c r="G87" t="inlineStr">
        <is>
          <t>SÄVSJÖ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46230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46230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46230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45320</v>
      </c>
      <c r="E91" s="1" t="n">
        <v>46230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46230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46230</v>
      </c>
      <c r="F93" t="inlineStr">
        <is>
          <t>JÖNKÖPINGS LÄN</t>
        </is>
      </c>
      <c r="G93" t="inlineStr">
        <is>
          <t>SÄVSJÖ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46230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45518</v>
      </c>
      <c r="E95" s="1" t="n">
        <v>46230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46230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46230</v>
      </c>
      <c r="F97" t="inlineStr">
        <is>
          <t>JÖNKÖPINGS LÄN</t>
        </is>
      </c>
      <c r="G97" t="inlineStr">
        <is>
          <t>SÄVSJÖ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46230</v>
      </c>
      <c r="F98" t="inlineStr">
        <is>
          <t>JÖNKÖPINGS LÄN</t>
        </is>
      </c>
      <c r="G98" t="inlineStr">
        <is>
          <t>SÄVSJÖ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46230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45634</v>
      </c>
      <c r="E100" s="1" t="n">
        <v>46230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46230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46230</v>
      </c>
      <c r="F102" t="inlineStr">
        <is>
          <t>JÖNKÖPINGS LÄN</t>
        </is>
      </c>
      <c r="G102" t="inlineStr">
        <is>
          <t>SÄVSJÖ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18135-2023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46230</v>
      </c>
      <c r="F103" t="inlineStr">
        <is>
          <t>JÖNKÖPINGS LÄN</t>
        </is>
      </c>
      <c r="G103" t="inlineStr">
        <is>
          <t>SÄVSJÖ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46230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45094</v>
      </c>
      <c r="E105" s="1" t="n">
        <v>46230</v>
      </c>
      <c r="F105" t="inlineStr">
        <is>
          <t>JÖNKÖPINGS LÄN</t>
        </is>
      </c>
      <c r="G105" t="inlineStr">
        <is>
          <t>SÄVSJÖ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46230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45237</v>
      </c>
      <c r="E107" s="1" t="n">
        <v>46230</v>
      </c>
      <c r="F107" t="inlineStr">
        <is>
          <t>JÖNKÖPINGS LÄN</t>
        </is>
      </c>
      <c r="G107" t="inlineStr">
        <is>
          <t>SÄVSJÖ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45067</v>
      </c>
      <c r="E108" s="1" t="n">
        <v>46230</v>
      </c>
      <c r="F108" t="inlineStr">
        <is>
          <t>JÖNKÖPINGS LÄN</t>
        </is>
      </c>
      <c r="G108" t="inlineStr">
        <is>
          <t>SÄVSJÖ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46230</v>
      </c>
      <c r="F109" t="inlineStr">
        <is>
          <t>JÖNKÖPINGS LÄN</t>
        </is>
      </c>
      <c r="G109" t="inlineStr">
        <is>
          <t>SÄVSJÖ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46230</v>
      </c>
      <c r="F110" t="inlineStr">
        <is>
          <t>JÖNKÖPINGS LÄN</t>
        </is>
      </c>
      <c r="G110" t="inlineStr">
        <is>
          <t>SÄVSJÖ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46230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46230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46230</v>
      </c>
      <c r="F113" t="inlineStr">
        <is>
          <t>JÖNKÖPINGS LÄN</t>
        </is>
      </c>
      <c r="G113" t="inlineStr">
        <is>
          <t>SÄVSJÖ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44995</v>
      </c>
      <c r="E114" s="1" t="n">
        <v>46230</v>
      </c>
      <c r="F114" t="inlineStr">
        <is>
          <t>JÖNKÖPINGS LÄN</t>
        </is>
      </c>
      <c r="G114" t="inlineStr">
        <is>
          <t>SÄVSJÖ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46230</v>
      </c>
      <c r="F115" t="inlineStr">
        <is>
          <t>JÖNKÖPINGS LÄN</t>
        </is>
      </c>
      <c r="G115" t="inlineStr">
        <is>
          <t>SÄVSJÖ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46230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46230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46230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45102</v>
      </c>
      <c r="E119" s="1" t="n">
        <v>46230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46230</v>
      </c>
      <c r="F120" t="inlineStr">
        <is>
          <t>JÖNKÖPINGS LÄN</t>
        </is>
      </c>
      <c r="G120" t="inlineStr">
        <is>
          <t>SÄVSJÖ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46230</v>
      </c>
      <c r="F121" t="inlineStr">
        <is>
          <t>JÖNKÖPINGS LÄN</t>
        </is>
      </c>
      <c r="G121" t="inlineStr">
        <is>
          <t>SÄVSJÖ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46230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45547</v>
      </c>
      <c r="E123" s="1" t="n">
        <v>46230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46230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61545-2021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46230</v>
      </c>
      <c r="F125" t="inlineStr">
        <is>
          <t>JÖNKÖPINGS LÄN</t>
        </is>
      </c>
      <c r="G125" t="inlineStr">
        <is>
          <t>SÄVSJÖ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46230</v>
      </c>
      <c r="F126" t="inlineStr">
        <is>
          <t>JÖNKÖPINGS LÄN</t>
        </is>
      </c>
      <c r="G126" t="inlineStr">
        <is>
          <t>SÄVSJÖ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46230</v>
      </c>
      <c r="F127" t="inlineStr">
        <is>
          <t>JÖNKÖPINGS LÄN</t>
        </is>
      </c>
      <c r="G127" t="inlineStr">
        <is>
          <t>SÄVSJÖ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46230</v>
      </c>
      <c r="F128" t="inlineStr">
        <is>
          <t>JÖNKÖPINGS LÄN</t>
        </is>
      </c>
      <c r="G128" t="inlineStr">
        <is>
          <t>SÄVSJÖ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45365</v>
      </c>
      <c r="E129" s="1" t="n">
        <v>46230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45110</v>
      </c>
      <c r="E130" s="1" t="n">
        <v>46230</v>
      </c>
      <c r="F130" t="inlineStr">
        <is>
          <t>JÖNKÖPINGS LÄN</t>
        </is>
      </c>
      <c r="G130" t="inlineStr">
        <is>
          <t>SÄVSJÖ</t>
        </is>
      </c>
      <c r="H130" t="inlineStr">
        <is>
          <t>Kommuner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46230</v>
      </c>
      <c r="F131" t="inlineStr">
        <is>
          <t>JÖNKÖPINGS LÄN</t>
        </is>
      </c>
      <c r="G131" t="inlineStr">
        <is>
          <t>SÄVSJÖ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46230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46230</v>
      </c>
      <c r="F133" t="inlineStr">
        <is>
          <t>JÖNKÖPINGS LÄN</t>
        </is>
      </c>
      <c r="G133" t="inlineStr">
        <is>
          <t>SÄVSJÖ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45879</v>
      </c>
      <c r="E134" s="1" t="n">
        <v>46230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44866</v>
      </c>
      <c r="E135" s="1" t="n">
        <v>46230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46230</v>
      </c>
      <c r="F136" t="inlineStr">
        <is>
          <t>JÖNKÖPINGS LÄN</t>
        </is>
      </c>
      <c r="G136" t="inlineStr">
        <is>
          <t>SÄVSJÖ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44642</v>
      </c>
      <c r="E137" s="1" t="n">
        <v>46230</v>
      </c>
      <c r="F137" t="inlineStr">
        <is>
          <t>JÖNKÖPINGS LÄN</t>
        </is>
      </c>
      <c r="G137" t="inlineStr">
        <is>
          <t>SÄVSJÖ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46230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46230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46230</v>
      </c>
      <c r="F140" t="inlineStr">
        <is>
          <t>JÖNKÖPINGS LÄN</t>
        </is>
      </c>
      <c r="G140" t="inlineStr">
        <is>
          <t>SÄVSJÖ</t>
        </is>
      </c>
      <c r="H140" t="inlineStr">
        <is>
          <t>Kyrkan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46230</v>
      </c>
      <c r="F141" t="inlineStr">
        <is>
          <t>JÖNKÖPINGS LÄN</t>
        </is>
      </c>
      <c r="G141" t="inlineStr">
        <is>
          <t>SÄVSJÖ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46230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46230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46230</v>
      </c>
      <c r="F144" t="inlineStr">
        <is>
          <t>JÖNKÖPINGS LÄN</t>
        </is>
      </c>
      <c r="G144" t="inlineStr">
        <is>
          <t>SÄVSJÖ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44991</v>
      </c>
      <c r="E145" s="1" t="n">
        <v>46230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44442</v>
      </c>
      <c r="E146" s="1" t="n">
        <v>46230</v>
      </c>
      <c r="F146" t="inlineStr">
        <is>
          <t>JÖNKÖPINGS LÄN</t>
        </is>
      </c>
      <c r="G146" t="inlineStr">
        <is>
          <t>SÄVSJÖ</t>
        </is>
      </c>
      <c r="H146" t="inlineStr">
        <is>
          <t>Kommuner</t>
        </is>
      </c>
      <c r="I146" t="n">
        <v>25.6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46230</v>
      </c>
      <c r="F147" t="inlineStr">
        <is>
          <t>JÖNKÖPINGS LÄN</t>
        </is>
      </c>
      <c r="G147" t="inlineStr">
        <is>
          <t>SÄVSJÖ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46230</v>
      </c>
      <c r="F148" t="inlineStr">
        <is>
          <t>JÖNKÖPINGS LÄN</t>
        </is>
      </c>
      <c r="G148" t="inlineStr">
        <is>
          <t>SÄVSJÖ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45634</v>
      </c>
      <c r="E149" s="1" t="n">
        <v>46230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19856-2024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45433</v>
      </c>
      <c r="E150" s="1" t="n">
        <v>46230</v>
      </c>
      <c r="F150" t="inlineStr">
        <is>
          <t>JÖNKÖPINGS LÄN</t>
        </is>
      </c>
      <c r="G150" t="inlineStr">
        <is>
          <t>SÄVSJÖ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61556-2025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46001</v>
      </c>
      <c r="E151" s="1" t="n">
        <v>46230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46230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45053</v>
      </c>
      <c r="E153" s="1" t="n">
        <v>46230</v>
      </c>
      <c r="F153" t="inlineStr">
        <is>
          <t>JÖNKÖPINGS LÄN</t>
        </is>
      </c>
      <c r="G153" t="inlineStr">
        <is>
          <t>SÄVSJÖ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44991</v>
      </c>
      <c r="E154" s="1" t="n">
        <v>46230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46230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46230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46230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46230</v>
      </c>
      <c r="F158" t="inlineStr">
        <is>
          <t>JÖNKÖPINGS LÄN</t>
        </is>
      </c>
      <c r="G158" t="inlineStr">
        <is>
          <t>SÄVSJÖ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40111-2022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44820</v>
      </c>
      <c r="E159" s="1" t="n">
        <v>46230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46230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46230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45419</v>
      </c>
      <c r="E162" s="1" t="n">
        <v>46230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46230</v>
      </c>
      <c r="F163" t="inlineStr">
        <is>
          <t>JÖNKÖPINGS LÄN</t>
        </is>
      </c>
      <c r="G163" t="inlineStr">
        <is>
          <t>SÄVSJÖ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46230</v>
      </c>
      <c r="F164" t="inlineStr">
        <is>
          <t>JÖNKÖPINGS LÄN</t>
        </is>
      </c>
      <c r="G164" t="inlineStr">
        <is>
          <t>SÄVSJÖ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45320</v>
      </c>
      <c r="E165" s="1" t="n">
        <v>46230</v>
      </c>
      <c r="F165" t="inlineStr">
        <is>
          <t>JÖNKÖPINGS LÄN</t>
        </is>
      </c>
      <c r="G165" t="inlineStr">
        <is>
          <t>SÄVSJÖ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45054</v>
      </c>
      <c r="E166" s="1" t="n">
        <v>46230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46230</v>
      </c>
      <c r="F167" t="inlineStr">
        <is>
          <t>JÖNKÖPINGS LÄN</t>
        </is>
      </c>
      <c r="G167" t="inlineStr">
        <is>
          <t>SÄVSJÖ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52363-2025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45953</v>
      </c>
      <c r="E168" s="1" t="n">
        <v>46230</v>
      </c>
      <c r="F168" t="inlineStr">
        <is>
          <t>JÖNKÖPINGS LÄN</t>
        </is>
      </c>
      <c r="G168" t="inlineStr">
        <is>
          <t>SÄVSJÖ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46230</v>
      </c>
      <c r="F169" t="inlineStr">
        <is>
          <t>JÖNKÖPINGS LÄN</t>
        </is>
      </c>
      <c r="G169" t="inlineStr">
        <is>
          <t>SÄVSJÖ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46230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46230</v>
      </c>
      <c r="F171" t="inlineStr">
        <is>
          <t>JÖNKÖPINGS LÄN</t>
        </is>
      </c>
      <c r="G171" t="inlineStr">
        <is>
          <t>SÄVSJÖ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46230</v>
      </c>
      <c r="F172" t="inlineStr">
        <is>
          <t>JÖNKÖPINGS LÄN</t>
        </is>
      </c>
      <c r="G172" t="inlineStr">
        <is>
          <t>SÄVSJÖ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46230</v>
      </c>
      <c r="F173" t="inlineStr">
        <is>
          <t>JÖNKÖPINGS LÄN</t>
        </is>
      </c>
      <c r="G173" t="inlineStr">
        <is>
          <t>SÄVSJÖ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46230</v>
      </c>
      <c r="F174" t="inlineStr">
        <is>
          <t>JÖNKÖPINGS LÄN</t>
        </is>
      </c>
      <c r="G174" t="inlineStr">
        <is>
          <t>SÄVSJÖ</t>
        </is>
      </c>
      <c r="H174" t="inlineStr">
        <is>
          <t>Sveaskog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46230</v>
      </c>
      <c r="F175" t="inlineStr">
        <is>
          <t>JÖNKÖPINGS LÄN</t>
        </is>
      </c>
      <c r="G175" t="inlineStr">
        <is>
          <t>SÄVSJÖ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46230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46230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46230</v>
      </c>
      <c r="F178" t="inlineStr">
        <is>
          <t>JÖNKÖPINGS LÄN</t>
        </is>
      </c>
      <c r="G178" t="inlineStr">
        <is>
          <t>SÄVSJÖ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46230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7285-2023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44970</v>
      </c>
      <c r="E180" s="1" t="n">
        <v>46230</v>
      </c>
      <c r="F180" t="inlineStr">
        <is>
          <t>JÖNKÖPINGS LÄN</t>
        </is>
      </c>
      <c r="G180" t="inlineStr">
        <is>
          <t>SÄVSJÖ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54275-2025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45964</v>
      </c>
      <c r="E181" s="1" t="n">
        <v>46230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46230</v>
      </c>
      <c r="F182" t="inlineStr">
        <is>
          <t>JÖNKÖPINGS LÄN</t>
        </is>
      </c>
      <c r="G182" t="inlineStr">
        <is>
          <t>SÄVSJÖ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46230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44866</v>
      </c>
      <c r="E184" s="1" t="n">
        <v>46230</v>
      </c>
      <c r="F184" t="inlineStr">
        <is>
          <t>JÖNKÖPINGS LÄN</t>
        </is>
      </c>
      <c r="G184" t="inlineStr">
        <is>
          <t>SÄVSJÖ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46230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46230</v>
      </c>
      <c r="F186" t="inlineStr">
        <is>
          <t>JÖNKÖPINGS LÄN</t>
        </is>
      </c>
      <c r="G186" t="inlineStr">
        <is>
          <t>SÄVSJÖ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46230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46230</v>
      </c>
      <c r="F188" t="inlineStr">
        <is>
          <t>JÖNKÖPINGS LÄN</t>
        </is>
      </c>
      <c r="G188" t="inlineStr">
        <is>
          <t>SÄVSJÖ</t>
        </is>
      </c>
      <c r="H188" t="inlineStr">
        <is>
          <t>Kommuner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46230</v>
      </c>
      <c r="F189" t="inlineStr">
        <is>
          <t>JÖNKÖPINGS LÄN</t>
        </is>
      </c>
      <c r="G189" t="inlineStr">
        <is>
          <t>SÄVSJÖ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46230</v>
      </c>
      <c r="F190" t="inlineStr">
        <is>
          <t>JÖNKÖPINGS LÄN</t>
        </is>
      </c>
      <c r="G190" t="inlineStr">
        <is>
          <t>SÄVSJÖ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46230</v>
      </c>
      <c r="F191" t="inlineStr">
        <is>
          <t>JÖNKÖPINGS LÄN</t>
        </is>
      </c>
      <c r="G191" t="inlineStr">
        <is>
          <t>SÄVSJÖ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46230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46230</v>
      </c>
      <c r="F193" t="inlineStr">
        <is>
          <t>JÖNKÖPINGS LÄN</t>
        </is>
      </c>
      <c r="G193" t="inlineStr">
        <is>
          <t>SÄVSJÖ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44414</v>
      </c>
      <c r="E194" s="1" t="n">
        <v>46230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46230</v>
      </c>
      <c r="F195" t="inlineStr">
        <is>
          <t>JÖNKÖPINGS LÄN</t>
        </is>
      </c>
      <c r="G195" t="inlineStr">
        <is>
          <t>SÄVSJÖ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46230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46230</v>
      </c>
      <c r="F197" t="inlineStr">
        <is>
          <t>JÖNKÖPINGS LÄN</t>
        </is>
      </c>
      <c r="G197" t="inlineStr">
        <is>
          <t>SÄVSJÖ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45980</v>
      </c>
      <c r="E198" s="1" t="n">
        <v>46230</v>
      </c>
      <c r="F198" t="inlineStr">
        <is>
          <t>JÖNKÖPINGS LÄN</t>
        </is>
      </c>
      <c r="G198" t="inlineStr">
        <is>
          <t>SÄVSJÖ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46230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46230</v>
      </c>
      <c r="F200" t="inlineStr">
        <is>
          <t>JÖNKÖPINGS LÄN</t>
        </is>
      </c>
      <c r="G200" t="inlineStr">
        <is>
          <t>SÄVSJÖ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46230</v>
      </c>
      <c r="F201" t="inlineStr">
        <is>
          <t>JÖNKÖPINGS LÄN</t>
        </is>
      </c>
      <c r="G201" t="inlineStr">
        <is>
          <t>SÄVSJÖ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46230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46230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46230</v>
      </c>
      <c r="F204" t="inlineStr">
        <is>
          <t>JÖNKÖPINGS LÄN</t>
        </is>
      </c>
      <c r="G204" t="inlineStr">
        <is>
          <t>SÄVSJÖ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46230</v>
      </c>
      <c r="F205" t="inlineStr">
        <is>
          <t>JÖNKÖPINGS LÄN</t>
        </is>
      </c>
      <c r="G205" t="inlineStr">
        <is>
          <t>SÄVSJÖ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46230</v>
      </c>
      <c r="F206" t="inlineStr">
        <is>
          <t>JÖNKÖPINGS LÄN</t>
        </is>
      </c>
      <c r="G206" t="inlineStr">
        <is>
          <t>SÄVSJÖ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46230</v>
      </c>
      <c r="F207" t="inlineStr">
        <is>
          <t>JÖNKÖPINGS LÄN</t>
        </is>
      </c>
      <c r="G207" t="inlineStr">
        <is>
          <t>SÄVSJÖ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46230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46230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60331-2025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45993</v>
      </c>
      <c r="E210" s="1" t="n">
        <v>46230</v>
      </c>
      <c r="F210" t="inlineStr">
        <is>
          <t>JÖNKÖPINGS LÄN</t>
        </is>
      </c>
      <c r="G210" t="inlineStr">
        <is>
          <t>SÄVSJÖ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44656</v>
      </c>
      <c r="E211" s="1" t="n">
        <v>46230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46230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46230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45301</v>
      </c>
      <c r="E214" s="1" t="n">
        <v>46230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45607</v>
      </c>
      <c r="E215" s="1" t="n">
        <v>46230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46230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46230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46230</v>
      </c>
      <c r="F218" t="inlineStr">
        <is>
          <t>JÖNKÖPINGS LÄN</t>
        </is>
      </c>
      <c r="G218" t="inlineStr">
        <is>
          <t>SÄVSJÖ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44505</v>
      </c>
      <c r="E219" s="1" t="n">
        <v>46230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46230</v>
      </c>
      <c r="F220" t="inlineStr">
        <is>
          <t>JÖNKÖPINGS LÄN</t>
        </is>
      </c>
      <c r="G220" t="inlineStr">
        <is>
          <t>SÄVSJÖ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46230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62870-2025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46008</v>
      </c>
      <c r="E222" s="1" t="n">
        <v>46230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46230</v>
      </c>
      <c r="F223" t="inlineStr">
        <is>
          <t>JÖNKÖPINGS LÄN</t>
        </is>
      </c>
      <c r="G223" t="inlineStr">
        <is>
          <t>SÄVSJÖ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45669</v>
      </c>
      <c r="E224" s="1" t="n">
        <v>46230</v>
      </c>
      <c r="F224" t="inlineStr">
        <is>
          <t>JÖNKÖPINGS LÄN</t>
        </is>
      </c>
      <c r="G224" t="inlineStr">
        <is>
          <t>SÄVSJÖ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63352-2025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46230</v>
      </c>
      <c r="F225" t="inlineStr">
        <is>
          <t>JÖNKÖPINGS LÄN</t>
        </is>
      </c>
      <c r="G225" t="inlineStr">
        <is>
          <t>SÄVSJÖ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45607</v>
      </c>
      <c r="E226" s="1" t="n">
        <v>46230</v>
      </c>
      <c r="F226" t="inlineStr">
        <is>
          <t>JÖNKÖPINGS LÄN</t>
        </is>
      </c>
      <c r="G226" t="inlineStr">
        <is>
          <t>SÄVSJÖ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42212-2021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44426</v>
      </c>
      <c r="E227" s="1" t="n">
        <v>46230</v>
      </c>
      <c r="F227" t="inlineStr">
        <is>
          <t>JÖNKÖPINGS LÄN</t>
        </is>
      </c>
      <c r="G227" t="inlineStr">
        <is>
          <t>SÄVSJÖ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45768</v>
      </c>
      <c r="E228" s="1" t="n">
        <v>46230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46230</v>
      </c>
      <c r="F229" t="inlineStr">
        <is>
          <t>JÖNKÖPINGS LÄN</t>
        </is>
      </c>
      <c r="G229" t="inlineStr">
        <is>
          <t>SÄVSJÖ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46230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46230</v>
      </c>
      <c r="F231" t="inlineStr">
        <is>
          <t>JÖNKÖPINGS LÄN</t>
        </is>
      </c>
      <c r="G231" t="inlineStr">
        <is>
          <t>SÄVSJÖ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46230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46230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46230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45226</v>
      </c>
      <c r="E235" s="1" t="n">
        <v>46230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45067</v>
      </c>
      <c r="E236" s="1" t="n">
        <v>46230</v>
      </c>
      <c r="F236" t="inlineStr">
        <is>
          <t>JÖNKÖPINGS LÄN</t>
        </is>
      </c>
      <c r="G236" t="inlineStr">
        <is>
          <t>SÄVSJÖ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45240</v>
      </c>
      <c r="E237" s="1" t="n">
        <v>46230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46230</v>
      </c>
      <c r="F238" t="inlineStr">
        <is>
          <t>JÖNKÖPINGS LÄN</t>
        </is>
      </c>
      <c r="G238" t="inlineStr">
        <is>
          <t>SÄVSJÖ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46230</v>
      </c>
      <c r="F239" t="inlineStr">
        <is>
          <t>JÖNKÖPINGS LÄN</t>
        </is>
      </c>
      <c r="G239" t="inlineStr">
        <is>
          <t>SÄVSJÖ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44601</v>
      </c>
      <c r="E240" s="1" t="n">
        <v>46230</v>
      </c>
      <c r="F240" t="inlineStr">
        <is>
          <t>JÖNKÖPINGS LÄN</t>
        </is>
      </c>
      <c r="G240" t="inlineStr">
        <is>
          <t>SÄVSJÖ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45755</v>
      </c>
      <c r="E241" s="1" t="n">
        <v>46230</v>
      </c>
      <c r="F241" t="inlineStr">
        <is>
          <t>JÖNKÖPINGS LÄN</t>
        </is>
      </c>
      <c r="G241" t="inlineStr">
        <is>
          <t>SÄVSJÖ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46230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46230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46230</v>
      </c>
      <c r="F244" t="inlineStr">
        <is>
          <t>JÖNKÖPINGS LÄN</t>
        </is>
      </c>
      <c r="G244" t="inlineStr">
        <is>
          <t>SÄVSJÖ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46230</v>
      </c>
      <c r="F245" t="inlineStr">
        <is>
          <t>JÖNKÖPINGS LÄN</t>
        </is>
      </c>
      <c r="G245" t="inlineStr">
        <is>
          <t>SÄVSJÖ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50493-2024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46230</v>
      </c>
      <c r="F246" t="inlineStr">
        <is>
          <t>JÖNKÖPINGS LÄN</t>
        </is>
      </c>
      <c r="G246" t="inlineStr">
        <is>
          <t>SÄVSJÖ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46230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44806</v>
      </c>
      <c r="E248" s="1" t="n">
        <v>46230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46230</v>
      </c>
      <c r="F249" t="inlineStr">
        <is>
          <t>JÖNKÖPINGS LÄN</t>
        </is>
      </c>
      <c r="G249" t="inlineStr">
        <is>
          <t>SÄVSJÖ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46230</v>
      </c>
      <c r="F250" t="inlineStr">
        <is>
          <t>JÖNKÖPINGS LÄN</t>
        </is>
      </c>
      <c r="G250" t="inlineStr">
        <is>
          <t>SÄVSJÖ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46230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46230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23816-2026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46165</v>
      </c>
      <c r="E253" s="1" t="n">
        <v>46230</v>
      </c>
      <c r="F253" t="inlineStr">
        <is>
          <t>JÖNKÖPINGS LÄN</t>
        </is>
      </c>
      <c r="G253" t="inlineStr">
        <is>
          <t>SÄVSJÖ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46230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46230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46230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46230</v>
      </c>
      <c r="F257" t="inlineStr">
        <is>
          <t>JÖNKÖPINGS LÄN</t>
        </is>
      </c>
      <c r="G257" t="inlineStr">
        <is>
          <t>SÄVSJÖ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45660</v>
      </c>
      <c r="E258" s="1" t="n">
        <v>46230</v>
      </c>
      <c r="F258" t="inlineStr">
        <is>
          <t>JÖNKÖPINGS LÄN</t>
        </is>
      </c>
      <c r="G258" t="inlineStr">
        <is>
          <t>SÄVSJÖ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46070</v>
      </c>
      <c r="E259" s="1" t="n">
        <v>46230</v>
      </c>
      <c r="F259" t="inlineStr">
        <is>
          <t>JÖNKÖPINGS LÄN</t>
        </is>
      </c>
      <c r="G259" t="inlineStr">
        <is>
          <t>SÄVSJÖ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46070</v>
      </c>
      <c r="E260" s="1" t="n">
        <v>46230</v>
      </c>
      <c r="F260" t="inlineStr">
        <is>
          <t>JÖNKÖPINGS LÄN</t>
        </is>
      </c>
      <c r="G260" t="inlineStr">
        <is>
          <t>SÄVSJÖ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46230</v>
      </c>
      <c r="F261" t="inlineStr">
        <is>
          <t>JÖNKÖPINGS LÄN</t>
        </is>
      </c>
      <c r="G261" t="inlineStr">
        <is>
          <t>SÄVSJÖ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46230</v>
      </c>
      <c r="F262" t="inlineStr">
        <is>
          <t>JÖNKÖPINGS LÄN</t>
        </is>
      </c>
      <c r="G262" t="inlineStr">
        <is>
          <t>SÄVSJÖ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55258-2021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44475</v>
      </c>
      <c r="E263" s="1" t="n">
        <v>46230</v>
      </c>
      <c r="F263" t="inlineStr">
        <is>
          <t>JÖNKÖPINGS LÄN</t>
        </is>
      </c>
      <c r="G263" t="inlineStr">
        <is>
          <t>SÄVSJÖ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46230</v>
      </c>
      <c r="F264" t="inlineStr">
        <is>
          <t>JÖNKÖPINGS LÄN</t>
        </is>
      </c>
      <c r="G264" t="inlineStr">
        <is>
          <t>SÄVSJÖ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46230</v>
      </c>
      <c r="F265" t="inlineStr">
        <is>
          <t>JÖNKÖPINGS LÄN</t>
        </is>
      </c>
      <c r="G265" t="inlineStr">
        <is>
          <t>SÄVSJÖ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64126-2021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44510</v>
      </c>
      <c r="E266" s="1" t="n">
        <v>46230</v>
      </c>
      <c r="F266" t="inlineStr">
        <is>
          <t>JÖNKÖPINGS LÄN</t>
        </is>
      </c>
      <c r="G266" t="inlineStr">
        <is>
          <t>SÄVSJÖ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62421-2023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45268</v>
      </c>
      <c r="E267" s="1" t="n">
        <v>46230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6649-2024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45341</v>
      </c>
      <c r="E268" s="1" t="n">
        <v>46230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45355</v>
      </c>
      <c r="E269" s="1" t="n">
        <v>46230</v>
      </c>
      <c r="F269" t="inlineStr">
        <is>
          <t>JÖNKÖPINGS LÄN</t>
        </is>
      </c>
      <c r="G269" t="inlineStr">
        <is>
          <t>SÄVSJÖ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46230</v>
      </c>
      <c r="F270" t="inlineStr">
        <is>
          <t>JÖNKÖPINGS LÄN</t>
        </is>
      </c>
      <c r="G270" t="inlineStr">
        <is>
          <t>SÄVSJÖ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46230</v>
      </c>
      <c r="F271" t="inlineStr">
        <is>
          <t>JÖNKÖPINGS LÄN</t>
        </is>
      </c>
      <c r="G271" t="inlineStr">
        <is>
          <t>SÄVSJÖ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46097</v>
      </c>
      <c r="E272" s="1" t="n">
        <v>46230</v>
      </c>
      <c r="F272" t="inlineStr">
        <is>
          <t>JÖNKÖPINGS LÄN</t>
        </is>
      </c>
      <c r="G272" t="inlineStr">
        <is>
          <t>SÄVSJÖ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46230</v>
      </c>
      <c r="F273" t="inlineStr">
        <is>
          <t>JÖNKÖPINGS LÄN</t>
        </is>
      </c>
      <c r="G273" t="inlineStr">
        <is>
          <t>SÄVSJÖ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45541</v>
      </c>
      <c r="E274" s="1" t="n">
        <v>46230</v>
      </c>
      <c r="F274" t="inlineStr">
        <is>
          <t>JÖNKÖPINGS LÄN</t>
        </is>
      </c>
      <c r="G274" t="inlineStr">
        <is>
          <t>SÄVSJÖ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46230</v>
      </c>
      <c r="F275" t="inlineStr">
        <is>
          <t>JÖNKÖPINGS LÄN</t>
        </is>
      </c>
      <c r="G275" t="inlineStr">
        <is>
          <t>SÄVSJÖ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46230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46230</v>
      </c>
      <c r="F277" t="inlineStr">
        <is>
          <t>JÖNKÖPINGS LÄN</t>
        </is>
      </c>
      <c r="G277" t="inlineStr">
        <is>
          <t>SÄVSJÖ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46230</v>
      </c>
      <c r="F278" t="inlineStr">
        <is>
          <t>JÖNKÖPINGS LÄN</t>
        </is>
      </c>
      <c r="G278" t="inlineStr">
        <is>
          <t>SÄVSJÖ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46230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46230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46230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46230</v>
      </c>
      <c r="F282" t="inlineStr">
        <is>
          <t>JÖNKÖPINGS LÄN</t>
        </is>
      </c>
      <c r="G282" t="inlineStr">
        <is>
          <t>SÄVSJÖ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46230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46230</v>
      </c>
      <c r="F284" t="inlineStr">
        <is>
          <t>JÖNKÖPINGS LÄN</t>
        </is>
      </c>
      <c r="G284" t="inlineStr">
        <is>
          <t>SÄVSJÖ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46230</v>
      </c>
      <c r="F285" t="inlineStr">
        <is>
          <t>JÖNKÖPINGS LÄN</t>
        </is>
      </c>
      <c r="G285" t="inlineStr">
        <is>
          <t>SÄVSJÖ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46230</v>
      </c>
      <c r="F286" t="inlineStr">
        <is>
          <t>JÖNKÖPINGS LÄN</t>
        </is>
      </c>
      <c r="G286" t="inlineStr">
        <is>
          <t>SÄVSJÖ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46230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46230</v>
      </c>
      <c r="F288" t="inlineStr">
        <is>
          <t>JÖNKÖPINGS LÄN</t>
        </is>
      </c>
      <c r="G288" t="inlineStr">
        <is>
          <t>SÄVSJÖ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46230</v>
      </c>
      <c r="F289" t="inlineStr">
        <is>
          <t>JÖNKÖPINGS LÄN</t>
        </is>
      </c>
      <c r="G289" t="inlineStr">
        <is>
          <t>SÄVSJÖ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46230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46230</v>
      </c>
      <c r="F291" t="inlineStr">
        <is>
          <t>JÖNKÖPINGS LÄN</t>
        </is>
      </c>
      <c r="G291" t="inlineStr">
        <is>
          <t>SÄVSJÖ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46230</v>
      </c>
      <c r="F292" t="inlineStr">
        <is>
          <t>JÖNKÖPINGS LÄN</t>
        </is>
      </c>
      <c r="G292" t="inlineStr">
        <is>
          <t>SÄVSJÖ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46230</v>
      </c>
      <c r="F293" t="inlineStr">
        <is>
          <t>JÖNKÖPINGS LÄN</t>
        </is>
      </c>
      <c r="G293" t="inlineStr">
        <is>
          <t>SÄVSJÖ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46230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44590</v>
      </c>
      <c r="E295" s="1" t="n">
        <v>46230</v>
      </c>
      <c r="F295" t="inlineStr">
        <is>
          <t>JÖNKÖPINGS LÄN</t>
        </is>
      </c>
      <c r="G295" t="inlineStr">
        <is>
          <t>SÄVSJÖ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46230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45611</v>
      </c>
      <c r="E297" s="1" t="n">
        <v>46230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57471-2022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46230</v>
      </c>
      <c r="F298" t="inlineStr">
        <is>
          <t>JÖNKÖPINGS LÄN</t>
        </is>
      </c>
      <c r="G298" t="inlineStr">
        <is>
          <t>SÄVSJÖ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55381-2023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46230</v>
      </c>
      <c r="F299" t="inlineStr">
        <is>
          <t>JÖNKÖPINGS LÄN</t>
        </is>
      </c>
      <c r="G299" t="inlineStr">
        <is>
          <t>SÄVSJÖ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44972</v>
      </c>
      <c r="E300" s="1" t="n">
        <v>46230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46230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45454</v>
      </c>
      <c r="E302" s="1" t="n">
        <v>46230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46230</v>
      </c>
      <c r="F303" t="inlineStr">
        <is>
          <t>JÖNKÖPINGS LÄN</t>
        </is>
      </c>
      <c r="G303" t="inlineStr">
        <is>
          <t>SÄVSJÖ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46230</v>
      </c>
      <c r="F304" t="inlineStr">
        <is>
          <t>JÖNKÖPINGS LÄN</t>
        </is>
      </c>
      <c r="G304" t="inlineStr">
        <is>
          <t>SÄVSJÖ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46230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31721-2026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46226</v>
      </c>
      <c r="E306" s="1" t="n">
        <v>46230</v>
      </c>
      <c r="F306" t="inlineStr">
        <is>
          <t>JÖNKÖPINGS LÄN</t>
        </is>
      </c>
      <c r="G306" t="inlineStr">
        <is>
          <t>SÄVSJÖ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46230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46230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46230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38072-2023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46230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46230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45334</v>
      </c>
      <c r="E312" s="1" t="n">
        <v>46230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46230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46230</v>
      </c>
      <c r="F314" t="inlineStr">
        <is>
          <t>JÖNKÖPINGS LÄN</t>
        </is>
      </c>
      <c r="G314" t="inlineStr">
        <is>
          <t>SÄVSJÖ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46230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44651</v>
      </c>
      <c r="E316" s="1" t="n">
        <v>46230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46230</v>
      </c>
      <c r="F317" t="inlineStr">
        <is>
          <t>JÖNKÖPINGS LÄN</t>
        </is>
      </c>
      <c r="G317" t="inlineStr">
        <is>
          <t>SÄVSJÖ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49292-2023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45210</v>
      </c>
      <c r="E318" s="1" t="n">
        <v>46230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46230</v>
      </c>
      <c r="F319" t="inlineStr">
        <is>
          <t>JÖNKÖPINGS LÄN</t>
        </is>
      </c>
      <c r="G319" t="inlineStr">
        <is>
          <t>SÄVSJÖ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46230</v>
      </c>
      <c r="F320" t="inlineStr">
        <is>
          <t>JÖNKÖPINGS LÄN</t>
        </is>
      </c>
      <c r="G320" t="inlineStr">
        <is>
          <t>SÄVSJÖ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45694</v>
      </c>
      <c r="E321" s="1" t="n">
        <v>46230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46230</v>
      </c>
      <c r="F322" t="inlineStr">
        <is>
          <t>JÖNKÖPINGS LÄN</t>
        </is>
      </c>
      <c r="G322" t="inlineStr">
        <is>
          <t>SÄVSJÖ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44245-2022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44839</v>
      </c>
      <c r="E323" s="1" t="n">
        <v>46230</v>
      </c>
      <c r="F323" t="inlineStr">
        <is>
          <t>JÖNKÖPINGS LÄN</t>
        </is>
      </c>
      <c r="G323" t="inlineStr">
        <is>
          <t>SÄVSJÖ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55909-2024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45623</v>
      </c>
      <c r="E324" s="1" t="n">
        <v>46230</v>
      </c>
      <c r="F324" t="inlineStr">
        <is>
          <t>JÖNKÖPINGS LÄN</t>
        </is>
      </c>
      <c r="G324" t="inlineStr">
        <is>
          <t>SÄVSJÖ</t>
        </is>
      </c>
      <c r="H324" t="inlineStr">
        <is>
          <t>Kommuner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45704</v>
      </c>
      <c r="E325" s="1" t="n">
        <v>46230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46230</v>
      </c>
      <c r="F326" t="inlineStr">
        <is>
          <t>JÖNKÖPINGS LÄN</t>
        </is>
      </c>
      <c r="G326" t="inlineStr">
        <is>
          <t>SÄVSJÖ</t>
        </is>
      </c>
      <c r="I326" t="n">
        <v>19.9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11258-2024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45371</v>
      </c>
      <c r="E327" s="1" t="n">
        <v>46230</v>
      </c>
      <c r="F327" t="inlineStr">
        <is>
          <t>JÖNKÖPINGS LÄN</t>
        </is>
      </c>
      <c r="G327" t="inlineStr">
        <is>
          <t>SÄVSJÖ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46230</v>
      </c>
      <c r="F328" t="inlineStr">
        <is>
          <t>JÖNKÖPINGS LÄN</t>
        </is>
      </c>
      <c r="G328" t="inlineStr">
        <is>
          <t>SÄVSJÖ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53916-2021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44469</v>
      </c>
      <c r="E329" s="1" t="n">
        <v>46230</v>
      </c>
      <c r="F329" t="inlineStr">
        <is>
          <t>JÖNKÖPINGS LÄN</t>
        </is>
      </c>
      <c r="G329" t="inlineStr">
        <is>
          <t>SÄVSJÖ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46230</v>
      </c>
      <c r="F330" t="inlineStr">
        <is>
          <t>JÖNKÖPINGS LÄN</t>
        </is>
      </c>
      <c r="G330" t="inlineStr">
        <is>
          <t>SÄVSJÖ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46230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44883</v>
      </c>
      <c r="E332" s="1" t="n">
        <v>46230</v>
      </c>
      <c r="F332" t="inlineStr">
        <is>
          <t>JÖNKÖPINGS LÄN</t>
        </is>
      </c>
      <c r="G332" t="inlineStr">
        <is>
          <t>SÄVSJÖ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45261</v>
      </c>
      <c r="E333" s="1" t="n">
        <v>46230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55254-2021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44475</v>
      </c>
      <c r="E334" s="1" t="n">
        <v>46230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45301</v>
      </c>
      <c r="E335" s="1" t="n">
        <v>46230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46230</v>
      </c>
      <c r="F336" t="inlineStr">
        <is>
          <t>JÖNKÖPINGS LÄN</t>
        </is>
      </c>
      <c r="G336" t="inlineStr">
        <is>
          <t>SÄVSJÖ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46230</v>
      </c>
      <c r="F337" t="inlineStr">
        <is>
          <t>JÖNKÖPINGS LÄN</t>
        </is>
      </c>
      <c r="G337" t="inlineStr">
        <is>
          <t>SÄVSJÖ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46230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46230</v>
      </c>
      <c r="F339" t="inlineStr">
        <is>
          <t>JÖNKÖPINGS LÄN</t>
        </is>
      </c>
      <c r="G339" t="inlineStr">
        <is>
          <t>SÄVSJÖ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46230</v>
      </c>
      <c r="F340" t="inlineStr">
        <is>
          <t>JÖNKÖPINGS LÄN</t>
        </is>
      </c>
      <c r="G340" t="inlineStr">
        <is>
          <t>SÄVSJÖ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45685</v>
      </c>
      <c r="E341" s="1" t="n">
        <v>46230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46230</v>
      </c>
      <c r="F342" t="inlineStr">
        <is>
          <t>JÖNKÖPINGS LÄN</t>
        </is>
      </c>
      <c r="G342" t="inlineStr">
        <is>
          <t>SÄVSJÖ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45066</v>
      </c>
      <c r="E343" s="1" t="n">
        <v>46230</v>
      </c>
      <c r="F343" t="inlineStr">
        <is>
          <t>JÖNKÖPINGS LÄN</t>
        </is>
      </c>
      <c r="G343" t="inlineStr">
        <is>
          <t>SÄVSJÖ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46230</v>
      </c>
      <c r="F344" t="inlineStr">
        <is>
          <t>JÖNKÖPINGS LÄN</t>
        </is>
      </c>
      <c r="G344" t="inlineStr">
        <is>
          <t>SÄVSJÖ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46230</v>
      </c>
      <c r="F345" t="inlineStr">
        <is>
          <t>JÖNKÖPINGS LÄN</t>
        </is>
      </c>
      <c r="G345" t="inlineStr">
        <is>
          <t>SÄVSJÖ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46230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46230</v>
      </c>
      <c r="F347" t="inlineStr">
        <is>
          <t>JÖNKÖPINGS LÄN</t>
        </is>
      </c>
      <c r="G347" t="inlineStr">
        <is>
          <t>SÄVSJÖ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46230</v>
      </c>
      <c r="F348" t="inlineStr">
        <is>
          <t>JÖNKÖPINGS LÄN</t>
        </is>
      </c>
      <c r="G348" t="inlineStr">
        <is>
          <t>SÄVSJÖ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45211</v>
      </c>
      <c r="E349" s="1" t="n">
        <v>46230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46230</v>
      </c>
      <c r="F350" t="inlineStr">
        <is>
          <t>JÖNKÖPINGS LÄN</t>
        </is>
      </c>
      <c r="G350" t="inlineStr">
        <is>
          <t>SÄVSJÖ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46230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46230</v>
      </c>
      <c r="F352" t="inlineStr">
        <is>
          <t>JÖNKÖPINGS LÄN</t>
        </is>
      </c>
      <c r="G352" t="inlineStr">
        <is>
          <t>SÄVSJÖ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60805-2024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45644</v>
      </c>
      <c r="E353" s="1" t="n">
        <v>46230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45573</v>
      </c>
      <c r="E354" s="1" t="n">
        <v>46230</v>
      </c>
      <c r="F354" t="inlineStr">
        <is>
          <t>JÖNKÖPINGS LÄN</t>
        </is>
      </c>
      <c r="G354" t="inlineStr">
        <is>
          <t>SÄVSJÖ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45448</v>
      </c>
      <c r="E355" s="1" t="n">
        <v>46230</v>
      </c>
      <c r="F355" t="inlineStr">
        <is>
          <t>JÖNKÖPINGS LÄN</t>
        </is>
      </c>
      <c r="G355" t="inlineStr">
        <is>
          <t>SÄVSJÖ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46230</v>
      </c>
      <c r="F356" t="inlineStr">
        <is>
          <t>JÖNKÖPINGS LÄN</t>
        </is>
      </c>
      <c r="G356" t="inlineStr">
        <is>
          <t>SÄVSJÖ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45725</v>
      </c>
      <c r="E357" s="1" t="n">
        <v>46230</v>
      </c>
      <c r="F357" t="inlineStr">
        <is>
          <t>JÖNKÖPINGS LÄN</t>
        </is>
      </c>
      <c r="G357" t="inlineStr">
        <is>
          <t>SÄVSJÖ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17127-2024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45412</v>
      </c>
      <c r="E358" s="1" t="n">
        <v>46230</v>
      </c>
      <c r="F358" t="inlineStr">
        <is>
          <t>JÖNKÖPINGS LÄN</t>
        </is>
      </c>
      <c r="G358" t="inlineStr">
        <is>
          <t>SÄVSJÖ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46230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46230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46230</v>
      </c>
      <c r="F361" t="inlineStr">
        <is>
          <t>JÖNKÖPINGS LÄN</t>
        </is>
      </c>
      <c r="G361" t="inlineStr">
        <is>
          <t>SÄVSJÖ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46230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46230</v>
      </c>
      <c r="F363" t="inlineStr">
        <is>
          <t>JÖNKÖPINGS LÄN</t>
        </is>
      </c>
      <c r="G363" t="inlineStr">
        <is>
          <t>SÄVSJÖ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12804-2025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46230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46230</v>
      </c>
      <c r="F365" t="inlineStr">
        <is>
          <t>JÖNKÖPINGS LÄN</t>
        </is>
      </c>
      <c r="G365" t="inlineStr">
        <is>
          <t>SÄVSJÖ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46230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46230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46230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46230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46230</v>
      </c>
      <c r="F370" t="inlineStr">
        <is>
          <t>JÖNKÖPINGS LÄN</t>
        </is>
      </c>
      <c r="G370" t="inlineStr">
        <is>
          <t>SÄVSJÖ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45832</v>
      </c>
      <c r="E371" s="1" t="n">
        <v>46230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46230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46230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46230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46230</v>
      </c>
      <c r="F375" t="inlineStr">
        <is>
          <t>JÖNKÖPINGS LÄN</t>
        </is>
      </c>
      <c r="G375" t="inlineStr">
        <is>
          <t>SÄVSJÖ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46230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54827-2021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44474</v>
      </c>
      <c r="E377" s="1" t="n">
        <v>46230</v>
      </c>
      <c r="F377" t="inlineStr">
        <is>
          <t>JÖNKÖPINGS LÄN</t>
        </is>
      </c>
      <c r="G377" t="inlineStr">
        <is>
          <t>SÄVSJÖ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46230</v>
      </c>
      <c r="F378" t="inlineStr">
        <is>
          <t>JÖNKÖPINGS LÄN</t>
        </is>
      </c>
      <c r="G378" t="inlineStr">
        <is>
          <t>SÄVSJÖ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44833</v>
      </c>
      <c r="E379" s="1" t="n">
        <v>46230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6558-2022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44882</v>
      </c>
      <c r="E380" s="1" t="n">
        <v>46230</v>
      </c>
      <c r="F380" t="inlineStr">
        <is>
          <t>JÖNKÖPINGS LÄN</t>
        </is>
      </c>
      <c r="G380" t="inlineStr">
        <is>
          <t>SÄVSJÖ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2542-2023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45139</v>
      </c>
      <c r="E381" s="1" t="n">
        <v>46230</v>
      </c>
      <c r="F381" t="inlineStr">
        <is>
          <t>JÖNKÖPINGS LÄN</t>
        </is>
      </c>
      <c r="G381" t="inlineStr">
        <is>
          <t>SÄVSJÖ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1675-2023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46230</v>
      </c>
      <c r="F382" t="inlineStr">
        <is>
          <t>JÖNKÖPINGS LÄN</t>
        </is>
      </c>
      <c r="G382" t="inlineStr">
        <is>
          <t>SÄVSJÖ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46230</v>
      </c>
      <c r="F383" t="inlineStr">
        <is>
          <t>JÖNKÖPINGS LÄN</t>
        </is>
      </c>
      <c r="G383" t="inlineStr">
        <is>
          <t>SÄVSJÖ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2964-2023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45173</v>
      </c>
      <c r="E384" s="1" t="n">
        <v>46230</v>
      </c>
      <c r="F384" t="inlineStr">
        <is>
          <t>JÖNKÖPINGS LÄN</t>
        </is>
      </c>
      <c r="G384" t="inlineStr">
        <is>
          <t>SÄVSJÖ</t>
        </is>
      </c>
      <c r="I384" t="n">
        <v>54.6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2661-2023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46230</v>
      </c>
      <c r="F385" t="inlineStr">
        <is>
          <t>JÖNKÖPINGS LÄN</t>
        </is>
      </c>
      <c r="G385" t="inlineStr">
        <is>
          <t>SÄVSJÖ</t>
        </is>
      </c>
      <c r="I385" t="n">
        <v>21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10445-2021</t>
        </is>
      </c>
      <c r="B386" t="inlineStr">
        <is>
          <t>samrådsanmälan</t>
        </is>
      </c>
      <c r="C386" t="inlineStr">
        <is>
          <t>Skogsbilväg</t>
        </is>
      </c>
      <c r="D386" s="1" t="n">
        <v>44558</v>
      </c>
      <c r="E386" s="1" t="n">
        <v>46230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46230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46230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46230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46230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46230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46230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46230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46230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46230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46230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46230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46230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46230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46230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46230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46230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46230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46230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46230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46230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46230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46230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46230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2026-07-27T01:50:34Z</dcterms:created>
  <dcterms:modified xmlns:dcterms="http://purl.org/dc/terms/" xmlns:xsi="http://www.w3.org/2001/XMLSchema-instance" xsi:type="dcterms:W3CDTF">2026-07-27T01:50:34Z</dcterms:modified>
</cp:coreProperties>
</file>