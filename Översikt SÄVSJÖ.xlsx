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46324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46324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46324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46324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46324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46324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61151-2025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45999</v>
      </c>
      <c r="E8" s="1" t="n">
        <v>46324</v>
      </c>
      <c r="F8" t="inlineStr">
        <is>
          <t>JÖNKÖPINGS LÄN</t>
        </is>
      </c>
      <c r="G8" t="inlineStr">
        <is>
          <t>SÄVSJÖ</t>
        </is>
      </c>
      <c r="I8" t="n">
        <v>26.2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Korallrot
Lopplummer (aggregat)</t>
        </is>
      </c>
      <c r="W8">
        <f>HYPERLINK("https://klasma.github.io/Logging_0684/artfynd/A 61151-2025 artfynd.xlsx", "A 61151-2025")</f>
        <v/>
      </c>
      <c r="X8">
        <f>HYPERLINK("https://klasma.github.io/Logging_0684/kartor/A 61151-2025 karta.png", "A 61151-2025")</f>
        <v/>
      </c>
      <c r="Y8">
        <f>HYPERLINK("https://klasma.github.io/Logging_0684/kartor_geotiff/A 61151-2025 georefererad karta.tif", "A 61151-2025")</f>
        <v/>
      </c>
      <c r="AA8">
        <f>HYPERLINK("https://klasma.github.io/Logging_0684/klagomål/A 61151-2025 FSC-klagomål.docx", "A 61151-2025")</f>
        <v/>
      </c>
      <c r="AB8">
        <f>HYPERLINK("https://klasma.github.io/Logging_0684/klagomålsmail/A 61151-2025 FSC-klagomål mail.docx", "A 61151-2025")</f>
        <v/>
      </c>
      <c r="AC8">
        <f>HYPERLINK("https://klasma.github.io/Logging_0684/tillsyn/A 61151-2025 tillsynsbegäran.docx", "A 61151-2025")</f>
        <v/>
      </c>
      <c r="AD8">
        <f>HYPERLINK("https://klasma.github.io/Logging_0684/tillsynsmail/A 61151-2025 tillsynsbegäran mail.docx", "A 61151-2025")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46324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46324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46324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8198-2024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45351</v>
      </c>
      <c r="E12" s="1" t="n">
        <v>46324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Småfruktigt blågryn</t>
        </is>
      </c>
      <c r="W12">
        <f>HYPERLINK("https://klasma.github.io/Logging_0684/artfynd/A 8198-2024 artfynd.xlsx", "A 8198-2024")</f>
        <v/>
      </c>
      <c r="X12">
        <f>HYPERLINK("https://klasma.github.io/Logging_0684/kartor/A 8198-2024 karta.png", "A 8198-2024")</f>
        <v/>
      </c>
      <c r="Y12">
        <f>HYPERLINK("https://klasma.github.io/Logging_0684/kartor_geotiff/A 8198-2024 georefererad karta.tif", "A 8198-2024")</f>
        <v/>
      </c>
      <c r="AA12">
        <f>HYPERLINK("https://klasma.github.io/Logging_0684/klagomål/A 8198-2024 FSC-klagomål.docx", "A 8198-2024")</f>
        <v/>
      </c>
      <c r="AB12">
        <f>HYPERLINK("https://klasma.github.io/Logging_0684/klagomålsmail/A 8198-2024 FSC-klagomål mail.docx", "A 8198-2024")</f>
        <v/>
      </c>
      <c r="AC12">
        <f>HYPERLINK("https://klasma.github.io/Logging_0684/tillsyn/A 8198-2024 tillsynsbegäran.docx", "A 8198-2024")</f>
        <v/>
      </c>
      <c r="AD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45530</v>
      </c>
      <c r="E13" s="1" t="n">
        <v>46324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35136-2024 artfynd.xlsx", "A 35136-2024")</f>
        <v/>
      </c>
      <c r="X13">
        <f>HYPERLINK("https://klasma.github.io/Logging_0684/kartor/A 35136-2024 karta.png", "A 35136-2024")</f>
        <v/>
      </c>
      <c r="Y13">
        <f>HYPERLINK("https://klasma.github.io/Logging_0684/kartor_geotiff/A 35136-2024 georefererad karta.tif", "A 35136-2024")</f>
        <v/>
      </c>
      <c r="AA13">
        <f>HYPERLINK("https://klasma.github.io/Logging_0684/klagomål/A 35136-2024 FSC-klagomål.docx", "A 35136-2024")</f>
        <v/>
      </c>
      <c r="AB13">
        <f>HYPERLINK("https://klasma.github.io/Logging_0684/klagomålsmail/A 35136-2024 FSC-klagomål mail.docx", "A 35136-2024")</f>
        <v/>
      </c>
      <c r="AC13">
        <f>HYPERLINK("https://klasma.github.io/Logging_0684/tillsyn/A 35136-2024 tillsynsbegäran.docx", "A 35136-2024")</f>
        <v/>
      </c>
      <c r="AD13">
        <f>HYPERLINK("https://klasma.github.io/Logging_0684/tillsynsmail/A 35136-2024 tillsynsbegäran mail.docx", "A 35136-2024")</f>
        <v/>
      </c>
    </row>
    <row r="14" ht="15" customHeight="1">
      <c r="A14" t="inlineStr">
        <is>
          <t>A 10046-2025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45719</v>
      </c>
      <c r="E14" s="1" t="n">
        <v>46324</v>
      </c>
      <c r="F14" t="inlineStr">
        <is>
          <t>JÖNKÖPINGS LÄN</t>
        </is>
      </c>
      <c r="G14" t="inlineStr">
        <is>
          <t>SÄVSJÖ</t>
        </is>
      </c>
      <c r="I14" t="n">
        <v>8.6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HYPERLINK("https://klasma.github.io/Logging_0684/artfynd/A 10046-2025 artfynd.xlsx", "A 10046-2025")</f>
        <v/>
      </c>
      <c r="X14">
        <f>HYPERLINK("https://klasma.github.io/Logging_0684/kartor/A 10046-2025 karta.png", "A 10046-2025")</f>
        <v/>
      </c>
      <c r="Y14">
        <f>HYPERLINK("https://klasma.github.io/Logging_0684/kartor_geotiff/A 10046-2025 georefererad karta.tif", "A 10046-2025")</f>
        <v/>
      </c>
      <c r="AA14">
        <f>HYPERLINK("https://klasma.github.io/Logging_0684/klagomål/A 10046-2025 FSC-klagomål.docx", "A 10046-2025")</f>
        <v/>
      </c>
      <c r="AB14">
        <f>HYPERLINK("https://klasma.github.io/Logging_0684/klagomålsmail/A 10046-2025 FSC-klagomål mail.docx", "A 10046-2025")</f>
        <v/>
      </c>
      <c r="AC14">
        <f>HYPERLINK("https://klasma.github.io/Logging_0684/tillsyn/A 10046-2025 tillsynsbegäran.docx", "A 10046-2025")</f>
        <v/>
      </c>
      <c r="AD14">
        <f>HYPERLINK("https://klasma.github.io/Logging_0684/tillsynsmail/A 10046-2025 tillsynsbegäran mail.docx", "A 10046-2025")</f>
        <v/>
      </c>
    </row>
    <row r="15" ht="15" customHeight="1">
      <c r="A15" t="inlineStr">
        <is>
          <t>A 10775-2025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45722</v>
      </c>
      <c r="E15" s="1" t="n">
        <v>46324</v>
      </c>
      <c r="F15" t="inlineStr">
        <is>
          <t>JÖNKÖPINGS LÄN</t>
        </is>
      </c>
      <c r="G15" t="inlineStr">
        <is>
          <t>SÄVSJÖ</t>
        </is>
      </c>
      <c r="I15" t="n">
        <v>10.1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10775-2025 artfynd.xlsx", "A 10775-2025")</f>
        <v/>
      </c>
      <c r="X15">
        <f>HYPERLINK("https://klasma.github.io/Logging_0684/kartor/A 10775-2025 karta.png", "A 10775-2025")</f>
        <v/>
      </c>
      <c r="Y15">
        <f>HYPERLINK("https://klasma.github.io/Logging_0684/kartor_geotiff/A 10775-2025 georefererad karta.tif", "A 10775-2025")</f>
        <v/>
      </c>
      <c r="AA15">
        <f>HYPERLINK("https://klasma.github.io/Logging_0684/klagomål/A 10775-2025 FSC-klagomål.docx", "A 10775-2025")</f>
        <v/>
      </c>
      <c r="AB15">
        <f>HYPERLINK("https://klasma.github.io/Logging_0684/klagomålsmail/A 10775-2025 FSC-klagomål mail.docx", "A 10775-2025")</f>
        <v/>
      </c>
      <c r="AC15">
        <f>HYPERLINK("https://klasma.github.io/Logging_0684/tillsyn/A 10775-2025 tillsynsbegäran.docx", "A 10775-2025")</f>
        <v/>
      </c>
      <c r="AD15">
        <f>HYPERLINK("https://klasma.github.io/Logging_0684/tillsynsmail/A 10775-2025 tillsynsbegäran mail.docx", "A 10775-2025")</f>
        <v/>
      </c>
    </row>
    <row r="16" ht="15" customHeight="1">
      <c r="A16" t="inlineStr">
        <is>
          <t>A 19123-2025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45768</v>
      </c>
      <c r="E16" s="1" t="n">
        <v>46324</v>
      </c>
      <c r="F16" t="inlineStr">
        <is>
          <t>JÖNKÖPINGS LÄN</t>
        </is>
      </c>
      <c r="G16" t="inlineStr">
        <is>
          <t>SÄVSJÖ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HYPERLINK("https://klasma.github.io/Logging_0684/artfynd/A 19123-2025 artfynd.xlsx", "A 19123-2025")</f>
        <v/>
      </c>
      <c r="X16">
        <f>HYPERLINK("https://klasma.github.io/Logging_0684/kartor/A 19123-2025 karta.png", "A 19123-2025")</f>
        <v/>
      </c>
      <c r="Y16">
        <f>HYPERLINK("https://klasma.github.io/Logging_0684/kartor_geotiff/A 19123-2025 georefererad karta.tif", "A 19123-2025")</f>
        <v/>
      </c>
      <c r="AA16">
        <f>HYPERLINK("https://klasma.github.io/Logging_0684/klagomål/A 19123-2025 FSC-klagomål.docx", "A 19123-2025")</f>
        <v/>
      </c>
      <c r="AB16">
        <f>HYPERLINK("https://klasma.github.io/Logging_0684/klagomålsmail/A 19123-2025 FSC-klagomål mail.docx", "A 19123-2025")</f>
        <v/>
      </c>
      <c r="AC16">
        <f>HYPERLINK("https://klasma.github.io/Logging_0684/tillsyn/A 19123-2025 tillsynsbegäran.docx", "A 19123-2025")</f>
        <v/>
      </c>
      <c r="AD16">
        <f>HYPERLINK("https://klasma.github.io/Logging_0684/tillsynsmail/A 19123-2025 tillsynsbegäran mail.docx", "A 19123-2025")</f>
        <v/>
      </c>
      <c r="AE16">
        <f>HYPERLINK("https://klasma.github.io/Logging_0684/fåglar/A 19123-2025 prioriterade fågelarter.docx", "A 19123-2025")</f>
        <v/>
      </c>
    </row>
    <row r="17" ht="15" customHeight="1">
      <c r="A17" t="inlineStr">
        <is>
          <t>A 39632-2025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45890</v>
      </c>
      <c r="E17" s="1" t="n">
        <v>46324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Bredgentiana</t>
        </is>
      </c>
      <c r="W17">
        <f>HYPERLINK("https://klasma.github.io/Logging_0684/artfynd/A 39632-2025 artfynd.xlsx", "A 39632-2025")</f>
        <v/>
      </c>
      <c r="X17">
        <f>HYPERLINK("https://klasma.github.io/Logging_0684/kartor/A 39632-2025 karta.png", "A 39632-2025")</f>
        <v/>
      </c>
      <c r="Y17">
        <f>HYPERLINK("https://klasma.github.io/Logging_0684/kartor_geotiff/A 39632-2025 georefererad karta.tif", "A 39632-2025")</f>
        <v/>
      </c>
      <c r="AA17">
        <f>HYPERLINK("https://klasma.github.io/Logging_0684/klagomål/A 39632-2025 FSC-klagomål.docx", "A 39632-2025")</f>
        <v/>
      </c>
      <c r="AB17">
        <f>HYPERLINK("https://klasma.github.io/Logging_0684/klagomålsmail/A 39632-2025 FSC-klagomål mail.docx", "A 39632-2025")</f>
        <v/>
      </c>
      <c r="AC17">
        <f>HYPERLINK("https://klasma.github.io/Logging_0684/tillsyn/A 39632-2025 tillsynsbegäran.docx", "A 39632-2025")</f>
        <v/>
      </c>
      <c r="AD17">
        <f>HYPERLINK("https://klasma.github.io/Logging_0684/tillsynsmail/A 39632-2025 tillsynsbegäran mail.docx", "A 39632-2025")</f>
        <v/>
      </c>
    </row>
    <row r="18" ht="15" customHeight="1">
      <c r="A18" t="inlineStr">
        <is>
          <t>A 18174-2026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46324</v>
      </c>
      <c r="F18" t="inlineStr">
        <is>
          <t>JÖNKÖPINGS LÄN</t>
        </is>
      </c>
      <c r="G18" t="inlineStr">
        <is>
          <t>SÄVSJÖ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HYPERLINK("https://klasma.github.io/Logging_0684/artfynd/A 18174-2026 artfynd.xlsx", "A 18174-2026")</f>
        <v/>
      </c>
      <c r="X18">
        <f>HYPERLINK("https://klasma.github.io/Logging_0684/kartor/A 18174-2026 karta.png", "A 18174-2026")</f>
        <v/>
      </c>
      <c r="Y18">
        <f>HYPERLINK("https://klasma.github.io/Logging_0684/kartor_geotiff/A 18174-2026 georefererad karta.tif", "A 18174-2026")</f>
        <v/>
      </c>
      <c r="AA18">
        <f>HYPERLINK("https://klasma.github.io/Logging_0684/klagomål/A 18174-2026 FSC-klagomål.docx", "A 18174-2026")</f>
        <v/>
      </c>
      <c r="AB18">
        <f>HYPERLINK("https://klasma.github.io/Logging_0684/klagomålsmail/A 18174-2026 FSC-klagomål mail.docx", "A 18174-2026")</f>
        <v/>
      </c>
      <c r="AC18">
        <f>HYPERLINK("https://klasma.github.io/Logging_0684/tillsyn/A 18174-2026 tillsynsbegäran.docx", "A 18174-2026")</f>
        <v/>
      </c>
      <c r="AD18">
        <f>HYPERLINK("https://klasma.github.io/Logging_0684/tillsynsmail/A 18174-2026 tillsynsbegäran mail.docx", "A 18174-2026")</f>
        <v/>
      </c>
      <c r="AE18">
        <f>HYPERLINK("https://klasma.github.io/Logging_0684/fåglar/A 18174-2026 prioriterade fågelarter.docx", "A 18174-2026")</f>
        <v/>
      </c>
    </row>
    <row r="19" ht="15" customHeight="1">
      <c r="A19" t="inlineStr">
        <is>
          <t>A 57846-2025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45981</v>
      </c>
      <c r="E19" s="1" t="n">
        <v>46324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4</v>
      </c>
      <c r="U19" t="n">
        <v>0</v>
      </c>
      <c r="V19" s="2" t="inlineStr">
        <is>
          <t>Ask</t>
        </is>
      </c>
      <c r="W19">
        <f>HYPERLINK("https://klasma.github.io/Logging_0684/artfynd/A 57846-2025 artfynd.xlsx", "A 57846-2025")</f>
        <v/>
      </c>
      <c r="X19">
        <f>HYPERLINK("https://klasma.github.io/Logging_0684/kartor/A 57846-2025 karta.png", "A 57846-2025")</f>
        <v/>
      </c>
      <c r="Y19">
        <f>HYPERLINK("https://klasma.github.io/Logging_0684/kartor_geotiff/A 57846-2025 georefererad karta.tif", "A 57846-2025")</f>
        <v/>
      </c>
      <c r="AA19">
        <f>HYPERLINK("https://klasma.github.io/Logging_0684/klagomål/A 57846-2025 FSC-klagomål.docx", "A 57846-2025")</f>
        <v/>
      </c>
      <c r="AB19">
        <f>HYPERLINK("https://klasma.github.io/Logging_0684/klagomålsmail/A 57846-2025 FSC-klagomål mail.docx", "A 57846-2025")</f>
        <v/>
      </c>
      <c r="AC19">
        <f>HYPERLINK("https://klasma.github.io/Logging_0684/tillsyn/A 57846-2025 tillsynsbegäran.docx", "A 57846-2025")</f>
        <v/>
      </c>
      <c r="AD19">
        <f>HYPERLINK("https://klasma.github.io/Logging_0684/tillsynsmail/A 57846-2025 tillsynsbegäran mail.docx", "A 57846-2025")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46324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11797-2026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46324</v>
      </c>
      <c r="F21" t="inlineStr">
        <is>
          <t>JÖNKÖPINGS LÄN</t>
        </is>
      </c>
      <c r="G21" t="inlineStr">
        <is>
          <t>SÄVSJÖ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11797-2026 artfynd.xlsx", "A 11797-2026")</f>
        <v/>
      </c>
      <c r="X21">
        <f>HYPERLINK("https://klasma.github.io/Logging_0684/kartor/A 11797-2026 karta.png", "A 11797-2026")</f>
        <v/>
      </c>
      <c r="Y21">
        <f>HYPERLINK("https://klasma.github.io/Logging_0684/kartor_geotiff/A 11797-2026 georefererad karta.tif", "A 11797-2026")</f>
        <v/>
      </c>
      <c r="AA21">
        <f>HYPERLINK("https://klasma.github.io/Logging_0684/klagomål/A 11797-2026 FSC-klagomål.docx", "A 11797-2026")</f>
        <v/>
      </c>
      <c r="AB21">
        <f>HYPERLINK("https://klasma.github.io/Logging_0684/klagomålsmail/A 11797-2026 FSC-klagomål mail.docx", "A 11797-2026")</f>
        <v/>
      </c>
      <c r="AC21">
        <f>HYPERLINK("https://klasma.github.io/Logging_0684/tillsyn/A 11797-2026 tillsynsbegäran.docx", "A 11797-2026")</f>
        <v/>
      </c>
      <c r="AD21">
        <f>HYPERLINK("https://klasma.github.io/Logging_0684/tillsynsmail/A 11797-2026 tillsynsbegäran mail.docx", "A 11797-2026")</f>
        <v/>
      </c>
    </row>
    <row r="22" ht="15" customHeight="1">
      <c r="A22" t="inlineStr">
        <is>
          <t>A 40075-2023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45168</v>
      </c>
      <c r="E22" s="1" t="n">
        <v>46324</v>
      </c>
      <c r="F22" t="inlineStr">
        <is>
          <t>JÖNKÖPINGS LÄN</t>
        </is>
      </c>
      <c r="G22" t="inlineStr">
        <is>
          <t>SÄVSJÖ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HYPERLINK("https://klasma.github.io/Logging_0684/artfynd/A 40075-2023 artfynd.xlsx", "A 40075-2023")</f>
        <v/>
      </c>
      <c r="X22">
        <f>HYPERLINK("https://klasma.github.io/Logging_0684/kartor/A 40075-2023 karta.png", "A 40075-2023")</f>
        <v/>
      </c>
      <c r="Y22">
        <f>HYPERLINK("https://klasma.github.io/Logging_0684/kartor_geotiff/A 40075-2023 georefererad karta.tif", "A 40075-2023")</f>
        <v/>
      </c>
      <c r="AA22">
        <f>HYPERLINK("https://klasma.github.io/Logging_0684/klagomål/A 40075-2023 FSC-klagomål.docx", "A 40075-2023")</f>
        <v/>
      </c>
      <c r="AB22">
        <f>HYPERLINK("https://klasma.github.io/Logging_0684/klagomålsmail/A 40075-2023 FSC-klagomål mail.docx", "A 40075-2023")</f>
        <v/>
      </c>
      <c r="AC22">
        <f>HYPERLINK("https://klasma.github.io/Logging_0684/tillsyn/A 40075-2023 tillsynsbegäran.docx", "A 40075-2023")</f>
        <v/>
      </c>
      <c r="AD22">
        <f>HYPERLINK("https://klasma.github.io/Logging_0684/tillsynsmail/A 40075-2023 tillsynsbegäran mail.docx", "A 40075-2023")</f>
        <v/>
      </c>
    </row>
    <row r="23" ht="15" customHeight="1">
      <c r="A23" t="inlineStr">
        <is>
          <t>A 34214-2025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45845</v>
      </c>
      <c r="E23" s="1" t="n">
        <v>46324</v>
      </c>
      <c r="F23" t="inlineStr">
        <is>
          <t>JÖNKÖPINGS LÄN</t>
        </is>
      </c>
      <c r="G23" t="inlineStr">
        <is>
          <t>SÄVSJÖ</t>
        </is>
      </c>
      <c r="I23" t="n">
        <v>1.2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Lungrot</t>
        </is>
      </c>
      <c r="W23">
        <f>HYPERLINK("https://klasma.github.io/Logging_0684/artfynd/A 34214-2025 artfynd.xlsx", "A 34214-2025")</f>
        <v/>
      </c>
      <c r="X23">
        <f>HYPERLINK("https://klasma.github.io/Logging_0684/kartor/A 34214-2025 karta.png", "A 34214-2025")</f>
        <v/>
      </c>
      <c r="Y23">
        <f>HYPERLINK("https://klasma.github.io/Logging_0684/kartor_geotiff/A 34214-2025 georefererad karta.tif", "A 34214-2025")</f>
        <v/>
      </c>
      <c r="AA23">
        <f>HYPERLINK("https://klasma.github.io/Logging_0684/klagomål/A 34214-2025 FSC-klagomål.docx", "A 34214-2025")</f>
        <v/>
      </c>
      <c r="AB23">
        <f>HYPERLINK("https://klasma.github.io/Logging_0684/klagomålsmail/A 34214-2025 FSC-klagomål mail.docx", "A 34214-2025")</f>
        <v/>
      </c>
      <c r="AC23">
        <f>HYPERLINK("https://klasma.github.io/Logging_0684/tillsyn/A 34214-2025 tillsynsbegäran.docx", "A 34214-2025")</f>
        <v/>
      </c>
      <c r="AD23">
        <f>HYPERLINK("https://klasma.github.io/Logging_0684/tillsynsmail/A 34214-2025 tillsynsbegäran mail.docx", "A 34214-2025")</f>
        <v/>
      </c>
    </row>
    <row r="24" ht="15" customHeight="1">
      <c r="A24" t="inlineStr">
        <is>
          <t>A 61556-2025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46001</v>
      </c>
      <c r="E24" s="1" t="n">
        <v>46324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Törnskata</t>
        </is>
      </c>
      <c r="W24">
        <f>HYPERLINK("https://klasma.github.io/Logging_0684/artfynd/A 61556-2025 artfynd.xlsx", "A 61556-2025")</f>
        <v/>
      </c>
      <c r="X24">
        <f>HYPERLINK("https://klasma.github.io/Logging_0684/kartor/A 61556-2025 karta.png", "A 61556-2025")</f>
        <v/>
      </c>
      <c r="Y24">
        <f>HYPERLINK("https://klasma.github.io/Logging_0684/kartor_geotiff/A 61556-2025 georefererad karta.tif", "A 61556-2025")</f>
        <v/>
      </c>
      <c r="AA24">
        <f>HYPERLINK("https://klasma.github.io/Logging_0684/klagomål/A 61556-2025 FSC-klagomål.docx", "A 61556-2025")</f>
        <v/>
      </c>
      <c r="AB24">
        <f>HYPERLINK("https://klasma.github.io/Logging_0684/klagomålsmail/A 61556-2025 FSC-klagomål mail.docx", "A 61556-2025")</f>
        <v/>
      </c>
      <c r="AC24">
        <f>HYPERLINK("https://klasma.github.io/Logging_0684/tillsyn/A 61556-2025 tillsynsbegäran.docx", "A 61556-2025")</f>
        <v/>
      </c>
      <c r="AD24">
        <f>HYPERLINK("https://klasma.github.io/Logging_0684/tillsynsmail/A 61556-2025 tillsynsbegäran mail.docx", "A 61556-2025")</f>
        <v/>
      </c>
      <c r="AE24">
        <f>HYPERLINK("https://klasma.github.io/Logging_0684/fåglar/A 61556-2025 prioriterade fågelarter.docx", "A 61556-2025")</f>
        <v/>
      </c>
    </row>
    <row r="25" ht="15" customHeight="1">
      <c r="A25" t="inlineStr">
        <is>
          <t>A 40543-2023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45170</v>
      </c>
      <c r="E25" s="1" t="n">
        <v>46324</v>
      </c>
      <c r="F25" t="inlineStr">
        <is>
          <t>JÖNKÖPINGS LÄN</t>
        </is>
      </c>
      <c r="G25" t="inlineStr">
        <is>
          <t>SÄVSJÖ</t>
        </is>
      </c>
      <c r="I25" t="n">
        <v>2.8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Sommarfibbla</t>
        </is>
      </c>
      <c r="W25">
        <f>HYPERLINK("https://klasma.github.io/Logging_0684/artfynd/A 40543-2023 artfynd.xlsx", "A 40543-2023")</f>
        <v/>
      </c>
      <c r="X25">
        <f>HYPERLINK("https://klasma.github.io/Logging_0684/kartor/A 40543-2023 karta.png", "A 40543-2023")</f>
        <v/>
      </c>
      <c r="Y25">
        <f>HYPERLINK("https://klasma.github.io/Logging_0684/kartor_geotiff/A 40543-2023 georefererad karta.tif", "A 40543-2023")</f>
        <v/>
      </c>
      <c r="AA25">
        <f>HYPERLINK("https://klasma.github.io/Logging_0684/klagomål/A 40543-2023 FSC-klagomål.docx", "A 40543-2023")</f>
        <v/>
      </c>
      <c r="AB25">
        <f>HYPERLINK("https://klasma.github.io/Logging_0684/klagomålsmail/A 40543-2023 FSC-klagomål mail.docx", "A 40543-2023")</f>
        <v/>
      </c>
      <c r="AC25">
        <f>HYPERLINK("https://klasma.github.io/Logging_0684/tillsyn/A 40543-2023 tillsynsbegäran.docx", "A 40543-2023")</f>
        <v/>
      </c>
      <c r="AD25">
        <f>HYPERLINK("https://klasma.github.io/Logging_0684/tillsynsmail/A 40543-2023 tillsynsbegäran mail.docx", "A 40543-2023")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46324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A 41179-2026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46300</v>
      </c>
      <c r="E27" s="1" t="n">
        <v>46324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41179-2026 artfynd.xlsx", "A 41179-2026")</f>
        <v/>
      </c>
      <c r="X27">
        <f>HYPERLINK("https://klasma.github.io/Logging_0684/kartor/A 41179-2026 karta.png", "A 41179-2026")</f>
        <v/>
      </c>
      <c r="Y27">
        <f>HYPERLINK("https://klasma.github.io/Logging_0684/kartor_geotiff/A 41179-2026 georefererad karta.tif", "A 41179-2026")</f>
        <v/>
      </c>
      <c r="AA27">
        <f>HYPERLINK("https://klasma.github.io/Logging_0684/klagomål/A 41179-2026 FSC-klagomål.docx", "A 41179-2026")</f>
        <v/>
      </c>
      <c r="AB27">
        <f>HYPERLINK("https://klasma.github.io/Logging_0684/klagomålsmail/A 41179-2026 FSC-klagomål mail.docx", "A 41179-2026")</f>
        <v/>
      </c>
      <c r="AC27">
        <f>HYPERLINK("https://klasma.github.io/Logging_0684/tillsyn/A 41179-2026 tillsynsbegäran.docx", "A 41179-2026")</f>
        <v/>
      </c>
      <c r="AD27">
        <f>HYPERLINK("https://klasma.github.io/Logging_0684/tillsynsmail/A 41179-2026 tillsynsbegäran mail.docx", "A 41179-2026")</f>
        <v/>
      </c>
    </row>
    <row r="28" ht="15" customHeight="1">
      <c r="A28" t="inlineStr">
        <is>
          <t>A 35891-2026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46266</v>
      </c>
      <c r="E28" s="1" t="n">
        <v>46324</v>
      </c>
      <c r="F28" t="inlineStr">
        <is>
          <t>JÖNKÖPINGS LÄN</t>
        </is>
      </c>
      <c r="G28" t="inlineStr">
        <is>
          <t>SÄVSJÖ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Pilfibbla</t>
        </is>
      </c>
      <c r="W28">
        <f>HYPERLINK("https://klasma.github.io/Logging_0684/artfynd/A 35891-2026 artfynd.xlsx", "A 35891-2026")</f>
        <v/>
      </c>
      <c r="X28">
        <f>HYPERLINK("https://klasma.github.io/Logging_0684/kartor/A 35891-2026 karta.png", "A 35891-2026")</f>
        <v/>
      </c>
      <c r="Y28">
        <f>HYPERLINK("https://klasma.github.io/Logging_0684/kartor_geotiff/A 35891-2026 georefererad karta.tif", "A 35891-2026")</f>
        <v/>
      </c>
      <c r="AA28">
        <f>HYPERLINK("https://klasma.github.io/Logging_0684/klagomål/A 35891-2026 FSC-klagomål.docx", "A 35891-2026")</f>
        <v/>
      </c>
      <c r="AB28">
        <f>HYPERLINK("https://klasma.github.io/Logging_0684/klagomålsmail/A 35891-2026 FSC-klagomål mail.docx", "A 35891-2026")</f>
        <v/>
      </c>
      <c r="AC28">
        <f>HYPERLINK("https://klasma.github.io/Logging_0684/tillsyn/A 35891-2026 tillsynsbegäran.docx", "A 35891-2026")</f>
        <v/>
      </c>
      <c r="AD28">
        <f>HYPERLINK("https://klasma.github.io/Logging_0684/tillsynsmail/A 35891-2026 tillsynsbegäran mail.docx", "A 35891-2026")</f>
        <v/>
      </c>
    </row>
    <row r="29" ht="15" customHeight="1">
      <c r="A29" t="inlineStr">
        <is>
          <t>A 61482-2024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45646</v>
      </c>
      <c r="E29" s="1" t="n">
        <v>46324</v>
      </c>
      <c r="F29" t="inlineStr">
        <is>
          <t>JÖNKÖPINGS LÄN</t>
        </is>
      </c>
      <c r="G29" t="inlineStr">
        <is>
          <t>SÄVSJÖ</t>
        </is>
      </c>
      <c r="I29" t="n">
        <v>6.1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HYPERLINK("https://klasma.github.io/Logging_0684/artfynd/A 61482-2024 artfynd.xlsx", "A 61482-2024")</f>
        <v/>
      </c>
      <c r="X29">
        <f>HYPERLINK("https://klasma.github.io/Logging_0684/kartor/A 61482-2024 karta.png", "A 61482-2024")</f>
        <v/>
      </c>
      <c r="Y29">
        <f>HYPERLINK("https://klasma.github.io/Logging_0684/kartor_geotiff/A 61482-2024 georefererad karta.tif", "A 61482-2024")</f>
        <v/>
      </c>
      <c r="AA29">
        <f>HYPERLINK("https://klasma.github.io/Logging_0684/klagomål/A 61482-2024 FSC-klagomål.docx", "A 61482-2024")</f>
        <v/>
      </c>
      <c r="AB29">
        <f>HYPERLINK("https://klasma.github.io/Logging_0684/klagomålsmail/A 61482-2024 FSC-klagomål mail.docx", "A 61482-2024")</f>
        <v/>
      </c>
      <c r="AC29">
        <f>HYPERLINK("https://klasma.github.io/Logging_0684/tillsyn/A 61482-2024 tillsynsbegäran.docx", "A 61482-2024")</f>
        <v/>
      </c>
      <c r="AD29">
        <f>HYPERLINK("https://klasma.github.io/Logging_0684/tillsynsmail/A 61482-2024 tillsynsbegäran mail.docx", "A 61482-2024")</f>
        <v/>
      </c>
    </row>
    <row r="30" ht="15" customHeight="1">
      <c r="A30" t="inlineStr">
        <is>
          <t>A 43351-2026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46314</v>
      </c>
      <c r="E30" s="1" t="n">
        <v>46324</v>
      </c>
      <c r="F30" t="inlineStr">
        <is>
          <t>JÖNKÖPINGS LÄN</t>
        </is>
      </c>
      <c r="G30" t="inlineStr">
        <is>
          <t>SÄVSJÖ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22</v>
      </c>
      <c r="U30" t="n">
        <v>0</v>
      </c>
      <c r="V30" s="2" t="inlineStr">
        <is>
          <t>Ask</t>
        </is>
      </c>
      <c r="W30">
        <f>HYPERLINK("https://klasma.github.io/Logging_0684/artfynd/A 43351-2026 artfynd.xlsx", "A 43351-2026")</f>
        <v/>
      </c>
      <c r="X30">
        <f>HYPERLINK("https://klasma.github.io/Logging_0684/kartor/A 43351-2026 karta.png", "A 43351-2026")</f>
        <v/>
      </c>
      <c r="Y30">
        <f>HYPERLINK("https://klasma.github.io/Logging_0684/kartor_geotiff/A 43351-2026 georefererad karta.tif", "A 43351-2026")</f>
        <v/>
      </c>
      <c r="AA30">
        <f>HYPERLINK("https://klasma.github.io/Logging_0684/klagomål/A 43351-2026 FSC-klagomål.docx", "A 43351-2026")</f>
        <v/>
      </c>
      <c r="AB30">
        <f>HYPERLINK("https://klasma.github.io/Logging_0684/klagomålsmail/A 43351-2026 FSC-klagomål mail.docx", "A 43351-2026")</f>
        <v/>
      </c>
      <c r="AC30">
        <f>HYPERLINK("https://klasma.github.io/Logging_0684/tillsyn/A 43351-2026 tillsynsbegäran.docx", "A 43351-2026")</f>
        <v/>
      </c>
      <c r="AD30">
        <f>HYPERLINK("https://klasma.github.io/Logging_0684/tillsynsmail/A 43351-2026 tillsynsbegäran mail.docx", "A 43351-2026")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46324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S 2752-2026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46316</v>
      </c>
      <c r="E32" s="1" t="n">
        <v>46324</v>
      </c>
      <c r="F32" t="inlineStr">
        <is>
          <t>JÖNKÖPINGS LÄN</t>
        </is>
      </c>
      <c r="G32" t="inlineStr">
        <is>
          <t>SÄVSJÖ</t>
        </is>
      </c>
      <c r="I32" t="n">
        <v>41.2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HYPERLINK("https://klasma.github.io/Logging_0684/artfynd/S 2752-2026 artfynd.xlsx", "S 2752-2026")</f>
        <v/>
      </c>
      <c r="X32">
        <f>HYPERLINK("https://klasma.github.io/Logging_0684/kartor/S 2752-2026 karta.png", "S 2752-2026")</f>
        <v/>
      </c>
      <c r="Y32">
        <f>HYPERLINK("https://klasma.github.io/Logging_0684/kartor_geotiff/S 2752-2026 georefererad karta.tif", "S 2752-2026")</f>
        <v/>
      </c>
      <c r="Z32">
        <f>HYPERLINK("https://klasma.github.io/Logging_0684/knärot/S 2752-2026 karta knärot.png", "S 2752-2026")</f>
        <v/>
      </c>
      <c r="AA32">
        <f>HYPERLINK("https://klasma.github.io/Logging_0684/klagomål/S 2752-2026 FSC-klagomål.docx", "S 2752-2026")</f>
        <v/>
      </c>
      <c r="AB32">
        <f>HYPERLINK("https://klasma.github.io/Logging_0684/klagomålsmail/S 2752-2026 FSC-klagomål mail.docx", "S 2752-2026")</f>
        <v/>
      </c>
      <c r="AC32">
        <f>HYPERLINK("https://klasma.github.io/Logging_0684/tillsyn/S 2752-2026 tillsynsbegäran.docx", "S 2752-2026")</f>
        <v/>
      </c>
      <c r="AD32">
        <f>HYPERLINK("https://klasma.github.io/Logging_0684/tillsynsmail/S 2752-2026 tillsynsbegäran mail.docx", "S 2752-2026")</f>
        <v/>
      </c>
    </row>
    <row r="33" ht="15" customHeight="1">
      <c r="A33" t="inlineStr">
        <is>
          <t>A 49668-2022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46324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44876</v>
      </c>
      <c r="E34" s="1" t="n">
        <v>46324</v>
      </c>
      <c r="F34" t="inlineStr">
        <is>
          <t>JÖNKÖPINGS LÄN</t>
        </is>
      </c>
      <c r="G34" t="inlineStr">
        <is>
          <t>SÄVSJÖ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46324</v>
      </c>
      <c r="F35" t="inlineStr">
        <is>
          <t>JÖNKÖPINGS LÄN</t>
        </is>
      </c>
      <c r="G35" t="inlineStr">
        <is>
          <t>SÄVSJÖ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44749</v>
      </c>
      <c r="E36" s="1" t="n">
        <v>46324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46324</v>
      </c>
      <c r="F37" t="inlineStr">
        <is>
          <t>JÖNKÖPINGS LÄN</t>
        </is>
      </c>
      <c r="G37" t="inlineStr">
        <is>
          <t>SÄVSJÖ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64021-2021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44510</v>
      </c>
      <c r="E38" s="1" t="n">
        <v>46324</v>
      </c>
      <c r="F38" t="inlineStr">
        <is>
          <t>JÖNKÖPINGS LÄN</t>
        </is>
      </c>
      <c r="G38" t="inlineStr">
        <is>
          <t>SÄVSJÖ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47957-2022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44855</v>
      </c>
      <c r="E39" s="1" t="n">
        <v>46324</v>
      </c>
      <c r="F39" t="inlineStr">
        <is>
          <t>JÖNKÖPINGS LÄN</t>
        </is>
      </c>
      <c r="G39" t="inlineStr">
        <is>
          <t>SÄVSJÖ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46324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46324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46324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46324</v>
      </c>
      <c r="F43" t="inlineStr">
        <is>
          <t>JÖNKÖPINGS LÄN</t>
        </is>
      </c>
      <c r="G43" t="inlineStr">
        <is>
          <t>SÄVSJÖ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46324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46324</v>
      </c>
      <c r="F45" t="inlineStr">
        <is>
          <t>JÖNKÖPINGS LÄN</t>
        </is>
      </c>
      <c r="G45" t="inlineStr">
        <is>
          <t>SÄVSJÖ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46324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46324</v>
      </c>
      <c r="F47" t="inlineStr">
        <is>
          <t>JÖNKÖPINGS LÄN</t>
        </is>
      </c>
      <c r="G47" t="inlineStr">
        <is>
          <t>SÄVSJÖ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46324</v>
      </c>
      <c r="F48" t="inlineStr">
        <is>
          <t>JÖNKÖPINGS LÄN</t>
        </is>
      </c>
      <c r="G48" t="inlineStr">
        <is>
          <t>SÄVSJÖ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46324</v>
      </c>
      <c r="F49" t="inlineStr">
        <is>
          <t>JÖNKÖPINGS LÄN</t>
        </is>
      </c>
      <c r="G49" t="inlineStr">
        <is>
          <t>SÄVSJÖ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46324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44608</v>
      </c>
      <c r="E51" s="1" t="n">
        <v>46324</v>
      </c>
      <c r="F51" t="inlineStr">
        <is>
          <t>JÖNKÖPINGS LÄN</t>
        </is>
      </c>
      <c r="G51" t="inlineStr">
        <is>
          <t>SÄVSJÖ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46324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46324</v>
      </c>
      <c r="F53" t="inlineStr">
        <is>
          <t>JÖNKÖPINGS LÄN</t>
        </is>
      </c>
      <c r="G53" t="inlineStr">
        <is>
          <t>SÄVSJÖ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46324</v>
      </c>
      <c r="F54" t="inlineStr">
        <is>
          <t>JÖNKÖPINGS LÄN</t>
        </is>
      </c>
      <c r="G54" t="inlineStr">
        <is>
          <t>SÄVSJÖ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44857</v>
      </c>
      <c r="E55" s="1" t="n">
        <v>46324</v>
      </c>
      <c r="F55" t="inlineStr">
        <is>
          <t>JÖNKÖPINGS LÄN</t>
        </is>
      </c>
      <c r="G55" t="inlineStr">
        <is>
          <t>SÄVSJÖ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46324</v>
      </c>
      <c r="F56" t="inlineStr">
        <is>
          <t>JÖNKÖPINGS LÄN</t>
        </is>
      </c>
      <c r="G56" t="inlineStr">
        <is>
          <t>SÄVSJÖ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46324</v>
      </c>
      <c r="F57" t="inlineStr">
        <is>
          <t>JÖNKÖPINGS LÄN</t>
        </is>
      </c>
      <c r="G57" t="inlineStr">
        <is>
          <t>SÄVSJÖ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44883</v>
      </c>
      <c r="E58" s="1" t="n">
        <v>46324</v>
      </c>
      <c r="F58" t="inlineStr">
        <is>
          <t>JÖNKÖPINGS LÄN</t>
        </is>
      </c>
      <c r="G58" t="inlineStr">
        <is>
          <t>SÄVSJÖ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66396-2021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44518</v>
      </c>
      <c r="E59" s="1" t="n">
        <v>46324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46324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46324</v>
      </c>
      <c r="F61" t="inlineStr">
        <is>
          <t>JÖNKÖPINGS LÄN</t>
        </is>
      </c>
      <c r="G61" t="inlineStr">
        <is>
          <t>SÄVSJÖ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46324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46324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46324</v>
      </c>
      <c r="F64" t="inlineStr">
        <is>
          <t>JÖNKÖPINGS LÄN</t>
        </is>
      </c>
      <c r="G64" t="inlineStr">
        <is>
          <t>SÄVSJÖ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46324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34119-2022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44791</v>
      </c>
      <c r="E66" s="1" t="n">
        <v>46324</v>
      </c>
      <c r="F66" t="inlineStr">
        <is>
          <t>JÖNKÖPINGS LÄN</t>
        </is>
      </c>
      <c r="G66" t="inlineStr">
        <is>
          <t>SÄVSJÖ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45534</v>
      </c>
      <c r="E67" s="1" t="n">
        <v>46324</v>
      </c>
      <c r="F67" t="inlineStr">
        <is>
          <t>JÖNKÖPINGS LÄN</t>
        </is>
      </c>
      <c r="G67" t="inlineStr">
        <is>
          <t>SÄVSJÖ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46324</v>
      </c>
      <c r="F68" t="inlineStr">
        <is>
          <t>JÖNKÖPINGS LÄN</t>
        </is>
      </c>
      <c r="G68" t="inlineStr">
        <is>
          <t>SÄVSJÖ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44700</v>
      </c>
      <c r="E69" s="1" t="n">
        <v>46324</v>
      </c>
      <c r="F69" t="inlineStr">
        <is>
          <t>JÖNKÖPINGS LÄN</t>
        </is>
      </c>
      <c r="G69" t="inlineStr">
        <is>
          <t>SÄVSJÖ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46324</v>
      </c>
      <c r="F70" t="inlineStr">
        <is>
          <t>JÖNKÖPINGS LÄN</t>
        </is>
      </c>
      <c r="G70" t="inlineStr">
        <is>
          <t>SÄVSJÖ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46324</v>
      </c>
      <c r="F71" t="inlineStr">
        <is>
          <t>JÖNKÖPINGS LÄN</t>
        </is>
      </c>
      <c r="G71" t="inlineStr">
        <is>
          <t>SÄVSJÖ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46324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48893-2023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45209</v>
      </c>
      <c r="E73" s="1" t="n">
        <v>46324</v>
      </c>
      <c r="F73" t="inlineStr">
        <is>
          <t>JÖNKÖPINGS LÄN</t>
        </is>
      </c>
      <c r="G73" t="inlineStr">
        <is>
          <t>SÄVSJÖ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46324</v>
      </c>
      <c r="F74" t="inlineStr">
        <is>
          <t>JÖNKÖPINGS LÄN</t>
        </is>
      </c>
      <c r="G74" t="inlineStr">
        <is>
          <t>SÄVSJÖ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46324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69927-2021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46324</v>
      </c>
      <c r="F76" t="inlineStr">
        <is>
          <t>JÖNKÖPINGS LÄN</t>
        </is>
      </c>
      <c r="G76" t="inlineStr">
        <is>
          <t>SÄVSJÖ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46324</v>
      </c>
      <c r="F77" t="inlineStr">
        <is>
          <t>JÖNKÖPINGS LÄN</t>
        </is>
      </c>
      <c r="G77" t="inlineStr">
        <is>
          <t>SÄVSJÖ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46324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45197</v>
      </c>
      <c r="E79" s="1" t="n">
        <v>46324</v>
      </c>
      <c r="F79" t="inlineStr">
        <is>
          <t>JÖNKÖPINGS LÄN</t>
        </is>
      </c>
      <c r="G79" t="inlineStr">
        <is>
          <t>SÄVSJÖ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46324</v>
      </c>
      <c r="F80" t="inlineStr">
        <is>
          <t>JÖNKÖPINGS LÄN</t>
        </is>
      </c>
      <c r="G80" t="inlineStr">
        <is>
          <t>SÄVSJÖ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46324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14880-2022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46324</v>
      </c>
      <c r="F82" t="inlineStr">
        <is>
          <t>JÖNKÖPINGS LÄN</t>
        </is>
      </c>
      <c r="G82" t="inlineStr">
        <is>
          <t>SÄVSJÖ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46324</v>
      </c>
      <c r="F83" t="inlineStr">
        <is>
          <t>JÖNKÖPINGS LÄN</t>
        </is>
      </c>
      <c r="G83" t="inlineStr">
        <is>
          <t>SÄVSJÖ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45407</v>
      </c>
      <c r="E84" s="1" t="n">
        <v>46324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45407</v>
      </c>
      <c r="E85" s="1" t="n">
        <v>46324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44664</v>
      </c>
      <c r="E86" s="1" t="n">
        <v>46324</v>
      </c>
      <c r="F86" t="inlineStr">
        <is>
          <t>JÖNKÖPINGS LÄN</t>
        </is>
      </c>
      <c r="G86" t="inlineStr">
        <is>
          <t>SÄVSJÖ</t>
        </is>
      </c>
      <c r="H86" t="inlineStr">
        <is>
          <t>Kommuner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46324</v>
      </c>
      <c r="F87" t="inlineStr">
        <is>
          <t>JÖNKÖPINGS LÄN</t>
        </is>
      </c>
      <c r="G87" t="inlineStr">
        <is>
          <t>SÄVSJÖ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45301</v>
      </c>
      <c r="E88" s="1" t="n">
        <v>46324</v>
      </c>
      <c r="F88" t="inlineStr">
        <is>
          <t>JÖNKÖPINGS LÄN</t>
        </is>
      </c>
      <c r="G88" t="inlineStr">
        <is>
          <t>SÄVSJÖ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45607</v>
      </c>
      <c r="E89" s="1" t="n">
        <v>46324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44826</v>
      </c>
      <c r="E90" s="1" t="n">
        <v>46324</v>
      </c>
      <c r="F90" t="inlineStr">
        <is>
          <t>JÖNKÖPINGS LÄN</t>
        </is>
      </c>
      <c r="G90" t="inlineStr">
        <is>
          <t>SÄVSJÖ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46324</v>
      </c>
      <c r="F91" t="inlineStr">
        <is>
          <t>JÖNKÖPINGS LÄN</t>
        </is>
      </c>
      <c r="G91" t="inlineStr">
        <is>
          <t>SÄVSJÖ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62961-2021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46324</v>
      </c>
      <c r="F92" t="inlineStr">
        <is>
          <t>JÖNKÖPINGS LÄN</t>
        </is>
      </c>
      <c r="G92" t="inlineStr">
        <is>
          <t>SÄVSJÖ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45733</v>
      </c>
      <c r="E93" s="1" t="n">
        <v>46324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30162-2023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45110</v>
      </c>
      <c r="E94" s="1" t="n">
        <v>46324</v>
      </c>
      <c r="F94" t="inlineStr">
        <is>
          <t>JÖNKÖPINGS LÄN</t>
        </is>
      </c>
      <c r="G94" t="inlineStr">
        <is>
          <t>SÄVSJÖ</t>
        </is>
      </c>
      <c r="H94" t="inlineStr">
        <is>
          <t>Kommuner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46324</v>
      </c>
      <c r="F95" t="inlineStr">
        <is>
          <t>JÖNKÖPINGS LÄN</t>
        </is>
      </c>
      <c r="G95" t="inlineStr">
        <is>
          <t>SÄVSJÖ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45446</v>
      </c>
      <c r="E96" s="1" t="n">
        <v>46324</v>
      </c>
      <c r="F96" t="inlineStr">
        <is>
          <t>JÖNKÖPINGS LÄN</t>
        </is>
      </c>
      <c r="G96" t="inlineStr">
        <is>
          <t>SÄVSJÖ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12804-2025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45733</v>
      </c>
      <c r="E97" s="1" t="n">
        <v>46324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46324</v>
      </c>
      <c r="F98" t="inlineStr">
        <is>
          <t>JÖNKÖPINGS LÄN</t>
        </is>
      </c>
      <c r="G98" t="inlineStr">
        <is>
          <t>SÄVSJÖ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46324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45727</v>
      </c>
      <c r="E100" s="1" t="n">
        <v>46324</v>
      </c>
      <c r="F100" t="inlineStr">
        <is>
          <t>JÖNKÖPINGS LÄN</t>
        </is>
      </c>
      <c r="G100" t="inlineStr">
        <is>
          <t>SÄVSJÖ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46324</v>
      </c>
      <c r="F101" t="inlineStr">
        <is>
          <t>JÖNKÖPINGS LÄN</t>
        </is>
      </c>
      <c r="G101" t="inlineStr">
        <is>
          <t>SÄVSJÖ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45407</v>
      </c>
      <c r="E102" s="1" t="n">
        <v>46324</v>
      </c>
      <c r="F102" t="inlineStr">
        <is>
          <t>JÖNKÖPINGS LÄN</t>
        </is>
      </c>
      <c r="G102" t="inlineStr">
        <is>
          <t>SÄVSJÖ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45669</v>
      </c>
      <c r="E103" s="1" t="n">
        <v>46324</v>
      </c>
      <c r="F103" t="inlineStr">
        <is>
          <t>JÖNKÖPINGS LÄN</t>
        </is>
      </c>
      <c r="G103" t="inlineStr">
        <is>
          <t>SÄVSJÖ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45698</v>
      </c>
      <c r="E104" s="1" t="n">
        <v>46324</v>
      </c>
      <c r="F104" t="inlineStr">
        <is>
          <t>JÖNKÖPINGS LÄN</t>
        </is>
      </c>
      <c r="G104" t="inlineStr">
        <is>
          <t>SÄVSJÖ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46324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46324</v>
      </c>
      <c r="F106" t="inlineStr">
        <is>
          <t>JÖNKÖPINGS LÄN</t>
        </is>
      </c>
      <c r="G106" t="inlineStr">
        <is>
          <t>SÄVSJÖ</t>
        </is>
      </c>
      <c r="H106" t="inlineStr">
        <is>
          <t>Övriga Aktiebolag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45094</v>
      </c>
      <c r="E107" s="1" t="n">
        <v>46324</v>
      </c>
      <c r="F107" t="inlineStr">
        <is>
          <t>JÖNKÖPINGS LÄN</t>
        </is>
      </c>
      <c r="G107" t="inlineStr">
        <is>
          <t>SÄVSJÖ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44664</v>
      </c>
      <c r="E108" s="1" t="n">
        <v>46324</v>
      </c>
      <c r="F108" t="inlineStr">
        <is>
          <t>JÖNKÖPINGS LÄN</t>
        </is>
      </c>
      <c r="G108" t="inlineStr">
        <is>
          <t>SÄVSJÖ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45226</v>
      </c>
      <c r="E109" s="1" t="n">
        <v>46324</v>
      </c>
      <c r="F109" t="inlineStr">
        <is>
          <t>JÖNKÖPINGS LÄN</t>
        </is>
      </c>
      <c r="G109" t="inlineStr">
        <is>
          <t>SÄVSJÖ</t>
        </is>
      </c>
      <c r="H109" t="inlineStr">
        <is>
          <t>Kyrkan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45067</v>
      </c>
      <c r="E110" s="1" t="n">
        <v>46324</v>
      </c>
      <c r="F110" t="inlineStr">
        <is>
          <t>JÖNKÖPINGS LÄN</t>
        </is>
      </c>
      <c r="G110" t="inlineStr">
        <is>
          <t>SÄVSJÖ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46324</v>
      </c>
      <c r="F111" t="inlineStr">
        <is>
          <t>JÖNKÖPINGS LÄN</t>
        </is>
      </c>
      <c r="G111" t="inlineStr">
        <is>
          <t>SÄVSJÖ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46324</v>
      </c>
      <c r="F112" t="inlineStr">
        <is>
          <t>JÖNKÖPINGS LÄN</t>
        </is>
      </c>
      <c r="G112" t="inlineStr">
        <is>
          <t>SÄVSJÖ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45086</v>
      </c>
      <c r="E113" s="1" t="n">
        <v>46324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46324</v>
      </c>
      <c r="F114" t="inlineStr">
        <is>
          <t>JÖNKÖPINGS LÄN</t>
        </is>
      </c>
      <c r="G114" t="inlineStr">
        <is>
          <t>SÄVSJÖ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46324</v>
      </c>
      <c r="F115" t="inlineStr">
        <is>
          <t>JÖNKÖPINGS LÄN</t>
        </is>
      </c>
      <c r="G115" t="inlineStr">
        <is>
          <t>SÄVSJÖ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6620-2022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46324</v>
      </c>
      <c r="F116" t="inlineStr">
        <is>
          <t>JÖNKÖPINGS LÄN</t>
        </is>
      </c>
      <c r="G116" t="inlineStr">
        <is>
          <t>SÄVSJÖ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17140-2025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45755</v>
      </c>
      <c r="E117" s="1" t="n">
        <v>46324</v>
      </c>
      <c r="F117" t="inlineStr">
        <is>
          <t>JÖNKÖPINGS LÄN</t>
        </is>
      </c>
      <c r="G117" t="inlineStr">
        <is>
          <t>SÄVSJÖ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46324</v>
      </c>
      <c r="F118" t="inlineStr">
        <is>
          <t>JÖNKÖPINGS LÄN</t>
        </is>
      </c>
      <c r="G118" t="inlineStr">
        <is>
          <t>SÄVSJÖ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45084</v>
      </c>
      <c r="E119" s="1" t="n">
        <v>46324</v>
      </c>
      <c r="F119" t="inlineStr">
        <is>
          <t>JÖNKÖPINGS LÄN</t>
        </is>
      </c>
      <c r="G119" t="inlineStr">
        <is>
          <t>SÄVSJÖ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46324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17768-2023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45037</v>
      </c>
      <c r="E121" s="1" t="n">
        <v>46324</v>
      </c>
      <c r="F121" t="inlineStr">
        <is>
          <t>JÖNKÖPINGS LÄN</t>
        </is>
      </c>
      <c r="G121" t="inlineStr">
        <is>
          <t>SÄVSJÖ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46324</v>
      </c>
      <c r="F122" t="inlineStr">
        <is>
          <t>JÖNKÖPINGS LÄN</t>
        </is>
      </c>
      <c r="G122" t="inlineStr">
        <is>
          <t>SÄVSJÖ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46324</v>
      </c>
      <c r="F123" t="inlineStr">
        <is>
          <t>JÖNKÖPINGS LÄN</t>
        </is>
      </c>
      <c r="G123" t="inlineStr">
        <is>
          <t>SÄVSJÖ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46324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46324</v>
      </c>
      <c r="F125" t="inlineStr">
        <is>
          <t>JÖNKÖPINGS LÄN</t>
        </is>
      </c>
      <c r="G125" t="inlineStr">
        <is>
          <t>SÄVSJÖ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45832</v>
      </c>
      <c r="E126" s="1" t="n">
        <v>46324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46324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45764</v>
      </c>
      <c r="E128" s="1" t="n">
        <v>46324</v>
      </c>
      <c r="F128" t="inlineStr">
        <is>
          <t>JÖNKÖPINGS LÄN</t>
        </is>
      </c>
      <c r="G128" t="inlineStr">
        <is>
          <t>SÄVSJÖ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45252</v>
      </c>
      <c r="E129" s="1" t="n">
        <v>46324</v>
      </c>
      <c r="F129" t="inlineStr">
        <is>
          <t>JÖNKÖPINGS LÄN</t>
        </is>
      </c>
      <c r="G129" t="inlineStr">
        <is>
          <t>SÄVSJÖ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45237</v>
      </c>
      <c r="E130" s="1" t="n">
        <v>46324</v>
      </c>
      <c r="F130" t="inlineStr">
        <is>
          <t>JÖNKÖPINGS LÄN</t>
        </is>
      </c>
      <c r="G130" t="inlineStr">
        <is>
          <t>SÄVSJÖ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46324</v>
      </c>
      <c r="F131" t="inlineStr">
        <is>
          <t>JÖNKÖPINGS LÄN</t>
        </is>
      </c>
      <c r="G131" t="inlineStr">
        <is>
          <t>SÄVSJÖ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45706</v>
      </c>
      <c r="E132" s="1" t="n">
        <v>46324</v>
      </c>
      <c r="F132" t="inlineStr">
        <is>
          <t>JÖNKÖPINGS LÄN</t>
        </is>
      </c>
      <c r="G132" t="inlineStr">
        <is>
          <t>SÄVSJÖ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43303-2025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46324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46324</v>
      </c>
      <c r="F134" t="inlineStr">
        <is>
          <t>JÖNKÖPINGS LÄN</t>
        </is>
      </c>
      <c r="G134" t="inlineStr">
        <is>
          <t>SÄVSJÖ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44806</v>
      </c>
      <c r="E135" s="1" t="n">
        <v>46324</v>
      </c>
      <c r="F135" t="inlineStr">
        <is>
          <t>JÖNKÖPINGS LÄN</t>
        </is>
      </c>
      <c r="G135" t="inlineStr">
        <is>
          <t>SÄVSJÖ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46324</v>
      </c>
      <c r="F136" t="inlineStr">
        <is>
          <t>JÖNKÖPINGS LÄN</t>
        </is>
      </c>
      <c r="G136" t="inlineStr">
        <is>
          <t>SÄVSJÖ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46324</v>
      </c>
      <c r="F137" t="inlineStr">
        <is>
          <t>JÖNKÖPINGS LÄN</t>
        </is>
      </c>
      <c r="G137" t="inlineStr">
        <is>
          <t>SÄVSJÖ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36183-2024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45534</v>
      </c>
      <c r="E138" s="1" t="n">
        <v>46324</v>
      </c>
      <c r="F138" t="inlineStr">
        <is>
          <t>JÖNKÖPINGS LÄN</t>
        </is>
      </c>
      <c r="G138" t="inlineStr">
        <is>
          <t>SÄVSJÖ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38699-2023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46324</v>
      </c>
      <c r="F139" t="inlineStr">
        <is>
          <t>JÖNKÖPINGS LÄN</t>
        </is>
      </c>
      <c r="G139" t="inlineStr">
        <is>
          <t>SÄVSJÖ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46324</v>
      </c>
      <c r="F140" t="inlineStr">
        <is>
          <t>JÖNKÖPINGS LÄN</t>
        </is>
      </c>
      <c r="G140" t="inlineStr">
        <is>
          <t>SÄVSJÖ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46324</v>
      </c>
      <c r="F141" t="inlineStr">
        <is>
          <t>JÖNKÖPINGS LÄN</t>
        </is>
      </c>
      <c r="G141" t="inlineStr">
        <is>
          <t>SÄVSJÖ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45418</v>
      </c>
      <c r="E142" s="1" t="n">
        <v>46324</v>
      </c>
      <c r="F142" t="inlineStr">
        <is>
          <t>JÖNKÖPINGS LÄN</t>
        </is>
      </c>
      <c r="G142" t="inlineStr">
        <is>
          <t>SÄVSJÖ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45127</v>
      </c>
      <c r="E143" s="1" t="n">
        <v>46324</v>
      </c>
      <c r="F143" t="inlineStr">
        <is>
          <t>JÖNKÖPINGS LÄN</t>
        </is>
      </c>
      <c r="G143" t="inlineStr">
        <is>
          <t>SÄVSJÖ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30162-2023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45110</v>
      </c>
      <c r="E144" s="1" t="n">
        <v>46324</v>
      </c>
      <c r="F144" t="inlineStr">
        <is>
          <t>JÖNKÖPINGS LÄN</t>
        </is>
      </c>
      <c r="G144" t="inlineStr">
        <is>
          <t>SÄVSJÖ</t>
        </is>
      </c>
      <c r="H144" t="inlineStr">
        <is>
          <t>Kommuner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46324</v>
      </c>
      <c r="F145" t="inlineStr">
        <is>
          <t>JÖNKÖPINGS LÄN</t>
        </is>
      </c>
      <c r="G145" t="inlineStr">
        <is>
          <t>SÄVSJÖ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46324</v>
      </c>
      <c r="F146" t="inlineStr">
        <is>
          <t>JÖNKÖPINGS LÄN</t>
        </is>
      </c>
      <c r="G146" t="inlineStr">
        <is>
          <t>SÄVSJÖ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45411</v>
      </c>
      <c r="E147" s="1" t="n">
        <v>46324</v>
      </c>
      <c r="F147" t="inlineStr">
        <is>
          <t>JÖNKÖPINGS LÄN</t>
        </is>
      </c>
      <c r="G147" t="inlineStr">
        <is>
          <t>SÄVSJÖ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46324</v>
      </c>
      <c r="F148" t="inlineStr">
        <is>
          <t>JÖNKÖPINGS LÄN</t>
        </is>
      </c>
      <c r="G148" t="inlineStr">
        <is>
          <t>SÄVSJÖ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64126-2021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46324</v>
      </c>
      <c r="F149" t="inlineStr">
        <is>
          <t>JÖNKÖPINGS LÄN</t>
        </is>
      </c>
      <c r="G149" t="inlineStr">
        <is>
          <t>SÄVSJÖ</t>
        </is>
      </c>
      <c r="I149" t="n">
        <v>7.4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62421-2023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45268</v>
      </c>
      <c r="E150" s="1" t="n">
        <v>46324</v>
      </c>
      <c r="F150" t="inlineStr">
        <is>
          <t>JÖNKÖPINGS LÄN</t>
        </is>
      </c>
      <c r="G150" t="inlineStr">
        <is>
          <t>SÄVSJÖ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44952</v>
      </c>
      <c r="E151" s="1" t="n">
        <v>46324</v>
      </c>
      <c r="F151" t="inlineStr">
        <is>
          <t>JÖNKÖPINGS LÄN</t>
        </is>
      </c>
      <c r="G151" t="inlineStr">
        <is>
          <t>SÄVSJÖ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45341</v>
      </c>
      <c r="E152" s="1" t="n">
        <v>46324</v>
      </c>
      <c r="F152" t="inlineStr">
        <is>
          <t>JÖNKÖPINGS LÄN</t>
        </is>
      </c>
      <c r="G152" t="inlineStr">
        <is>
          <t>SÄVSJÖ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46324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46324</v>
      </c>
      <c r="F154" t="inlineStr">
        <is>
          <t>JÖNKÖPINGS LÄN</t>
        </is>
      </c>
      <c r="G154" t="inlineStr">
        <is>
          <t>SÄVSJÖ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46324</v>
      </c>
      <c r="F155" t="inlineStr">
        <is>
          <t>JÖNKÖPINGS LÄN</t>
        </is>
      </c>
      <c r="G155" t="inlineStr">
        <is>
          <t>SÄVSJÖ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46324</v>
      </c>
      <c r="F156" t="inlineStr">
        <is>
          <t>JÖNKÖPINGS LÄN</t>
        </is>
      </c>
      <c r="G156" t="inlineStr">
        <is>
          <t>SÄVSJÖ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46324</v>
      </c>
      <c r="F157" t="inlineStr">
        <is>
          <t>JÖNKÖPINGS LÄN</t>
        </is>
      </c>
      <c r="G157" t="inlineStr">
        <is>
          <t>SÄVSJÖ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46324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52363-2025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45953</v>
      </c>
      <c r="E159" s="1" t="n">
        <v>46324</v>
      </c>
      <c r="F159" t="inlineStr">
        <is>
          <t>JÖNKÖPINGS LÄN</t>
        </is>
      </c>
      <c r="G159" t="inlineStr">
        <is>
          <t>SÄVSJÖ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46324</v>
      </c>
      <c r="F160" t="inlineStr">
        <is>
          <t>JÖNKÖPINGS LÄN</t>
        </is>
      </c>
      <c r="G160" t="inlineStr">
        <is>
          <t>SÄVSJÖ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37611-2024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46324</v>
      </c>
      <c r="F161" t="inlineStr">
        <is>
          <t>JÖNKÖPINGS LÄN</t>
        </is>
      </c>
      <c r="G161" t="inlineStr">
        <is>
          <t>SÄVSJÖ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46324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46324</v>
      </c>
      <c r="F163" t="inlineStr">
        <is>
          <t>JÖNKÖPINGS LÄN</t>
        </is>
      </c>
      <c r="G163" t="inlineStr">
        <is>
          <t>SÄVSJÖ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46324</v>
      </c>
      <c r="F164" t="inlineStr">
        <is>
          <t>JÖNKÖPINGS LÄN</t>
        </is>
      </c>
      <c r="G164" t="inlineStr">
        <is>
          <t>SÄVSJÖ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46324</v>
      </c>
      <c r="F165" t="inlineStr">
        <is>
          <t>JÖNKÖPINGS LÄN</t>
        </is>
      </c>
      <c r="G165" t="inlineStr">
        <is>
          <t>SÄVSJÖ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45079</v>
      </c>
      <c r="E166" s="1" t="n">
        <v>46324</v>
      </c>
      <c r="F166" t="inlineStr">
        <is>
          <t>JÖNKÖPINGS LÄN</t>
        </is>
      </c>
      <c r="G166" t="inlineStr">
        <is>
          <t>SÄVSJÖ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45061</v>
      </c>
      <c r="E167" s="1" t="n">
        <v>46324</v>
      </c>
      <c r="F167" t="inlineStr">
        <is>
          <t>JÖNKÖPINGS LÄN</t>
        </is>
      </c>
      <c r="G167" t="inlineStr">
        <is>
          <t>SÄVSJÖ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46324</v>
      </c>
      <c r="F168" t="inlineStr">
        <is>
          <t>JÖNKÖPINGS LÄN</t>
        </is>
      </c>
      <c r="G168" t="inlineStr">
        <is>
          <t>SÄVSJÖ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46324</v>
      </c>
      <c r="F169" t="inlineStr">
        <is>
          <t>JÖNKÖPINGS LÄN</t>
        </is>
      </c>
      <c r="G169" t="inlineStr">
        <is>
          <t>SÄVSJÖ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44957</v>
      </c>
      <c r="E170" s="1" t="n">
        <v>46324</v>
      </c>
      <c r="F170" t="inlineStr">
        <is>
          <t>JÖNKÖPINGS LÄN</t>
        </is>
      </c>
      <c r="G170" t="inlineStr">
        <is>
          <t>SÄVSJÖ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54275-2025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45964</v>
      </c>
      <c r="E171" s="1" t="n">
        <v>46324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45037</v>
      </c>
      <c r="E172" s="1" t="n">
        <v>46324</v>
      </c>
      <c r="F172" t="inlineStr">
        <is>
          <t>JÖNKÖPINGS LÄN</t>
        </is>
      </c>
      <c r="G172" t="inlineStr">
        <is>
          <t>SÄVSJÖ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46324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46324</v>
      </c>
      <c r="F174" t="inlineStr">
        <is>
          <t>JÖNKÖPINGS LÄN</t>
        </is>
      </c>
      <c r="G174" t="inlineStr">
        <is>
          <t>SÄVSJÖ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46324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46324</v>
      </c>
      <c r="F176" t="inlineStr">
        <is>
          <t>JÖNKÖPINGS LÄN</t>
        </is>
      </c>
      <c r="G176" t="inlineStr">
        <is>
          <t>SÄVSJÖ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46324</v>
      </c>
      <c r="F177" t="inlineStr">
        <is>
          <t>JÖNKÖPINGS LÄN</t>
        </is>
      </c>
      <c r="G177" t="inlineStr">
        <is>
          <t>SÄVSJÖ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55482-2023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45238</v>
      </c>
      <c r="E178" s="1" t="n">
        <v>46324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45244</v>
      </c>
      <c r="E179" s="1" t="n">
        <v>46324</v>
      </c>
      <c r="F179" t="inlineStr">
        <is>
          <t>JÖNKÖPINGS LÄN</t>
        </is>
      </c>
      <c r="G179" t="inlineStr">
        <is>
          <t>SÄVSJÖ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46324</v>
      </c>
      <c r="F180" t="inlineStr">
        <is>
          <t>JÖNKÖPINGS LÄN</t>
        </is>
      </c>
      <c r="G180" t="inlineStr">
        <is>
          <t>SÄVSJÖ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46324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46324</v>
      </c>
      <c r="F182" t="inlineStr">
        <is>
          <t>JÖNKÖPINGS LÄN</t>
        </is>
      </c>
      <c r="G182" t="inlineStr">
        <is>
          <t>SÄVSJÖ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45301</v>
      </c>
      <c r="E183" s="1" t="n">
        <v>46324</v>
      </c>
      <c r="F183" t="inlineStr">
        <is>
          <t>JÖNKÖPINGS LÄN</t>
        </is>
      </c>
      <c r="G183" t="inlineStr">
        <is>
          <t>SÄVSJÖ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46324</v>
      </c>
      <c r="F184" t="inlineStr">
        <is>
          <t>JÖNKÖPINGS LÄN</t>
        </is>
      </c>
      <c r="G184" t="inlineStr">
        <is>
          <t>SÄVSJÖ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46324</v>
      </c>
      <c r="F185" t="inlineStr">
        <is>
          <t>JÖNKÖPINGS LÄN</t>
        </is>
      </c>
      <c r="G185" t="inlineStr">
        <is>
          <t>SÄVSJÖ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46324</v>
      </c>
      <c r="F186" t="inlineStr">
        <is>
          <t>JÖNKÖPINGS LÄN</t>
        </is>
      </c>
      <c r="G186" t="inlineStr">
        <is>
          <t>SÄVSJÖ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46324</v>
      </c>
      <c r="F187" t="inlineStr">
        <is>
          <t>JÖNKÖPINGS LÄN</t>
        </is>
      </c>
      <c r="G187" t="inlineStr">
        <is>
          <t>SÄVSJÖ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51795-2022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44872</v>
      </c>
      <c r="E188" s="1" t="n">
        <v>46324</v>
      </c>
      <c r="F188" t="inlineStr">
        <is>
          <t>JÖNKÖPINGS LÄN</t>
        </is>
      </c>
      <c r="G188" t="inlineStr">
        <is>
          <t>SÄVSJÖ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45008</v>
      </c>
      <c r="E189" s="1" t="n">
        <v>46324</v>
      </c>
      <c r="F189" t="inlineStr">
        <is>
          <t>JÖNKÖPINGS LÄN</t>
        </is>
      </c>
      <c r="G189" t="inlineStr">
        <is>
          <t>SÄVSJÖ</t>
        </is>
      </c>
      <c r="H189" t="inlineStr">
        <is>
          <t>Kommuner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46324</v>
      </c>
      <c r="F190" t="inlineStr">
        <is>
          <t>JÖNKÖPINGS LÄN</t>
        </is>
      </c>
      <c r="G190" t="inlineStr">
        <is>
          <t>SÄVSJÖ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46324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29009-2023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46324</v>
      </c>
      <c r="F192" t="inlineStr">
        <is>
          <t>JÖNKÖPINGS LÄN</t>
        </is>
      </c>
      <c r="G192" t="inlineStr">
        <is>
          <t>SÄVSJÖ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46324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46324</v>
      </c>
      <c r="F194" t="inlineStr">
        <is>
          <t>JÖNKÖPINGS LÄN</t>
        </is>
      </c>
      <c r="G194" t="inlineStr">
        <is>
          <t>SÄVSJÖ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46324</v>
      </c>
      <c r="F195" t="inlineStr">
        <is>
          <t>JÖNKÖPINGS LÄN</t>
        </is>
      </c>
      <c r="G195" t="inlineStr">
        <is>
          <t>SÄVSJÖ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44590</v>
      </c>
      <c r="E196" s="1" t="n">
        <v>46324</v>
      </c>
      <c r="F196" t="inlineStr">
        <is>
          <t>JÖNKÖPINGS LÄN</t>
        </is>
      </c>
      <c r="G196" t="inlineStr">
        <is>
          <t>SÄVSJÖ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46324</v>
      </c>
      <c r="F197" t="inlineStr">
        <is>
          <t>JÖNKÖPINGS LÄN</t>
        </is>
      </c>
      <c r="G197" t="inlineStr">
        <is>
          <t>SÄVSJÖ</t>
        </is>
      </c>
      <c r="H197" t="inlineStr">
        <is>
          <t>Kyrkan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45623</v>
      </c>
      <c r="E198" s="1" t="n">
        <v>46324</v>
      </c>
      <c r="F198" t="inlineStr">
        <is>
          <t>JÖNKÖPINGS LÄN</t>
        </is>
      </c>
      <c r="G198" t="inlineStr">
        <is>
          <t>SÄVSJÖ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45611</v>
      </c>
      <c r="E199" s="1" t="n">
        <v>46324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44896</v>
      </c>
      <c r="E200" s="1" t="n">
        <v>46324</v>
      </c>
      <c r="F200" t="inlineStr">
        <is>
          <t>JÖNKÖPINGS LÄN</t>
        </is>
      </c>
      <c r="G200" t="inlineStr">
        <is>
          <t>SÄVSJÖ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46324</v>
      </c>
      <c r="F201" t="inlineStr">
        <is>
          <t>JÖNKÖPINGS LÄN</t>
        </is>
      </c>
      <c r="G201" t="inlineStr">
        <is>
          <t>SÄVSJÖ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60331-2025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45993</v>
      </c>
      <c r="E202" s="1" t="n">
        <v>46324</v>
      </c>
      <c r="F202" t="inlineStr">
        <is>
          <t>JÖNKÖPINGS LÄN</t>
        </is>
      </c>
      <c r="G202" t="inlineStr">
        <is>
          <t>SÄVSJÖ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46324</v>
      </c>
      <c r="F203" t="inlineStr">
        <is>
          <t>JÖNKÖPINGS LÄN</t>
        </is>
      </c>
      <c r="G203" t="inlineStr">
        <is>
          <t>SÄVSJÖ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46324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46324</v>
      </c>
      <c r="F205" t="inlineStr">
        <is>
          <t>JÖNKÖPINGS LÄN</t>
        </is>
      </c>
      <c r="G205" t="inlineStr">
        <is>
          <t>SÄVSJÖ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45454</v>
      </c>
      <c r="E206" s="1" t="n">
        <v>46324</v>
      </c>
      <c r="F206" t="inlineStr">
        <is>
          <t>JÖNKÖPINGS LÄN</t>
        </is>
      </c>
      <c r="G206" t="inlineStr">
        <is>
          <t>SÄVSJÖ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46324</v>
      </c>
      <c r="F207" t="inlineStr">
        <is>
          <t>JÖNKÖPINGS LÄN</t>
        </is>
      </c>
      <c r="G207" t="inlineStr">
        <is>
          <t>SÄVSJÖ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46324</v>
      </c>
      <c r="F208" t="inlineStr">
        <is>
          <t>JÖNKÖPINGS LÄN</t>
        </is>
      </c>
      <c r="G208" t="inlineStr">
        <is>
          <t>SÄVSJÖ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46164</v>
      </c>
      <c r="E209" s="1" t="n">
        <v>46324</v>
      </c>
      <c r="F209" t="inlineStr">
        <is>
          <t>JÖNKÖPINGS LÄN</t>
        </is>
      </c>
      <c r="G209" t="inlineStr">
        <is>
          <t>SÄVSJÖ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23816-2026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46165</v>
      </c>
      <c r="E210" s="1" t="n">
        <v>46324</v>
      </c>
      <c r="F210" t="inlineStr">
        <is>
          <t>JÖNKÖPINGS LÄN</t>
        </is>
      </c>
      <c r="G210" t="inlineStr">
        <is>
          <t>SÄVSJÖ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45111</v>
      </c>
      <c r="E211" s="1" t="n">
        <v>46324</v>
      </c>
      <c r="F211" t="inlineStr">
        <is>
          <t>JÖNKÖPINGS LÄN</t>
        </is>
      </c>
      <c r="G211" t="inlineStr">
        <is>
          <t>SÄVSJÖ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45029</v>
      </c>
      <c r="E212" s="1" t="n">
        <v>46324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45148</v>
      </c>
      <c r="E213" s="1" t="n">
        <v>46324</v>
      </c>
      <c r="F213" t="inlineStr">
        <is>
          <t>JÖNKÖPINGS LÄN</t>
        </is>
      </c>
      <c r="G213" t="inlineStr">
        <is>
          <t>SÄVSJÖ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46168</v>
      </c>
      <c r="E214" s="1" t="n">
        <v>46324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46324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46324</v>
      </c>
      <c r="F216" t="inlineStr">
        <is>
          <t>JÖNKÖPINGS LÄN</t>
        </is>
      </c>
      <c r="G216" t="inlineStr">
        <is>
          <t>SÄVSJÖ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62870-2025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46008</v>
      </c>
      <c r="E217" s="1" t="n">
        <v>46324</v>
      </c>
      <c r="F217" t="inlineStr">
        <is>
          <t>JÖNKÖPINGS LÄN</t>
        </is>
      </c>
      <c r="G217" t="inlineStr">
        <is>
          <t>SÄVSJÖ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63352-2025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46010</v>
      </c>
      <c r="E218" s="1" t="n">
        <v>46324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46324</v>
      </c>
      <c r="F219" t="inlineStr">
        <is>
          <t>JÖNKÖPINGS LÄN</t>
        </is>
      </c>
      <c r="G219" t="inlineStr">
        <is>
          <t>SÄVSJÖ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46324</v>
      </c>
      <c r="F220" t="inlineStr">
        <is>
          <t>JÖNKÖPINGS LÄN</t>
        </is>
      </c>
      <c r="G220" t="inlineStr">
        <is>
          <t>SÄVSJÖ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46324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46324</v>
      </c>
      <c r="F222" t="inlineStr">
        <is>
          <t>JÖNKÖPINGS LÄN</t>
        </is>
      </c>
      <c r="G222" t="inlineStr">
        <is>
          <t>SÄVSJÖ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46324</v>
      </c>
      <c r="F223" t="inlineStr">
        <is>
          <t>JÖNKÖPINGS LÄN</t>
        </is>
      </c>
      <c r="G223" t="inlineStr">
        <is>
          <t>SÄVSJÖ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45267</v>
      </c>
      <c r="E224" s="1" t="n">
        <v>46324</v>
      </c>
      <c r="F224" t="inlineStr">
        <is>
          <t>JÖNKÖPINGS LÄN</t>
        </is>
      </c>
      <c r="G224" t="inlineStr">
        <is>
          <t>SÄVSJÖ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44944</v>
      </c>
      <c r="E225" s="1" t="n">
        <v>46324</v>
      </c>
      <c r="F225" t="inlineStr">
        <is>
          <t>JÖNKÖPINGS LÄN</t>
        </is>
      </c>
      <c r="G225" t="inlineStr">
        <is>
          <t>SÄVSJÖ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63752-2025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46017</v>
      </c>
      <c r="E226" s="1" t="n">
        <v>46324</v>
      </c>
      <c r="F226" t="inlineStr">
        <is>
          <t>JÖNKÖPINGS LÄN</t>
        </is>
      </c>
      <c r="G226" t="inlineStr">
        <is>
          <t>SÄVSJÖ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45427</v>
      </c>
      <c r="E227" s="1" t="n">
        <v>46324</v>
      </c>
      <c r="F227" t="inlineStr">
        <is>
          <t>JÖNKÖPINGS LÄN</t>
        </is>
      </c>
      <c r="G227" t="inlineStr">
        <is>
          <t>SÄVSJÖ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44651</v>
      </c>
      <c r="E228" s="1" t="n">
        <v>46324</v>
      </c>
      <c r="F228" t="inlineStr">
        <is>
          <t>JÖNKÖPINGS LÄN</t>
        </is>
      </c>
      <c r="G228" t="inlineStr">
        <is>
          <t>SÄVSJÖ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46324</v>
      </c>
      <c r="F229" t="inlineStr">
        <is>
          <t>JÖNKÖPINGS LÄN</t>
        </is>
      </c>
      <c r="G229" t="inlineStr">
        <is>
          <t>SÄVSJÖ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49292-2023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45210</v>
      </c>
      <c r="E230" s="1" t="n">
        <v>46324</v>
      </c>
      <c r="F230" t="inlineStr">
        <is>
          <t>JÖNKÖPINGS LÄN</t>
        </is>
      </c>
      <c r="G230" t="inlineStr">
        <is>
          <t>SÄVSJÖ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45094</v>
      </c>
      <c r="E231" s="1" t="n">
        <v>46324</v>
      </c>
      <c r="F231" t="inlineStr">
        <is>
          <t>JÖNKÖPINGS LÄN</t>
        </is>
      </c>
      <c r="G231" t="inlineStr">
        <is>
          <t>SÄVSJÖ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46324</v>
      </c>
      <c r="F232" t="inlineStr">
        <is>
          <t>JÖNKÖPINGS LÄN</t>
        </is>
      </c>
      <c r="G232" t="inlineStr">
        <is>
          <t>SÄVSJÖ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45694</v>
      </c>
      <c r="E233" s="1" t="n">
        <v>46324</v>
      </c>
      <c r="F233" t="inlineStr">
        <is>
          <t>JÖNKÖPINGS LÄN</t>
        </is>
      </c>
      <c r="G233" t="inlineStr">
        <is>
          <t>SÄVSJÖ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46324</v>
      </c>
      <c r="F234" t="inlineStr">
        <is>
          <t>JÖNKÖPINGS LÄN</t>
        </is>
      </c>
      <c r="G234" t="inlineStr">
        <is>
          <t>SÄVSJÖ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44839</v>
      </c>
      <c r="E235" s="1" t="n">
        <v>46324</v>
      </c>
      <c r="F235" t="inlineStr">
        <is>
          <t>JÖNKÖPINGS LÄN</t>
        </is>
      </c>
      <c r="G235" t="inlineStr">
        <is>
          <t>SÄVSJÖ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55909-2024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45623</v>
      </c>
      <c r="E236" s="1" t="n">
        <v>46324</v>
      </c>
      <c r="F236" t="inlineStr">
        <is>
          <t>JÖNKÖPINGS LÄN</t>
        </is>
      </c>
      <c r="G236" t="inlineStr">
        <is>
          <t>SÄVSJÖ</t>
        </is>
      </c>
      <c r="H236" t="inlineStr">
        <is>
          <t>Kommuner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45704</v>
      </c>
      <c r="E237" s="1" t="n">
        <v>46324</v>
      </c>
      <c r="F237" t="inlineStr">
        <is>
          <t>JÖNKÖPINGS LÄN</t>
        </is>
      </c>
      <c r="G237" t="inlineStr">
        <is>
          <t>SÄVSJÖ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46324</v>
      </c>
      <c r="F238" t="inlineStr">
        <is>
          <t>JÖNKÖPINGS LÄN</t>
        </is>
      </c>
      <c r="G238" t="inlineStr">
        <is>
          <t>SÄVSJÖ</t>
        </is>
      </c>
      <c r="I238" t="n">
        <v>19.9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46324</v>
      </c>
      <c r="F239" t="inlineStr">
        <is>
          <t>JÖNKÖPINGS LÄN</t>
        </is>
      </c>
      <c r="G239" t="inlineStr">
        <is>
          <t>SÄVSJÖ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46324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44830</v>
      </c>
      <c r="E241" s="1" t="n">
        <v>46324</v>
      </c>
      <c r="F241" t="inlineStr">
        <is>
          <t>JÖNKÖPINGS LÄN</t>
        </is>
      </c>
      <c r="G241" t="inlineStr">
        <is>
          <t>SÄVSJÖ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63679-2023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45275</v>
      </c>
      <c r="E242" s="1" t="n">
        <v>46324</v>
      </c>
      <c r="F242" t="inlineStr">
        <is>
          <t>JÖNKÖPINGS LÄN</t>
        </is>
      </c>
      <c r="G242" t="inlineStr">
        <is>
          <t>SÄVSJÖ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46324</v>
      </c>
      <c r="F243" t="inlineStr">
        <is>
          <t>JÖNKÖPINGS LÄN</t>
        </is>
      </c>
      <c r="G243" t="inlineStr">
        <is>
          <t>SÄVSJÖ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45261</v>
      </c>
      <c r="E244" s="1" t="n">
        <v>46324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45301</v>
      </c>
      <c r="E245" s="1" t="n">
        <v>46324</v>
      </c>
      <c r="F245" t="inlineStr">
        <is>
          <t>JÖNKÖPINGS LÄN</t>
        </is>
      </c>
      <c r="G245" t="inlineStr">
        <is>
          <t>SÄVSJÖ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46324</v>
      </c>
      <c r="F246" t="inlineStr">
        <is>
          <t>JÖNKÖPINGS LÄN</t>
        </is>
      </c>
      <c r="G246" t="inlineStr">
        <is>
          <t>SÄVSJÖ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45015</v>
      </c>
      <c r="E247" s="1" t="n">
        <v>46324</v>
      </c>
      <c r="F247" t="inlineStr">
        <is>
          <t>JÖNKÖPINGS LÄN</t>
        </is>
      </c>
      <c r="G247" t="inlineStr">
        <is>
          <t>SÄVSJÖ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46324</v>
      </c>
      <c r="F248" t="inlineStr">
        <is>
          <t>JÖNKÖPINGS LÄN</t>
        </is>
      </c>
      <c r="G248" t="inlineStr">
        <is>
          <t>SÄVSJÖ</t>
        </is>
      </c>
      <c r="H248" t="inlineStr">
        <is>
          <t>Kyrkan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45334</v>
      </c>
      <c r="E249" s="1" t="n">
        <v>46324</v>
      </c>
      <c r="F249" t="inlineStr">
        <is>
          <t>JÖNKÖPINGS LÄN</t>
        </is>
      </c>
      <c r="G249" t="inlineStr">
        <is>
          <t>SÄVSJÖ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7917-2024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45350</v>
      </c>
      <c r="E250" s="1" t="n">
        <v>46324</v>
      </c>
      <c r="F250" t="inlineStr">
        <is>
          <t>JÖNKÖPINGS LÄN</t>
        </is>
      </c>
      <c r="G250" t="inlineStr">
        <is>
          <t>SÄVSJÖ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46324</v>
      </c>
      <c r="F251" t="inlineStr">
        <is>
          <t>JÖNKÖPINGS LÄN</t>
        </is>
      </c>
      <c r="G251" t="inlineStr">
        <is>
          <t>SÄVSJÖ</t>
        </is>
      </c>
      <c r="H251" t="inlineStr">
        <is>
          <t>Kommuner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46191</v>
      </c>
      <c r="E252" s="1" t="n">
        <v>46324</v>
      </c>
      <c r="F252" t="inlineStr">
        <is>
          <t>JÖNKÖPINGS LÄN</t>
        </is>
      </c>
      <c r="G252" t="inlineStr">
        <is>
          <t>SÄVSJÖ</t>
        </is>
      </c>
      <c r="H252" t="inlineStr">
        <is>
          <t>Kommuner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46324</v>
      </c>
      <c r="F253" t="inlineStr">
        <is>
          <t>JÖNKÖPINGS LÄN</t>
        </is>
      </c>
      <c r="G253" t="inlineStr">
        <is>
          <t>SÄVSJÖ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46324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46324</v>
      </c>
      <c r="F255" t="inlineStr">
        <is>
          <t>JÖNKÖPINGS LÄN</t>
        </is>
      </c>
      <c r="G255" t="inlineStr">
        <is>
          <t>SÄVSJÖ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46324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46324</v>
      </c>
      <c r="F257" t="inlineStr">
        <is>
          <t>JÖNKÖPINGS LÄN</t>
        </is>
      </c>
      <c r="G257" t="inlineStr">
        <is>
          <t>SÄVSJÖ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51938-2024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45607</v>
      </c>
      <c r="E258" s="1" t="n">
        <v>46324</v>
      </c>
      <c r="F258" t="inlineStr">
        <is>
          <t>JÖNKÖPINGS LÄN</t>
        </is>
      </c>
      <c r="G258" t="inlineStr">
        <is>
          <t>SÄVSJÖ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44988</v>
      </c>
      <c r="E259" s="1" t="n">
        <v>46324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46070</v>
      </c>
      <c r="E260" s="1" t="n">
        <v>46324</v>
      </c>
      <c r="F260" t="inlineStr">
        <is>
          <t>JÖNKÖPINGS LÄN</t>
        </is>
      </c>
      <c r="G260" t="inlineStr">
        <is>
          <t>SÄVSJÖ</t>
        </is>
      </c>
      <c r="H260" t="inlineStr">
        <is>
          <t>Kyrkan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46070</v>
      </c>
      <c r="E261" s="1" t="n">
        <v>46324</v>
      </c>
      <c r="F261" t="inlineStr">
        <is>
          <t>JÖNKÖPINGS LÄN</t>
        </is>
      </c>
      <c r="G261" t="inlineStr">
        <is>
          <t>SÄVSJÖ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21788-2023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45066</v>
      </c>
      <c r="E262" s="1" t="n">
        <v>46324</v>
      </c>
      <c r="F262" t="inlineStr">
        <is>
          <t>JÖNKÖPINGS LÄN</t>
        </is>
      </c>
      <c r="G262" t="inlineStr">
        <is>
          <t>SÄVSJÖ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45448</v>
      </c>
      <c r="E263" s="1" t="n">
        <v>46324</v>
      </c>
      <c r="F263" t="inlineStr">
        <is>
          <t>JÖNKÖPINGS LÄN</t>
        </is>
      </c>
      <c r="G263" t="inlineStr">
        <is>
          <t>SÄVSJÖ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51809-2024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46324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46324</v>
      </c>
      <c r="F265" t="inlineStr">
        <is>
          <t>JÖNKÖPINGS LÄN</t>
        </is>
      </c>
      <c r="G265" t="inlineStr">
        <is>
          <t>SÄVSJÖ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45366</v>
      </c>
      <c r="E266" s="1" t="n">
        <v>46324</v>
      </c>
      <c r="F266" t="inlineStr">
        <is>
          <t>JÖNKÖPINGS LÄN</t>
        </is>
      </c>
      <c r="G266" t="inlineStr">
        <is>
          <t>SÄVSJÖ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46324</v>
      </c>
      <c r="F267" t="inlineStr">
        <is>
          <t>JÖNKÖPINGS LÄN</t>
        </is>
      </c>
      <c r="G267" t="inlineStr">
        <is>
          <t>SÄVSJÖ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36391-2024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45534</v>
      </c>
      <c r="E268" s="1" t="n">
        <v>46324</v>
      </c>
      <c r="F268" t="inlineStr">
        <is>
          <t>JÖNKÖPINGS LÄN</t>
        </is>
      </c>
      <c r="G268" t="inlineStr">
        <is>
          <t>SÄVSJÖ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46087</v>
      </c>
      <c r="E269" s="1" t="n">
        <v>46324</v>
      </c>
      <c r="F269" t="inlineStr">
        <is>
          <t>JÖNKÖPINGS LÄN</t>
        </is>
      </c>
      <c r="G269" t="inlineStr">
        <is>
          <t>SÄVSJÖ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46324</v>
      </c>
      <c r="F270" t="inlineStr">
        <is>
          <t>JÖNKÖPINGS LÄN</t>
        </is>
      </c>
      <c r="G270" t="inlineStr">
        <is>
          <t>SÄVSJÖ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13693-2026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46097</v>
      </c>
      <c r="E271" s="1" t="n">
        <v>46324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46324</v>
      </c>
      <c r="F272" t="inlineStr">
        <is>
          <t>JÖNKÖPINGS LÄN</t>
        </is>
      </c>
      <c r="G272" t="inlineStr">
        <is>
          <t>SÄVSJÖ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46324</v>
      </c>
      <c r="F273" t="inlineStr">
        <is>
          <t>JÖNKÖPINGS LÄN</t>
        </is>
      </c>
      <c r="G273" t="inlineStr">
        <is>
          <t>SÄVSJÖ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46324</v>
      </c>
      <c r="F274" t="inlineStr">
        <is>
          <t>JÖNKÖPINGS LÄN</t>
        </is>
      </c>
      <c r="G274" t="inlineStr">
        <is>
          <t>SÄVSJÖ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45634</v>
      </c>
      <c r="E275" s="1" t="n">
        <v>46324</v>
      </c>
      <c r="F275" t="inlineStr">
        <is>
          <t>JÖNKÖPINGS LÄN</t>
        </is>
      </c>
      <c r="G275" t="inlineStr">
        <is>
          <t>SÄVSJÖ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45634</v>
      </c>
      <c r="E276" s="1" t="n">
        <v>46324</v>
      </c>
      <c r="F276" t="inlineStr">
        <is>
          <t>JÖNKÖPINGS LÄN</t>
        </is>
      </c>
      <c r="G276" t="inlineStr">
        <is>
          <t>SÄVSJÖ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62177-2023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45267</v>
      </c>
      <c r="E277" s="1" t="n">
        <v>46324</v>
      </c>
      <c r="F277" t="inlineStr">
        <is>
          <t>JÖNKÖPINGS LÄN</t>
        </is>
      </c>
      <c r="G277" t="inlineStr">
        <is>
          <t>SÄVSJÖ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46324</v>
      </c>
      <c r="F278" t="inlineStr">
        <is>
          <t>JÖNKÖPINGS LÄN</t>
        </is>
      </c>
      <c r="G278" t="inlineStr">
        <is>
          <t>SÄVSJÖ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46324</v>
      </c>
      <c r="F279" t="inlineStr">
        <is>
          <t>JÖNKÖPINGS LÄN</t>
        </is>
      </c>
      <c r="G279" t="inlineStr">
        <is>
          <t>SÄVSJÖ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46101</v>
      </c>
      <c r="E280" s="1" t="n">
        <v>46324</v>
      </c>
      <c r="F280" t="inlineStr">
        <is>
          <t>JÖNKÖPINGS LÄN</t>
        </is>
      </c>
      <c r="G280" t="inlineStr">
        <is>
          <t>SÄVSJÖ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46324</v>
      </c>
      <c r="F281" t="inlineStr">
        <is>
          <t>JÖNKÖPINGS LÄN</t>
        </is>
      </c>
      <c r="G281" t="inlineStr">
        <is>
          <t>SÄVSJÖ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45104</v>
      </c>
      <c r="E282" s="1" t="n">
        <v>46324</v>
      </c>
      <c r="F282" t="inlineStr">
        <is>
          <t>JÖNKÖPINGS LÄN</t>
        </is>
      </c>
      <c r="G282" t="inlineStr">
        <is>
          <t>SÄVSJÖ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46324</v>
      </c>
      <c r="F283" t="inlineStr">
        <is>
          <t>JÖNKÖPINGS LÄN</t>
        </is>
      </c>
      <c r="G283" t="inlineStr">
        <is>
          <t>SÄVSJÖ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15991-2026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46108</v>
      </c>
      <c r="E284" s="1" t="n">
        <v>46324</v>
      </c>
      <c r="F284" t="inlineStr">
        <is>
          <t>JÖNKÖPINGS LÄN</t>
        </is>
      </c>
      <c r="G284" t="inlineStr">
        <is>
          <t>SÄVSJÖ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46324</v>
      </c>
      <c r="F285" t="inlineStr">
        <is>
          <t>JÖNKÖPINGS LÄN</t>
        </is>
      </c>
      <c r="G285" t="inlineStr">
        <is>
          <t>SÄVSJÖ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17308-2024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45414</v>
      </c>
      <c r="E286" s="1" t="n">
        <v>46324</v>
      </c>
      <c r="F286" t="inlineStr">
        <is>
          <t>JÖNKÖPINGS LÄN</t>
        </is>
      </c>
      <c r="G286" t="inlineStr">
        <is>
          <t>SÄVSJÖ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27014-2023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45094</v>
      </c>
      <c r="E287" s="1" t="n">
        <v>46324</v>
      </c>
      <c r="F287" t="inlineStr">
        <is>
          <t>JÖNKÖPINGS LÄN</t>
        </is>
      </c>
      <c r="G287" t="inlineStr">
        <is>
          <t>SÄVSJÖ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60805-2024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45644</v>
      </c>
      <c r="E288" s="1" t="n">
        <v>46324</v>
      </c>
      <c r="F288" t="inlineStr">
        <is>
          <t>JÖNKÖPINGS LÄN</t>
        </is>
      </c>
      <c r="G288" t="inlineStr">
        <is>
          <t>SÄVSJÖ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45573</v>
      </c>
      <c r="E289" s="1" t="n">
        <v>46324</v>
      </c>
      <c r="F289" t="inlineStr">
        <is>
          <t>JÖNKÖPINGS LÄN</t>
        </is>
      </c>
      <c r="G289" t="inlineStr">
        <is>
          <t>SÄVSJÖ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45455</v>
      </c>
      <c r="E290" s="1" t="n">
        <v>46324</v>
      </c>
      <c r="F290" t="inlineStr">
        <is>
          <t>JÖNKÖPINGS LÄN</t>
        </is>
      </c>
      <c r="G290" t="inlineStr">
        <is>
          <t>SÄVSJÖ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22733-2024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45448</v>
      </c>
      <c r="E291" s="1" t="n">
        <v>46324</v>
      </c>
      <c r="F291" t="inlineStr">
        <is>
          <t>JÖNKÖPINGS LÄN</t>
        </is>
      </c>
      <c r="G291" t="inlineStr">
        <is>
          <t>SÄVSJÖ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46324</v>
      </c>
      <c r="F292" t="inlineStr">
        <is>
          <t>JÖNKÖPINGS LÄN</t>
        </is>
      </c>
      <c r="G292" t="inlineStr">
        <is>
          <t>SÄVSJÖ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46324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46324</v>
      </c>
      <c r="F294" t="inlineStr">
        <is>
          <t>JÖNKÖPINGS LÄN</t>
        </is>
      </c>
      <c r="G294" t="inlineStr">
        <is>
          <t>SÄVSJÖ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45725</v>
      </c>
      <c r="E295" s="1" t="n">
        <v>46324</v>
      </c>
      <c r="F295" t="inlineStr">
        <is>
          <t>JÖNKÖPINGS LÄN</t>
        </is>
      </c>
      <c r="G295" t="inlineStr">
        <is>
          <t>SÄVSJÖ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45412</v>
      </c>
      <c r="E296" s="1" t="n">
        <v>46324</v>
      </c>
      <c r="F296" t="inlineStr">
        <is>
          <t>JÖNKÖPINGS LÄN</t>
        </is>
      </c>
      <c r="G296" t="inlineStr">
        <is>
          <t>SÄVSJÖ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31721-2026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46226</v>
      </c>
      <c r="E297" s="1" t="n">
        <v>46324</v>
      </c>
      <c r="F297" t="inlineStr">
        <is>
          <t>JÖNKÖPINGS LÄN</t>
        </is>
      </c>
      <c r="G297" t="inlineStr">
        <is>
          <t>SÄVSJÖ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45321</v>
      </c>
      <c r="E298" s="1" t="n">
        <v>46324</v>
      </c>
      <c r="F298" t="inlineStr">
        <is>
          <t>JÖNKÖPINGS LÄN</t>
        </is>
      </c>
      <c r="G298" t="inlineStr">
        <is>
          <t>SÄVSJÖ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45791</v>
      </c>
      <c r="E299" s="1" t="n">
        <v>46324</v>
      </c>
      <c r="F299" t="inlineStr">
        <is>
          <t>JÖNKÖPINGS LÄN</t>
        </is>
      </c>
      <c r="G299" t="inlineStr">
        <is>
          <t>SÄVSJÖ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45611</v>
      </c>
      <c r="E300" s="1" t="n">
        <v>46324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22066-2025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45785</v>
      </c>
      <c r="E301" s="1" t="n">
        <v>46324</v>
      </c>
      <c r="F301" t="inlineStr">
        <is>
          <t>JÖNKÖPINGS LÄN</t>
        </is>
      </c>
      <c r="G301" t="inlineStr">
        <is>
          <t>SÄVSJÖ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45001</v>
      </c>
      <c r="E302" s="1" t="n">
        <v>46324</v>
      </c>
      <c r="F302" t="inlineStr">
        <is>
          <t>JÖNKÖPINGS LÄN</t>
        </is>
      </c>
      <c r="G302" t="inlineStr">
        <is>
          <t>SÄVSJÖ</t>
        </is>
      </c>
      <c r="H302" t="inlineStr">
        <is>
          <t>Kyrkan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45985</v>
      </c>
      <c r="E303" s="1" t="n">
        <v>46324</v>
      </c>
      <c r="F303" t="inlineStr">
        <is>
          <t>JÖNKÖPINGS LÄN</t>
        </is>
      </c>
      <c r="G303" t="inlineStr">
        <is>
          <t>SÄVSJÖ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18135-2023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45040</v>
      </c>
      <c r="E304" s="1" t="n">
        <v>46324</v>
      </c>
      <c r="F304" t="inlineStr">
        <is>
          <t>JÖNKÖPINGS LÄN</t>
        </is>
      </c>
      <c r="G304" t="inlineStr">
        <is>
          <t>SÄVSJÖ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45879</v>
      </c>
      <c r="E305" s="1" t="n">
        <v>46324</v>
      </c>
      <c r="F305" t="inlineStr">
        <is>
          <t>JÖNKÖPINGS LÄN</t>
        </is>
      </c>
      <c r="G305" t="inlineStr">
        <is>
          <t>SÄVSJÖ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46286</v>
      </c>
      <c r="E306" s="1" t="n">
        <v>46324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46324</v>
      </c>
      <c r="F307" t="inlineStr">
        <is>
          <t>JÖNKÖPINGS LÄN</t>
        </is>
      </c>
      <c r="G307" t="inlineStr">
        <is>
          <t>SÄVSJÖ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46324</v>
      </c>
      <c r="F308" t="inlineStr">
        <is>
          <t>JÖNKÖPINGS LÄN</t>
        </is>
      </c>
      <c r="G308" t="inlineStr">
        <is>
          <t>SÄVSJÖ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38771-2026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46286</v>
      </c>
      <c r="E309" s="1" t="n">
        <v>46324</v>
      </c>
      <c r="F309" t="inlineStr">
        <is>
          <t>JÖNKÖPINGS LÄN</t>
        </is>
      </c>
      <c r="G309" t="inlineStr">
        <is>
          <t>SÄVSJÖ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45247</v>
      </c>
      <c r="E310" s="1" t="n">
        <v>46324</v>
      </c>
      <c r="F310" t="inlineStr">
        <is>
          <t>JÖNKÖPINGS LÄN</t>
        </is>
      </c>
      <c r="G310" t="inlineStr">
        <is>
          <t>SÄVSJÖ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32177-2022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44781</v>
      </c>
      <c r="E311" s="1" t="n">
        <v>46324</v>
      </c>
      <c r="F311" t="inlineStr">
        <is>
          <t>JÖNKÖPINGS LÄN</t>
        </is>
      </c>
      <c r="G311" t="inlineStr">
        <is>
          <t>SÄVSJÖ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45067</v>
      </c>
      <c r="E312" s="1" t="n">
        <v>46324</v>
      </c>
      <c r="F312" t="inlineStr">
        <is>
          <t>JÖNKÖPINGS LÄN</t>
        </is>
      </c>
      <c r="G312" t="inlineStr">
        <is>
          <t>SÄVSJÖ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46293</v>
      </c>
      <c r="E313" s="1" t="n">
        <v>46324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46293</v>
      </c>
      <c r="E314" s="1" t="n">
        <v>46324</v>
      </c>
      <c r="F314" t="inlineStr">
        <is>
          <t>JÖNKÖPINGS LÄN</t>
        </is>
      </c>
      <c r="G314" t="inlineStr">
        <is>
          <t>SÄVSJÖ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40592-2026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46294</v>
      </c>
      <c r="E315" s="1" t="n">
        <v>46324</v>
      </c>
      <c r="F315" t="inlineStr">
        <is>
          <t>JÖNKÖPINGS LÄN</t>
        </is>
      </c>
      <c r="G315" t="inlineStr">
        <is>
          <t>SÄVSJÖ</t>
        </is>
      </c>
      <c r="H315" t="inlineStr">
        <is>
          <t>Kyrkan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45237</v>
      </c>
      <c r="E316" s="1" t="n">
        <v>46324</v>
      </c>
      <c r="F316" t="inlineStr">
        <is>
          <t>JÖNKÖPINGS LÄN</t>
        </is>
      </c>
      <c r="G316" t="inlineStr">
        <is>
          <t>SÄVSJÖ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46295</v>
      </c>
      <c r="E317" s="1" t="n">
        <v>46324</v>
      </c>
      <c r="F317" t="inlineStr">
        <is>
          <t>JÖNKÖPINGS LÄN</t>
        </is>
      </c>
      <c r="G317" t="inlineStr">
        <is>
          <t>SÄVSJÖ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46324</v>
      </c>
      <c r="F318" t="inlineStr">
        <is>
          <t>JÖNKÖPINGS LÄN</t>
        </is>
      </c>
      <c r="G318" t="inlineStr">
        <is>
          <t>SÄVSJÖ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45267</v>
      </c>
      <c r="E319" s="1" t="n">
        <v>46324</v>
      </c>
      <c r="F319" t="inlineStr">
        <is>
          <t>JÖNKÖPINGS LÄN</t>
        </is>
      </c>
      <c r="G319" t="inlineStr">
        <is>
          <t>SÄVSJÖ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63920-2021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44509</v>
      </c>
      <c r="E320" s="1" t="n">
        <v>46324</v>
      </c>
      <c r="F320" t="inlineStr">
        <is>
          <t>JÖNKÖPINGS LÄN</t>
        </is>
      </c>
      <c r="G320" t="inlineStr">
        <is>
          <t>SÄVSJÖ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46294</v>
      </c>
      <c r="E321" s="1" t="n">
        <v>46324</v>
      </c>
      <c r="F321" t="inlineStr">
        <is>
          <t>JÖNKÖPINGS LÄN</t>
        </is>
      </c>
      <c r="G321" t="inlineStr">
        <is>
          <t>SÄVSJÖ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45671</v>
      </c>
      <c r="E322" s="1" t="n">
        <v>46324</v>
      </c>
      <c r="F322" t="inlineStr">
        <is>
          <t>JÖNKÖPINGS LÄN</t>
        </is>
      </c>
      <c r="G322" t="inlineStr">
        <is>
          <t>SÄVSJÖ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45228</v>
      </c>
      <c r="E323" s="1" t="n">
        <v>46324</v>
      </c>
      <c r="F323" t="inlineStr">
        <is>
          <t>JÖNKÖPINGS LÄN</t>
        </is>
      </c>
      <c r="G323" t="inlineStr">
        <is>
          <t>SÄVSJÖ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45167</v>
      </c>
      <c r="E324" s="1" t="n">
        <v>46324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46296</v>
      </c>
      <c r="E325" s="1" t="n">
        <v>46324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44995</v>
      </c>
      <c r="E326" s="1" t="n">
        <v>46324</v>
      </c>
      <c r="F326" t="inlineStr">
        <is>
          <t>JÖNKÖPINGS LÄN</t>
        </is>
      </c>
      <c r="G326" t="inlineStr">
        <is>
          <t>SÄVSJÖ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46324</v>
      </c>
      <c r="F327" t="inlineStr">
        <is>
          <t>JÖNKÖPINGS LÄN</t>
        </is>
      </c>
      <c r="G327" t="inlineStr">
        <is>
          <t>SÄVSJÖ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46301</v>
      </c>
      <c r="E328" s="1" t="n">
        <v>46324</v>
      </c>
      <c r="F328" t="inlineStr">
        <is>
          <t>JÖNKÖPINGS LÄN</t>
        </is>
      </c>
      <c r="G328" t="inlineStr">
        <is>
          <t>SÄVSJÖ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45671</v>
      </c>
      <c r="E329" s="1" t="n">
        <v>46324</v>
      </c>
      <c r="F329" t="inlineStr">
        <is>
          <t>JÖNKÖPINGS LÄN</t>
        </is>
      </c>
      <c r="G329" t="inlineStr">
        <is>
          <t>SÄVSJÖ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45679</v>
      </c>
      <c r="E330" s="1" t="n">
        <v>46324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46324</v>
      </c>
      <c r="F331" t="inlineStr">
        <is>
          <t>JÖNKÖPINGS LÄN</t>
        </is>
      </c>
      <c r="G331" t="inlineStr">
        <is>
          <t>SÄVSJÖ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45102</v>
      </c>
      <c r="E332" s="1" t="n">
        <v>46324</v>
      </c>
      <c r="F332" t="inlineStr">
        <is>
          <t>JÖNKÖPINGS LÄN</t>
        </is>
      </c>
      <c r="G332" t="inlineStr">
        <is>
          <t>SÄVSJÖ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45371</v>
      </c>
      <c r="E333" s="1" t="n">
        <v>46324</v>
      </c>
      <c r="F333" t="inlineStr">
        <is>
          <t>JÖNKÖPINGS LÄN</t>
        </is>
      </c>
      <c r="G333" t="inlineStr">
        <is>
          <t>SÄVSJÖ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38914-2024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45547</v>
      </c>
      <c r="E334" s="1" t="n">
        <v>46324</v>
      </c>
      <c r="F334" t="inlineStr">
        <is>
          <t>JÖNKÖPINGS LÄN</t>
        </is>
      </c>
      <c r="G334" t="inlineStr">
        <is>
          <t>SÄVSJÖ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45302</v>
      </c>
      <c r="E335" s="1" t="n">
        <v>46324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46184</v>
      </c>
      <c r="E336" s="1" t="n">
        <v>46324</v>
      </c>
      <c r="F336" t="inlineStr">
        <is>
          <t>JÖNKÖPINGS LÄN</t>
        </is>
      </c>
      <c r="G336" t="inlineStr">
        <is>
          <t>SÄVSJÖ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61545-2021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44501</v>
      </c>
      <c r="E337" s="1" t="n">
        <v>46324</v>
      </c>
      <c r="F337" t="inlineStr">
        <is>
          <t>JÖNKÖPINGS LÄN</t>
        </is>
      </c>
      <c r="G337" t="inlineStr">
        <is>
          <t>SÄVSJÖ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43976-2022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44838</v>
      </c>
      <c r="E338" s="1" t="n">
        <v>46324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35204-2026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46260</v>
      </c>
      <c r="E339" s="1" t="n">
        <v>46324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44893</v>
      </c>
      <c r="E340" s="1" t="n">
        <v>46324</v>
      </c>
      <c r="F340" t="inlineStr">
        <is>
          <t>JÖNKÖPINGS LÄN</t>
        </is>
      </c>
      <c r="G340" t="inlineStr">
        <is>
          <t>SÄVSJÖ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46260</v>
      </c>
      <c r="E341" s="1" t="n">
        <v>46324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10284-2024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45365</v>
      </c>
      <c r="E342" s="1" t="n">
        <v>46324</v>
      </c>
      <c r="F342" t="inlineStr">
        <is>
          <t>JÖNKÖPINGS LÄN</t>
        </is>
      </c>
      <c r="G342" t="inlineStr">
        <is>
          <t>SÄVSJÖ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44929</v>
      </c>
      <c r="E343" s="1" t="n">
        <v>46324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46303</v>
      </c>
      <c r="E344" s="1" t="n">
        <v>46324</v>
      </c>
      <c r="F344" t="inlineStr">
        <is>
          <t>JÖNKÖPINGS LÄN</t>
        </is>
      </c>
      <c r="G344" t="inlineStr">
        <is>
          <t>SÄVSJÖ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50627-2022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44866</v>
      </c>
      <c r="E345" s="1" t="n">
        <v>46324</v>
      </c>
      <c r="F345" t="inlineStr">
        <is>
          <t>JÖNKÖPINGS LÄN</t>
        </is>
      </c>
      <c r="G345" t="inlineStr">
        <is>
          <t>SÄVSJÖ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44642</v>
      </c>
      <c r="E346" s="1" t="n">
        <v>46324</v>
      </c>
      <c r="F346" t="inlineStr">
        <is>
          <t>JÖNKÖPINGS LÄN</t>
        </is>
      </c>
      <c r="G346" t="inlineStr">
        <is>
          <t>SÄVSJÖ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46289</v>
      </c>
      <c r="E347" s="1" t="n">
        <v>46324</v>
      </c>
      <c r="F347" t="inlineStr">
        <is>
          <t>JÖNKÖPINGS LÄN</t>
        </is>
      </c>
      <c r="G347" t="inlineStr">
        <is>
          <t>SÄVSJÖ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54533-2023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45226</v>
      </c>
      <c r="E348" s="1" t="n">
        <v>46324</v>
      </c>
      <c r="F348" t="inlineStr">
        <is>
          <t>JÖNKÖPINGS LÄN</t>
        </is>
      </c>
      <c r="G348" t="inlineStr">
        <is>
          <t>SÄVSJÖ</t>
        </is>
      </c>
      <c r="H348" t="inlineStr">
        <is>
          <t>Kyrkan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46324</v>
      </c>
      <c r="F349" t="inlineStr">
        <is>
          <t>JÖNKÖPINGS LÄN</t>
        </is>
      </c>
      <c r="G349" t="inlineStr">
        <is>
          <t>SÄVSJÖ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34287-2024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45524</v>
      </c>
      <c r="E350" s="1" t="n">
        <v>46324</v>
      </c>
      <c r="F350" t="inlineStr">
        <is>
          <t>JÖNKÖPINGS LÄN</t>
        </is>
      </c>
      <c r="G350" t="inlineStr">
        <is>
          <t>SÄVSJÖ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10865-2023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44991</v>
      </c>
      <c r="E351" s="1" t="n">
        <v>46324</v>
      </c>
      <c r="F351" t="inlineStr">
        <is>
          <t>JÖNKÖPINGS LÄN</t>
        </is>
      </c>
      <c r="G351" t="inlineStr">
        <is>
          <t>SÄVSJÖ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33537-2026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46248</v>
      </c>
      <c r="E352" s="1" t="n">
        <v>46324</v>
      </c>
      <c r="F352" t="inlineStr">
        <is>
          <t>JÖNKÖPINGS LÄN</t>
        </is>
      </c>
      <c r="G352" t="inlineStr">
        <is>
          <t>SÄVSJÖ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49406-2023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45211</v>
      </c>
      <c r="E353" s="1" t="n">
        <v>46324</v>
      </c>
      <c r="F353" t="inlineStr">
        <is>
          <t>JÖNKÖPINGS LÄN</t>
        </is>
      </c>
      <c r="G353" t="inlineStr">
        <is>
          <t>SÄVSJÖ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42579-2026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46308</v>
      </c>
      <c r="E354" s="1" t="n">
        <v>46324</v>
      </c>
      <c r="F354" t="inlineStr">
        <is>
          <t>JÖNKÖPINGS LÄN</t>
        </is>
      </c>
      <c r="G354" t="inlineStr">
        <is>
          <t>SÄVSJÖ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46324</v>
      </c>
      <c r="F355" t="inlineStr">
        <is>
          <t>JÖNKÖPINGS LÄN</t>
        </is>
      </c>
      <c r="G355" t="inlineStr">
        <is>
          <t>SÄVSJÖ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58400-2024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45634</v>
      </c>
      <c r="E356" s="1" t="n">
        <v>46324</v>
      </c>
      <c r="F356" t="inlineStr">
        <is>
          <t>JÖNKÖPINGS LÄN</t>
        </is>
      </c>
      <c r="G356" t="inlineStr">
        <is>
          <t>SÄVSJÖ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42580-2026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46308</v>
      </c>
      <c r="E357" s="1" t="n">
        <v>46324</v>
      </c>
      <c r="F357" t="inlineStr">
        <is>
          <t>JÖNKÖPINGS LÄN</t>
        </is>
      </c>
      <c r="G357" t="inlineStr">
        <is>
          <t>SÄVSJÖ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46266</v>
      </c>
      <c r="E358" s="1" t="n">
        <v>46324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46248</v>
      </c>
      <c r="E359" s="1" t="n">
        <v>46324</v>
      </c>
      <c r="F359" t="inlineStr">
        <is>
          <t>JÖNKÖPINGS LÄN</t>
        </is>
      </c>
      <c r="G359" t="inlineStr">
        <is>
          <t>SÄVSJÖ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45433</v>
      </c>
      <c r="E360" s="1" t="n">
        <v>46324</v>
      </c>
      <c r="F360" t="inlineStr">
        <is>
          <t>JÖNKÖPINGS LÄN</t>
        </is>
      </c>
      <c r="G360" t="inlineStr">
        <is>
          <t>SÄVSJÖ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42578-2026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46308</v>
      </c>
      <c r="E361" s="1" t="n">
        <v>46324</v>
      </c>
      <c r="F361" t="inlineStr">
        <is>
          <t>JÖNKÖPINGS LÄN</t>
        </is>
      </c>
      <c r="G361" t="inlineStr">
        <is>
          <t>SÄVSJÖ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36393-2024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45534</v>
      </c>
      <c r="E362" s="1" t="n">
        <v>46324</v>
      </c>
      <c r="F362" t="inlineStr">
        <is>
          <t>JÖNKÖPINGS LÄN</t>
        </is>
      </c>
      <c r="G362" t="inlineStr">
        <is>
          <t>SÄVSJÖ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45053</v>
      </c>
      <c r="E363" s="1" t="n">
        <v>46324</v>
      </c>
      <c r="F363" t="inlineStr">
        <is>
          <t>JÖNKÖPINGS LÄN</t>
        </is>
      </c>
      <c r="G363" t="inlineStr">
        <is>
          <t>SÄVSJÖ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46282</v>
      </c>
      <c r="E364" s="1" t="n">
        <v>46324</v>
      </c>
      <c r="F364" t="inlineStr">
        <is>
          <t>JÖNKÖPINGS LÄN</t>
        </is>
      </c>
      <c r="G364" t="inlineStr">
        <is>
          <t>SÄVSJÖ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46324</v>
      </c>
      <c r="F365" t="inlineStr">
        <is>
          <t>JÖNKÖPINGS LÄN</t>
        </is>
      </c>
      <c r="G365" t="inlineStr">
        <is>
          <t>SÄVSJÖ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46266</v>
      </c>
      <c r="E366" s="1" t="n">
        <v>46324</v>
      </c>
      <c r="F366" t="inlineStr">
        <is>
          <t>JÖNKÖPINGS LÄN</t>
        </is>
      </c>
      <c r="G366" t="inlineStr">
        <is>
          <t>SÄVSJÖ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10887-2023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44991</v>
      </c>
      <c r="E367" s="1" t="n">
        <v>46324</v>
      </c>
      <c r="F367" t="inlineStr">
        <is>
          <t>JÖNKÖPINGS LÄN</t>
        </is>
      </c>
      <c r="G367" t="inlineStr">
        <is>
          <t>SÄVSJÖ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46272</v>
      </c>
      <c r="E368" s="1" t="n">
        <v>46324</v>
      </c>
      <c r="F368" t="inlineStr">
        <is>
          <t>JÖNKÖPINGS LÄN</t>
        </is>
      </c>
      <c r="G368" t="inlineStr">
        <is>
          <t>SÄVSJÖ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45593</v>
      </c>
      <c r="E369" s="1" t="n">
        <v>46324</v>
      </c>
      <c r="F369" t="inlineStr">
        <is>
          <t>JÖNKÖPINGS LÄN</t>
        </is>
      </c>
      <c r="G369" t="inlineStr">
        <is>
          <t>SÄVSJÖ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46316</v>
      </c>
      <c r="E370" s="1" t="n">
        <v>46324</v>
      </c>
      <c r="F370" t="inlineStr">
        <is>
          <t>JÖNKÖPINGS LÄN</t>
        </is>
      </c>
      <c r="G370" t="inlineStr">
        <is>
          <t>SÄVSJÖ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45315</v>
      </c>
      <c r="E371" s="1" t="n">
        <v>46324</v>
      </c>
      <c r="F371" t="inlineStr">
        <is>
          <t>JÖNKÖPINGS LÄN</t>
        </is>
      </c>
      <c r="G371" t="inlineStr">
        <is>
          <t>SÄVSJÖ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44076-2026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46317</v>
      </c>
      <c r="E372" s="1" t="n">
        <v>46324</v>
      </c>
      <c r="F372" t="inlineStr">
        <is>
          <t>JÖNKÖPINGS LÄN</t>
        </is>
      </c>
      <c r="G372" t="inlineStr">
        <is>
          <t>SÄVSJÖ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45001</v>
      </c>
      <c r="E373" s="1" t="n">
        <v>46324</v>
      </c>
      <c r="F373" t="inlineStr">
        <is>
          <t>JÖNKÖPINGS LÄN</t>
        </is>
      </c>
      <c r="G373" t="inlineStr">
        <is>
          <t>SÄVSJÖ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46274</v>
      </c>
      <c r="E374" s="1" t="n">
        <v>46324</v>
      </c>
      <c r="F374" t="inlineStr">
        <is>
          <t>JÖNKÖPINGS LÄN</t>
        </is>
      </c>
      <c r="G374" t="inlineStr">
        <is>
          <t>SÄVSJÖ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46324</v>
      </c>
      <c r="F375" t="inlineStr">
        <is>
          <t>JÖNKÖPINGS LÄN</t>
        </is>
      </c>
      <c r="G375" t="inlineStr">
        <is>
          <t>SÄVSJÖ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40111-2022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44820</v>
      </c>
      <c r="E376" s="1" t="n">
        <v>46324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37079-2026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46273</v>
      </c>
      <c r="E377" s="1" t="n">
        <v>46324</v>
      </c>
      <c r="F377" t="inlineStr">
        <is>
          <t>JÖNKÖPINGS LÄN</t>
        </is>
      </c>
      <c r="G377" t="inlineStr">
        <is>
          <t>SÄVSJÖ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45015</v>
      </c>
      <c r="E378" s="1" t="n">
        <v>46324</v>
      </c>
      <c r="F378" t="inlineStr">
        <is>
          <t>JÖNKÖPINGS LÄN</t>
        </is>
      </c>
      <c r="G378" t="inlineStr">
        <is>
          <t>SÄVSJÖ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43644-2026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46316</v>
      </c>
      <c r="E379" s="1" t="n">
        <v>46324</v>
      </c>
      <c r="F379" t="inlineStr">
        <is>
          <t>JÖNKÖPINGS LÄN</t>
        </is>
      </c>
      <c r="G379" t="inlineStr">
        <is>
          <t>SÄVSJÖ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45419</v>
      </c>
      <c r="E380" s="1" t="n">
        <v>46324</v>
      </c>
      <c r="F380" t="inlineStr">
        <is>
          <t>JÖNKÖPINGS LÄN</t>
        </is>
      </c>
      <c r="G380" t="inlineStr">
        <is>
          <t>SÄVSJÖ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44079-2026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46317</v>
      </c>
      <c r="E381" s="1" t="n">
        <v>46324</v>
      </c>
      <c r="F381" t="inlineStr">
        <is>
          <t>JÖNKÖPINGS LÄN</t>
        </is>
      </c>
      <c r="G381" t="inlineStr">
        <is>
          <t>SÄVSJÖ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43641-2026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46316</v>
      </c>
      <c r="E382" s="1" t="n">
        <v>46324</v>
      </c>
      <c r="F382" t="inlineStr">
        <is>
          <t>JÖNKÖPINGS LÄN</t>
        </is>
      </c>
      <c r="G382" t="inlineStr">
        <is>
          <t>SÄVSJÖ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46316</v>
      </c>
      <c r="E383" s="1" t="n">
        <v>46324</v>
      </c>
      <c r="F383" t="inlineStr">
        <is>
          <t>JÖNKÖPINGS LÄN</t>
        </is>
      </c>
      <c r="G383" t="inlineStr">
        <is>
          <t>SÄVSJÖ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46316</v>
      </c>
      <c r="E384" s="1" t="n">
        <v>46324</v>
      </c>
      <c r="F384" t="inlineStr">
        <is>
          <t>JÖNKÖPINGS LÄN</t>
        </is>
      </c>
      <c r="G384" t="inlineStr">
        <is>
          <t>SÄVSJÖ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43772-2026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46316</v>
      </c>
      <c r="E385" s="1" t="n">
        <v>46324</v>
      </c>
      <c r="F385" t="inlineStr">
        <is>
          <t>JÖNKÖPINGS LÄN</t>
        </is>
      </c>
      <c r="G385" t="inlineStr">
        <is>
          <t>SÄVSJÖ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43873-2026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46316</v>
      </c>
      <c r="E386" s="1" t="n">
        <v>46324</v>
      </c>
      <c r="F386" t="inlineStr">
        <is>
          <t>JÖNKÖPINGS LÄN</t>
        </is>
      </c>
      <c r="G386" t="inlineStr">
        <is>
          <t>SÄVSJÖ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44935</v>
      </c>
      <c r="E387" s="1" t="n">
        <v>46324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45320</v>
      </c>
      <c r="E388" s="1" t="n">
        <v>46324</v>
      </c>
      <c r="F388" t="inlineStr">
        <is>
          <t>JÖNKÖPINGS LÄN</t>
        </is>
      </c>
      <c r="G388" t="inlineStr">
        <is>
          <t>SÄVSJÖ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37665-2026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46276</v>
      </c>
      <c r="E389" s="1" t="n">
        <v>46324</v>
      </c>
      <c r="F389" t="inlineStr">
        <is>
          <t>JÖNKÖPINGS LÄN</t>
        </is>
      </c>
      <c r="G389" t="inlineStr">
        <is>
          <t>SÄVSJÖ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19935-2023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45054</v>
      </c>
      <c r="E390" s="1" t="n">
        <v>46324</v>
      </c>
      <c r="F390" t="inlineStr">
        <is>
          <t>JÖNKÖPINGS LÄN</t>
        </is>
      </c>
      <c r="G390" t="inlineStr">
        <is>
          <t>SÄVSJÖ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45694</v>
      </c>
      <c r="E391" s="1" t="n">
        <v>46324</v>
      </c>
      <c r="F391" t="inlineStr">
        <is>
          <t>JÖNKÖPINGS LÄN</t>
        </is>
      </c>
      <c r="G391" t="inlineStr">
        <is>
          <t>SÄVSJÖ</t>
        </is>
      </c>
      <c r="I391" t="n">
        <v>9.800000000000001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44935</v>
      </c>
      <c r="E392" s="1" t="n">
        <v>46324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46318</v>
      </c>
      <c r="E393" s="1" t="n">
        <v>46324</v>
      </c>
      <c r="F393" t="inlineStr">
        <is>
          <t>JÖNKÖPINGS LÄN</t>
        </is>
      </c>
      <c r="G393" t="inlineStr">
        <is>
          <t>SÄVSJÖ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46318</v>
      </c>
      <c r="E394" s="1" t="n">
        <v>46324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44951</v>
      </c>
      <c r="E395" s="1" t="n">
        <v>46324</v>
      </c>
      <c r="F395" t="inlineStr">
        <is>
          <t>JÖNKÖPINGS LÄN</t>
        </is>
      </c>
      <c r="G395" t="inlineStr">
        <is>
          <t>SÄVSJÖ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46324</v>
      </c>
      <c r="F396" t="inlineStr">
        <is>
          <t>JÖNKÖPINGS LÄN</t>
        </is>
      </c>
      <c r="G396" t="inlineStr">
        <is>
          <t>SÄVSJÖ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45747</v>
      </c>
      <c r="E397" s="1" t="n">
        <v>46324</v>
      </c>
      <c r="F397" t="inlineStr">
        <is>
          <t>JÖNKÖPINGS LÄN</t>
        </is>
      </c>
      <c r="G397" t="inlineStr">
        <is>
          <t>SÄVSJÖ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7285-2023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44970</v>
      </c>
      <c r="E398" s="1" t="n">
        <v>46324</v>
      </c>
      <c r="F398" t="inlineStr">
        <is>
          <t>JÖNKÖPINGS LÄN</t>
        </is>
      </c>
      <c r="G398" t="inlineStr">
        <is>
          <t>SÄVSJÖ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50629-2022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44866</v>
      </c>
      <c r="E399" s="1" t="n">
        <v>46324</v>
      </c>
      <c r="F399" t="inlineStr">
        <is>
          <t>JÖNKÖPINGS LÄN</t>
        </is>
      </c>
      <c r="G399" t="inlineStr">
        <is>
          <t>SÄVSJÖ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46317</v>
      </c>
      <c r="E400" s="1" t="n">
        <v>46324</v>
      </c>
      <c r="F400" t="inlineStr">
        <is>
          <t>JÖNKÖPINGS LÄN</t>
        </is>
      </c>
      <c r="G400" t="inlineStr">
        <is>
          <t>SÄVSJÖ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46317</v>
      </c>
      <c r="E401" s="1" t="n">
        <v>46324</v>
      </c>
      <c r="F401" t="inlineStr">
        <is>
          <t>JÖNKÖPINGS LÄN</t>
        </is>
      </c>
      <c r="G401" t="inlineStr">
        <is>
          <t>SÄVSJÖ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19759-2025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45771</v>
      </c>
      <c r="E402" s="1" t="n">
        <v>46324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46324</v>
      </c>
      <c r="F403" t="inlineStr">
        <is>
          <t>JÖNKÖPINGS LÄN</t>
        </is>
      </c>
      <c r="G403" t="inlineStr">
        <is>
          <t>SÄVSJÖ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40552-2023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45170</v>
      </c>
      <c r="E404" s="1" t="n">
        <v>46324</v>
      </c>
      <c r="F404" t="inlineStr">
        <is>
          <t>JÖNKÖPINGS LÄN</t>
        </is>
      </c>
      <c r="G404" t="inlineStr">
        <is>
          <t>SÄVSJÖ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45632</v>
      </c>
      <c r="E405" s="1" t="n">
        <v>46324</v>
      </c>
      <c r="F405" t="inlineStr">
        <is>
          <t>JÖNKÖPINGS LÄN</t>
        </is>
      </c>
      <c r="G405" t="inlineStr">
        <is>
          <t>SÄVSJÖ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58362-2024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46324</v>
      </c>
      <c r="F406" t="inlineStr">
        <is>
          <t>JÖNKÖPINGS LÄN</t>
        </is>
      </c>
      <c r="G406" t="inlineStr">
        <is>
          <t>SÄVSJÖ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6558-2022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44882</v>
      </c>
      <c r="E407" s="1" t="n">
        <v>46324</v>
      </c>
      <c r="F407" t="inlineStr">
        <is>
          <t>JÖNKÖPINGS LÄN</t>
        </is>
      </c>
      <c r="G407" t="inlineStr">
        <is>
          <t>SÄVSJÖ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2542-2023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45139</v>
      </c>
      <c r="E408" s="1" t="n">
        <v>46324</v>
      </c>
      <c r="F408" t="inlineStr">
        <is>
          <t>JÖNKÖPINGS LÄN</t>
        </is>
      </c>
      <c r="G408" t="inlineStr">
        <is>
          <t>SÄVSJÖ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1675-2023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45063</v>
      </c>
      <c r="E409" s="1" t="n">
        <v>46324</v>
      </c>
      <c r="F409" t="inlineStr">
        <is>
          <t>JÖNKÖPINGS LÄN</t>
        </is>
      </c>
      <c r="G409" t="inlineStr">
        <is>
          <t>SÄVSJÖ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1674-2023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45063</v>
      </c>
      <c r="E410" s="1" t="n">
        <v>46324</v>
      </c>
      <c r="F410" t="inlineStr">
        <is>
          <t>JÖNKÖPINGS LÄN</t>
        </is>
      </c>
      <c r="G410" t="inlineStr">
        <is>
          <t>SÄVSJÖ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2964-2023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45173</v>
      </c>
      <c r="E411" s="1" t="n">
        <v>46324</v>
      </c>
      <c r="F411" t="inlineStr">
        <is>
          <t>JÖNKÖPINGS LÄN</t>
        </is>
      </c>
      <c r="G411" t="inlineStr">
        <is>
          <t>SÄVSJÖ</t>
        </is>
      </c>
      <c r="I411" t="n">
        <v>54.6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2661-2023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45152</v>
      </c>
      <c r="E412" s="1" t="n">
        <v>46324</v>
      </c>
      <c r="F412" t="inlineStr">
        <is>
          <t>JÖNKÖPINGS LÄN</t>
        </is>
      </c>
      <c r="G412" t="inlineStr">
        <is>
          <t>SÄVSJÖ</t>
        </is>
      </c>
      <c r="I412" t="n">
        <v>21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10445-2021</t>
        </is>
      </c>
      <c r="B413" t="inlineStr">
        <is>
          <t>samrådsanmälan</t>
        </is>
      </c>
      <c r="C413" t="inlineStr">
        <is>
          <t>Skogsbilväg</t>
        </is>
      </c>
      <c r="D413" s="1" t="n">
        <v>44558</v>
      </c>
      <c r="E413" s="1" t="n">
        <v>46324</v>
      </c>
      <c r="F413" t="inlineStr">
        <is>
          <t>JÖNKÖPINGS LÄN</t>
        </is>
      </c>
      <c r="G413" t="inlineStr">
        <is>
          <t>SÄVSJÖ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2660-2023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45152</v>
      </c>
      <c r="E414" s="1" t="n">
        <v>46324</v>
      </c>
      <c r="F414" t="inlineStr">
        <is>
          <t>JÖNKÖPINGS LÄN</t>
        </is>
      </c>
      <c r="G414" t="inlineStr">
        <is>
          <t>SÄVSJÖ</t>
        </is>
      </c>
      <c r="I414" t="n">
        <v>14.2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4880-2024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45620</v>
      </c>
      <c r="E415" s="1" t="n">
        <v>46324</v>
      </c>
      <c r="F415" t="inlineStr">
        <is>
          <t>JÖNKÖPINGS LÄN</t>
        </is>
      </c>
      <c r="G415" t="inlineStr">
        <is>
          <t>SÄVSJÖ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4563-2024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45600</v>
      </c>
      <c r="E416" s="1" t="n">
        <v>46324</v>
      </c>
      <c r="F416" t="inlineStr">
        <is>
          <t>JÖNKÖPINGS LÄN</t>
        </is>
      </c>
      <c r="G416" t="inlineStr">
        <is>
          <t>SÄVSJÖ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2576-2023</t>
        </is>
      </c>
      <c r="B417" t="inlineStr">
        <is>
          <t>samrådsanmälan</t>
        </is>
      </c>
      <c r="C417" t="inlineStr">
        <is>
          <t>Stubbskörd</t>
        </is>
      </c>
      <c r="D417" s="1" t="n">
        <v>45141</v>
      </c>
      <c r="E417" s="1" t="n">
        <v>46324</v>
      </c>
      <c r="F417" t="inlineStr">
        <is>
          <t>JÖNKÖPINGS LÄN</t>
        </is>
      </c>
      <c r="G417" t="inlineStr">
        <is>
          <t>SÄVSJÖ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1237-2025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45762</v>
      </c>
      <c r="E418" s="1" t="n">
        <v>46324</v>
      </c>
      <c r="F418" t="inlineStr">
        <is>
          <t>JÖNKÖPINGS LÄN</t>
        </is>
      </c>
      <c r="G418" t="inlineStr">
        <is>
          <t>SÄVSJÖ</t>
        </is>
      </c>
      <c r="I418" t="n">
        <v>28.5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1374-2025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45776</v>
      </c>
      <c r="E419" s="1" t="n">
        <v>46324</v>
      </c>
      <c r="F419" t="inlineStr">
        <is>
          <t>JÖNKÖPINGS LÄN</t>
        </is>
      </c>
      <c r="G419" t="inlineStr">
        <is>
          <t>SÄVSJÖ</t>
        </is>
      </c>
      <c r="H419" t="inlineStr">
        <is>
          <t>Sveaskog</t>
        </is>
      </c>
      <c r="I419" t="n">
        <v>63.1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1459-2025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45786</v>
      </c>
      <c r="E420" s="1" t="n">
        <v>46324</v>
      </c>
      <c r="F420" t="inlineStr">
        <is>
          <t>JÖNKÖPINGS LÄN</t>
        </is>
      </c>
      <c r="G420" t="inlineStr">
        <is>
          <t>SÄVSJÖ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1457-2025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45785</v>
      </c>
      <c r="E421" s="1" t="n">
        <v>46324</v>
      </c>
      <c r="F421" t="inlineStr">
        <is>
          <t>JÖNKÖPINGS LÄN</t>
        </is>
      </c>
      <c r="G421" t="inlineStr">
        <is>
          <t>SÄVSJÖ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1570-2025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45794</v>
      </c>
      <c r="E422" s="1" t="n">
        <v>46324</v>
      </c>
      <c r="F422" t="inlineStr">
        <is>
          <t>JÖNKÖPINGS LÄN</t>
        </is>
      </c>
      <c r="G422" t="inlineStr">
        <is>
          <t>SÄVSJÖ</t>
        </is>
      </c>
      <c r="H422" t="inlineStr">
        <is>
          <t>Kyrkan</t>
        </is>
      </c>
      <c r="I422" t="n">
        <v>57.8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1571-2025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45794</v>
      </c>
      <c r="E423" s="1" t="n">
        <v>46324</v>
      </c>
      <c r="F423" t="inlineStr">
        <is>
          <t>JÖNKÖPINGS LÄN</t>
        </is>
      </c>
      <c r="G423" t="inlineStr">
        <is>
          <t>SÄVSJÖ</t>
        </is>
      </c>
      <c r="H423" t="inlineStr">
        <is>
          <t>Kyrkan</t>
        </is>
      </c>
      <c r="I423" t="n">
        <v>153.1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573-2025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45712</v>
      </c>
      <c r="E424" s="1" t="n">
        <v>46324</v>
      </c>
      <c r="F424" t="inlineStr">
        <is>
          <t>JÖNKÖPINGS LÄN</t>
        </is>
      </c>
      <c r="G424" t="inlineStr">
        <is>
          <t>SÄVSJÖ</t>
        </is>
      </c>
      <c r="I424" t="n">
        <v>34.5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578-2025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45712</v>
      </c>
      <c r="E425" s="1" t="n">
        <v>46324</v>
      </c>
      <c r="F425" t="inlineStr">
        <is>
          <t>JÖNKÖPINGS LÄN</t>
        </is>
      </c>
      <c r="G425" t="inlineStr">
        <is>
          <t>SÄVSJÖ</t>
        </is>
      </c>
      <c r="I425" t="n">
        <v>29.5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1812-2025</t>
        </is>
      </c>
      <c r="B426" t="inlineStr">
        <is>
          <t>samrådsanmälan</t>
        </is>
      </c>
      <c r="C426" t="inlineStr">
        <is>
          <t>Annan skogsbruksåtgärd</t>
        </is>
      </c>
      <c r="D426" s="1" t="n">
        <v>45818</v>
      </c>
      <c r="E426" s="1" t="n">
        <v>46324</v>
      </c>
      <c r="F426" t="inlineStr">
        <is>
          <t>JÖNKÖPINGS LÄN</t>
        </is>
      </c>
      <c r="G426" t="inlineStr">
        <is>
          <t>SÄVSJÖ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2071-2025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45840</v>
      </c>
      <c r="E427" s="1" t="n">
        <v>46324</v>
      </c>
      <c r="F427" t="inlineStr">
        <is>
          <t>JÖNKÖPINGS LÄN</t>
        </is>
      </c>
      <c r="G427" t="inlineStr">
        <is>
          <t>SÄVSJÖ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3270-2025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45985</v>
      </c>
      <c r="E428" s="1" t="n">
        <v>46324</v>
      </c>
      <c r="F428" t="inlineStr">
        <is>
          <t>JÖNKÖPINGS LÄN</t>
        </is>
      </c>
      <c r="G428" t="inlineStr">
        <is>
          <t>SÄVSJÖ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3271-2025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45985</v>
      </c>
      <c r="E429" s="1" t="n">
        <v>46324</v>
      </c>
      <c r="F429" t="inlineStr">
        <is>
          <t>JÖNKÖPINGS LÄN</t>
        </is>
      </c>
      <c r="G429" t="inlineStr">
        <is>
          <t>SÄVSJÖ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3268-2025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45985</v>
      </c>
      <c r="E430" s="1" t="n">
        <v>46324</v>
      </c>
      <c r="F430" t="inlineStr">
        <is>
          <t>JÖNKÖPINGS LÄN</t>
        </is>
      </c>
      <c r="G430" t="inlineStr">
        <is>
          <t>SÄVSJÖ</t>
        </is>
      </c>
      <c r="I430" t="n">
        <v>17.7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460-2026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46073</v>
      </c>
      <c r="E431" s="1" t="n">
        <v>46324</v>
      </c>
      <c r="F431" t="inlineStr">
        <is>
          <t>JÖNKÖPINGS LÄN</t>
        </is>
      </c>
      <c r="G431" t="inlineStr">
        <is>
          <t>SÄVSJÖ</t>
        </is>
      </c>
      <c r="I431" t="n">
        <v>36.7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687-2026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46091</v>
      </c>
      <c r="E432" s="1" t="n">
        <v>46324</v>
      </c>
      <c r="F432" t="inlineStr">
        <is>
          <t>JÖNKÖPINGS LÄN</t>
        </is>
      </c>
      <c r="G432" t="inlineStr">
        <is>
          <t>SÄVSJÖ</t>
        </is>
      </c>
      <c r="I432" t="n">
        <v>46.2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690-2026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46091</v>
      </c>
      <c r="E433" s="1" t="n">
        <v>46324</v>
      </c>
      <c r="F433" t="inlineStr">
        <is>
          <t>JÖNKÖPINGS LÄN</t>
        </is>
      </c>
      <c r="G433" t="inlineStr">
        <is>
          <t>SÄVSJÖ</t>
        </is>
      </c>
      <c r="I433" t="n">
        <v>47.4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873-2026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46106</v>
      </c>
      <c r="E434" s="1" t="n">
        <v>46324</v>
      </c>
      <c r="F434" t="inlineStr">
        <is>
          <t>JÖNKÖPINGS LÄN</t>
        </is>
      </c>
      <c r="G434" t="inlineStr">
        <is>
          <t>SÄVSJÖ</t>
        </is>
      </c>
      <c r="I434" t="n">
        <v>79.8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992-2026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46119</v>
      </c>
      <c r="E435" s="1" t="n">
        <v>46324</v>
      </c>
      <c r="F435" t="inlineStr">
        <is>
          <t>JÖNKÖPINGS LÄN</t>
        </is>
      </c>
      <c r="G435" t="inlineStr">
        <is>
          <t>SÄVSJÖ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>
      <c r="A436" t="inlineStr">
        <is>
          <t>S 1048-2026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46125</v>
      </c>
      <c r="E436" s="1" t="n">
        <v>46324</v>
      </c>
      <c r="F436" t="inlineStr">
        <is>
          <t>JÖNKÖPINGS LÄN</t>
        </is>
      </c>
      <c r="G436" t="inlineStr">
        <is>
          <t>SÄVSJÖ</t>
        </is>
      </c>
      <c r="I436" t="n">
        <v>35.8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2026-10-29T03:11:35Z</dcterms:created>
  <dcterms:modified xmlns:dcterms="http://purl.org/dc/terms/" xmlns:xsi="http://www.w3.org/2001/XMLSchema-instance" xsi:type="dcterms:W3CDTF">2026-10-29T03:11:36Z</dcterms:modified>
</cp:coreProperties>
</file>