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2633-2023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44942</v>
      </c>
      <c r="E2" s="1" t="n">
        <v>46319</v>
      </c>
      <c r="F2" t="inlineStr">
        <is>
          <t>JÖNKÖPINGS LÄN</t>
        </is>
      </c>
      <c r="G2" t="inlineStr">
        <is>
          <t>SÄVSJÖ</t>
        </is>
      </c>
      <c r="I2" t="n">
        <v>2.7</v>
      </c>
      <c r="J2" t="n">
        <v>1</v>
      </c>
      <c r="K2" t="n">
        <v>1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6</v>
      </c>
      <c r="R2" t="n">
        <v>2</v>
      </c>
      <c r="S2" t="n">
        <v>8</v>
      </c>
      <c r="T2" t="n">
        <v>8</v>
      </c>
      <c r="U2" t="n">
        <v>5</v>
      </c>
      <c r="V2" s="2" t="inlineStr">
        <is>
          <t>Bredbrämad bastardsvärmare
Violettkantad guldvinge
Grönsångare
Piltecknad fältmätare
Väddgökbi
Ängsmetallvinge
Kornig nållav
Vitsippa</t>
        </is>
      </c>
      <c r="W2">
        <f>HYPERLINK("https://klasma.github.io/Logging_0684/artfynd/A 2633-2023 artfynd.xlsx", "A 2633-2023")</f>
        <v/>
      </c>
      <c r="X2">
        <f>HYPERLINK("https://klasma.github.io/Logging_0684/kartor/A 2633-2023 karta.png", "A 2633-2023")</f>
        <v/>
      </c>
      <c r="Y2">
        <f>HYPERLINK("https://klasma.github.io/Logging_0684/kartor_geotiff/A 2633-2023 georefererad karta.tif", "A 2633-2023")</f>
        <v/>
      </c>
      <c r="AA2">
        <f>HYPERLINK("https://klasma.github.io/Logging_0684/klagomål/A 2633-2023 FSC-klagomål.docx", "A 2633-2023")</f>
        <v/>
      </c>
      <c r="AB2">
        <f>HYPERLINK("https://klasma.github.io/Logging_0684/klagomålsmail/A 2633-2023 FSC-klagomål mail.docx", "A 2633-2023")</f>
        <v/>
      </c>
      <c r="AC2">
        <f>HYPERLINK("https://klasma.github.io/Logging_0684/tillsyn/A 2633-2023 tillsynsbegäran.docx", "A 2633-2023")</f>
        <v/>
      </c>
      <c r="AD2">
        <f>HYPERLINK("https://klasma.github.io/Logging_0684/tillsynsmail/A 2633-2023 tillsynsbegäran mail.docx", "A 2633-2023")</f>
        <v/>
      </c>
      <c r="AE2">
        <f>HYPERLINK("https://klasma.github.io/Logging_0684/fåglar/A 2633-2023 prioriterade fågelarter.docx", "A 2633-2023")</f>
        <v/>
      </c>
    </row>
    <row r="3" ht="15" customHeight="1">
      <c r="A3" t="inlineStr">
        <is>
          <t>A 38803-2026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46286</v>
      </c>
      <c r="E3" s="1" t="n">
        <v>46319</v>
      </c>
      <c r="F3" t="inlineStr">
        <is>
          <t>JÖNKÖPINGS LÄN</t>
        </is>
      </c>
      <c r="G3" t="inlineStr">
        <is>
          <t>SÄVSJÖ</t>
        </is>
      </c>
      <c r="I3" t="n">
        <v>5.4</v>
      </c>
      <c r="J3" t="n">
        <v>5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</v>
      </c>
      <c r="T3" t="n">
        <v>5</v>
      </c>
      <c r="U3" t="n">
        <v>0</v>
      </c>
      <c r="V3" s="2" t="inlineStr">
        <is>
          <t>Bivråk
Duvhök
Göktyta
Buskskvätta
Röd glada</t>
        </is>
      </c>
      <c r="W3">
        <f>HYPERLINK("https://klasma.github.io/Logging_0684/artfynd/A 38803-2026 artfynd.xlsx", "A 38803-2026")</f>
        <v/>
      </c>
      <c r="X3">
        <f>HYPERLINK("https://klasma.github.io/Logging_0684/kartor/A 38803-2026 karta.png", "A 38803-2026")</f>
        <v/>
      </c>
      <c r="Y3">
        <f>HYPERLINK("https://klasma.github.io/Logging_0684/kartor_geotiff/A 38803-2026 georefererad karta.tif", "A 38803-2026")</f>
        <v/>
      </c>
      <c r="AA3">
        <f>HYPERLINK("https://klasma.github.io/Logging_0684/klagomål/A 38803-2026 FSC-klagomål.docx", "A 38803-2026")</f>
        <v/>
      </c>
      <c r="AB3">
        <f>HYPERLINK("https://klasma.github.io/Logging_0684/klagomålsmail/A 38803-2026 FSC-klagomål mail.docx", "A 38803-2026")</f>
        <v/>
      </c>
      <c r="AC3">
        <f>HYPERLINK("https://klasma.github.io/Logging_0684/tillsyn/A 38803-2026 tillsynsbegäran.docx", "A 38803-2026")</f>
        <v/>
      </c>
      <c r="AD3">
        <f>HYPERLINK("https://klasma.github.io/Logging_0684/tillsynsmail/A 38803-2026 tillsynsbegäran mail.docx", "A 38803-2026")</f>
        <v/>
      </c>
      <c r="AE3">
        <f>HYPERLINK("https://klasma.github.io/Logging_0684/fåglar/A 38803-2026 prioriterade fågelarter.docx", "A 38803-2026")</f>
        <v/>
      </c>
    </row>
    <row r="4" ht="15" customHeight="1">
      <c r="A4" t="inlineStr">
        <is>
          <t>A 42824-2026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46309</v>
      </c>
      <c r="E4" s="1" t="n">
        <v>46319</v>
      </c>
      <c r="F4" t="inlineStr">
        <is>
          <t>JÖNKÖPINGS LÄN</t>
        </is>
      </c>
      <c r="G4" t="inlineStr">
        <is>
          <t>SÄVSJÖ</t>
        </is>
      </c>
      <c r="I4" t="n">
        <v>1.9</v>
      </c>
      <c r="J4" t="n">
        <v>2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4</v>
      </c>
      <c r="T4" t="n">
        <v>4</v>
      </c>
      <c r="U4" t="n">
        <v>0</v>
      </c>
      <c r="V4" s="2" t="inlineStr">
        <is>
          <t>Brunfläckig pärlemorfjäril
Sotnätfjäril
Nattviol
Lopplummer (aggregat)</t>
        </is>
      </c>
      <c r="W4">
        <f>HYPERLINK("https://klasma.github.io/Logging_0684/artfynd/A 42824-2026 artfynd.xlsx", "A 42824-2026")</f>
        <v/>
      </c>
      <c r="X4">
        <f>HYPERLINK("https://klasma.github.io/Logging_0684/kartor/A 42824-2026 karta.png", "A 42824-2026")</f>
        <v/>
      </c>
      <c r="Y4">
        <f>HYPERLINK("https://klasma.github.io/Logging_0684/kartor_geotiff/A 42824-2026 georefererad karta.tif", "A 42824-2026")</f>
        <v/>
      </c>
      <c r="AA4">
        <f>HYPERLINK("https://klasma.github.io/Logging_0684/klagomål/A 42824-2026 FSC-klagomål.docx", "A 42824-2026")</f>
        <v/>
      </c>
      <c r="AB4">
        <f>HYPERLINK("https://klasma.github.io/Logging_0684/klagomålsmail/A 42824-2026 FSC-klagomål mail.docx", "A 42824-2026")</f>
        <v/>
      </c>
      <c r="AC4">
        <f>HYPERLINK("https://klasma.github.io/Logging_0684/tillsyn/A 42824-2026 tillsynsbegäran.docx", "A 42824-2026")</f>
        <v/>
      </c>
      <c r="AD4">
        <f>HYPERLINK("https://klasma.github.io/Logging_0684/tillsynsmail/A 42824-2026 tillsynsbegäran mail.docx", "A 42824-2026")</f>
        <v/>
      </c>
    </row>
    <row r="5" ht="15" customHeight="1">
      <c r="A5" t="inlineStr">
        <is>
          <t>S 1469-2020</t>
        </is>
      </c>
      <c r="B5" t="inlineStr">
        <is>
          <t>samrådsanmälan</t>
        </is>
      </c>
      <c r="C5" t="inlineStr">
        <is>
          <t>Åtgärd i nyckelbiotop</t>
        </is>
      </c>
      <c r="D5" s="1" t="n">
        <v>44008</v>
      </c>
      <c r="E5" s="1" t="n">
        <v>46319</v>
      </c>
      <c r="F5" t="inlineStr">
        <is>
          <t>JÖNKÖPINGS LÄN</t>
        </is>
      </c>
      <c r="G5" t="inlineStr">
        <is>
          <t>SÄVSJÖ</t>
        </is>
      </c>
      <c r="I5" t="n">
        <v>5.8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</v>
      </c>
      <c r="T5" t="n">
        <v>6</v>
      </c>
      <c r="U5" t="n">
        <v>0</v>
      </c>
      <c r="V5" s="2" t="inlineStr">
        <is>
          <t>Rödbrun blekspik
Barkkornlav
Gulnål
Västlig hakmossa</t>
        </is>
      </c>
      <c r="W5">
        <f>HYPERLINK("https://klasma.github.io/Logging_0684/artfynd/S 1469-2020 artfynd.xlsx", "S 1469-2020")</f>
        <v/>
      </c>
      <c r="X5">
        <f>HYPERLINK("https://klasma.github.io/Logging_0684/kartor/S 1469-2020 karta.png", "S 1469-2020")</f>
        <v/>
      </c>
      <c r="Y5">
        <f>HYPERLINK("https://klasma.github.io/Logging_0684/kartor_geotiff/S 1469-2020 georefererad karta.tif", "S 1469-2020")</f>
        <v/>
      </c>
      <c r="AA5">
        <f>HYPERLINK("https://klasma.github.io/Logging_0684/klagomål/S 1469-2020 FSC-klagomål.docx", "S 1469-2020")</f>
        <v/>
      </c>
      <c r="AB5">
        <f>HYPERLINK("https://klasma.github.io/Logging_0684/klagomålsmail/S 1469-2020 FSC-klagomål mail.docx", "S 1469-2020")</f>
        <v/>
      </c>
      <c r="AC5">
        <f>HYPERLINK("https://klasma.github.io/Logging_0684/tillsyn/S 1469-2020 tillsynsbegäran.docx", "S 1469-2020")</f>
        <v/>
      </c>
      <c r="AD5">
        <f>HYPERLINK("https://klasma.github.io/Logging_0684/tillsynsmail/S 1469-2020 tillsynsbegäran mail.docx", "S 1469-2020")</f>
        <v/>
      </c>
    </row>
    <row r="6" ht="15" customHeight="1">
      <c r="A6" t="inlineStr">
        <is>
          <t>A 46272-2022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44847</v>
      </c>
      <c r="E6" s="1" t="n">
        <v>46319</v>
      </c>
      <c r="F6" t="inlineStr">
        <is>
          <t>JÖNKÖPINGS LÄN</t>
        </is>
      </c>
      <c r="G6" t="inlineStr">
        <is>
          <t>SÄVSJÖ</t>
        </is>
      </c>
      <c r="I6" t="n">
        <v>6</v>
      </c>
      <c r="J6" t="n">
        <v>2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3</v>
      </c>
      <c r="R6" t="n">
        <v>2</v>
      </c>
      <c r="S6" t="n">
        <v>3</v>
      </c>
      <c r="T6" t="n">
        <v>4</v>
      </c>
      <c r="U6" t="n">
        <v>0</v>
      </c>
      <c r="V6" s="2" t="inlineStr">
        <is>
          <t>Mosippa
Slåttergubbe
Ladusvala</t>
        </is>
      </c>
      <c r="W6">
        <f>HYPERLINK("https://klasma.github.io/Logging_0684/artfynd/A 46272-2022 artfynd.xlsx", "A 46272-2022")</f>
        <v/>
      </c>
      <c r="X6">
        <f>HYPERLINK("https://klasma.github.io/Logging_0684/kartor/A 46272-2022 karta.png", "A 46272-2022")</f>
        <v/>
      </c>
      <c r="Y6">
        <f>HYPERLINK("https://klasma.github.io/Logging_0684/kartor_geotiff/A 46272-2022 georefererad karta.tif", "A 46272-2022")</f>
        <v/>
      </c>
      <c r="AA6">
        <f>HYPERLINK("https://klasma.github.io/Logging_0684/klagomål/A 46272-2022 FSC-klagomål.docx", "A 46272-2022")</f>
        <v/>
      </c>
      <c r="AB6">
        <f>HYPERLINK("https://klasma.github.io/Logging_0684/klagomålsmail/A 46272-2022 FSC-klagomål mail.docx", "A 46272-2022")</f>
        <v/>
      </c>
      <c r="AC6">
        <f>HYPERLINK("https://klasma.github.io/Logging_0684/tillsyn/A 46272-2022 tillsynsbegäran.docx", "A 46272-2022")</f>
        <v/>
      </c>
      <c r="AD6">
        <f>HYPERLINK("https://klasma.github.io/Logging_0684/tillsynsmail/A 46272-2022 tillsynsbegäran mail.docx", "A 46272-2022")</f>
        <v/>
      </c>
    </row>
    <row r="7" ht="15" customHeight="1">
      <c r="A7" t="inlineStr">
        <is>
          <t>A 61151-2025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45999</v>
      </c>
      <c r="E7" s="1" t="n">
        <v>46319</v>
      </c>
      <c r="F7" t="inlineStr">
        <is>
          <t>JÖNKÖPINGS LÄN</t>
        </is>
      </c>
      <c r="G7" t="inlineStr">
        <is>
          <t>SÄVSJÖ</t>
        </is>
      </c>
      <c r="I7" t="n">
        <v>26.2</v>
      </c>
      <c r="J7" t="n">
        <v>2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3</v>
      </c>
      <c r="T7" t="n">
        <v>3</v>
      </c>
      <c r="U7" t="n">
        <v>0</v>
      </c>
      <c r="V7" s="2" t="inlineStr">
        <is>
          <t>Slåttergubbe
Korallrot
Lopplummer (aggregat)</t>
        </is>
      </c>
      <c r="W7">
        <f>HYPERLINK("https://klasma.github.io/Logging_0684/artfynd/A 61151-2025 artfynd.xlsx", "A 61151-2025")</f>
        <v/>
      </c>
      <c r="X7">
        <f>HYPERLINK("https://klasma.github.io/Logging_0684/kartor/A 61151-2025 karta.png", "A 61151-2025")</f>
        <v/>
      </c>
      <c r="Y7">
        <f>HYPERLINK("https://klasma.github.io/Logging_0684/kartor_geotiff/A 61151-2025 georefererad karta.tif", "A 61151-2025")</f>
        <v/>
      </c>
      <c r="AA7">
        <f>HYPERLINK("https://klasma.github.io/Logging_0684/klagomål/A 61151-2025 FSC-klagomål.docx", "A 61151-2025")</f>
        <v/>
      </c>
      <c r="AB7">
        <f>HYPERLINK("https://klasma.github.io/Logging_0684/klagomålsmail/A 61151-2025 FSC-klagomål mail.docx", "A 61151-2025")</f>
        <v/>
      </c>
      <c r="AC7">
        <f>HYPERLINK("https://klasma.github.io/Logging_0684/tillsyn/A 61151-2025 tillsynsbegäran.docx", "A 61151-2025")</f>
        <v/>
      </c>
      <c r="AD7">
        <f>HYPERLINK("https://klasma.github.io/Logging_0684/tillsynsmail/A 61151-2025 tillsynsbegäran mail.docx", "A 61151-2025")</f>
        <v/>
      </c>
    </row>
    <row r="8" ht="15" customHeight="1">
      <c r="A8" t="inlineStr">
        <is>
          <t>A 50816-2023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45217</v>
      </c>
      <c r="E8" s="1" t="n">
        <v>46319</v>
      </c>
      <c r="F8" t="inlineStr">
        <is>
          <t>JÖNKÖPINGS LÄN</t>
        </is>
      </c>
      <c r="G8" t="inlineStr">
        <is>
          <t>SÄVSJÖ</t>
        </is>
      </c>
      <c r="I8" t="n">
        <v>4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Praktvaxing
Sommarfibbla
Hagfingersvamp</t>
        </is>
      </c>
      <c r="W8">
        <f>HYPERLINK("https://klasma.github.io/Logging_0684/artfynd/A 50816-2023 artfynd.xlsx", "A 50816-2023")</f>
        <v/>
      </c>
      <c r="X8">
        <f>HYPERLINK("https://klasma.github.io/Logging_0684/kartor/A 50816-2023 karta.png", "A 50816-2023")</f>
        <v/>
      </c>
      <c r="Y8">
        <f>HYPERLINK("https://klasma.github.io/Logging_0684/kartor_geotiff/A 50816-2023 georefererad karta.tif", "A 50816-2023")</f>
        <v/>
      </c>
      <c r="AA8">
        <f>HYPERLINK("https://klasma.github.io/Logging_0684/klagomål/A 50816-2023 FSC-klagomål.docx", "A 50816-2023")</f>
        <v/>
      </c>
      <c r="AB8">
        <f>HYPERLINK("https://klasma.github.io/Logging_0684/klagomålsmail/A 50816-2023 FSC-klagomål mail.docx", "A 50816-2023")</f>
        <v/>
      </c>
      <c r="AC8">
        <f>HYPERLINK("https://klasma.github.io/Logging_0684/tillsyn/A 50816-2023 tillsynsbegäran.docx", "A 50816-2023")</f>
        <v/>
      </c>
      <c r="AD8">
        <f>HYPERLINK("https://klasma.github.io/Logging_0684/tillsynsmail/A 50816-2023 tillsynsbegäran mail.docx", "A 50816-2023")</f>
        <v/>
      </c>
    </row>
    <row r="9" ht="15" customHeight="1">
      <c r="A9" t="inlineStr">
        <is>
          <t>S 2624-2026</t>
        </is>
      </c>
      <c r="B9" t="inlineStr">
        <is>
          <t>samrådsanmälan</t>
        </is>
      </c>
      <c r="C9" t="inlineStr">
        <is>
          <t>Askåterföring</t>
        </is>
      </c>
      <c r="D9" s="1" t="n">
        <v>46302</v>
      </c>
      <c r="E9" s="1" t="n">
        <v>46319</v>
      </c>
      <c r="F9" t="inlineStr">
        <is>
          <t>JÖNKÖPINGS LÄN</t>
        </is>
      </c>
      <c r="G9" t="inlineStr">
        <is>
          <t>SÄVSJÖ</t>
        </is>
      </c>
      <c r="I9" t="n">
        <v>29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3</v>
      </c>
      <c r="U9" t="n">
        <v>0</v>
      </c>
      <c r="V9" s="2" t="inlineStr">
        <is>
          <t>Vårstarr
Korallrot
Gullviva</t>
        </is>
      </c>
      <c r="W9">
        <f>HYPERLINK("https://klasma.github.io/Logging_0684/artfynd/S 2624-2026 artfynd.xlsx", "S 2624-2026")</f>
        <v/>
      </c>
      <c r="X9">
        <f>HYPERLINK("https://klasma.github.io/Logging_0684/kartor/S 2624-2026 karta.png", "S 2624-2026")</f>
        <v/>
      </c>
      <c r="Y9">
        <f>HYPERLINK("https://klasma.github.io/Logging_0684/kartor_geotiff/S 2624-2026 georefererad karta.tif", "S 2624-2026")</f>
        <v/>
      </c>
      <c r="AA9">
        <f>HYPERLINK("https://klasma.github.io/Logging_0684/klagomål/S 2624-2026 FSC-klagomål.docx", "S 2624-2026")</f>
        <v/>
      </c>
      <c r="AB9">
        <f>HYPERLINK("https://klasma.github.io/Logging_0684/klagomålsmail/S 2624-2026 FSC-klagomål mail.docx", "S 2624-2026")</f>
        <v/>
      </c>
      <c r="AC9">
        <f>HYPERLINK("https://klasma.github.io/Logging_0684/tillsyn/S 2624-2026 tillsynsbegäran.docx", "S 2624-2026")</f>
        <v/>
      </c>
      <c r="AD9">
        <f>HYPERLINK("https://klasma.github.io/Logging_0684/tillsynsmail/S 2624-2026 tillsynsbegäran mail.docx", "S 2624-2026")</f>
        <v/>
      </c>
    </row>
    <row r="10" ht="15" customHeight="1">
      <c r="A10" t="inlineStr">
        <is>
          <t>A 13575-2026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46095</v>
      </c>
      <c r="E10" s="1" t="n">
        <v>46319</v>
      </c>
      <c r="F10" t="inlineStr">
        <is>
          <t>JÖNKÖPINGS LÄN</t>
        </is>
      </c>
      <c r="G10" t="inlineStr">
        <is>
          <t>SÄVSJÖ</t>
        </is>
      </c>
      <c r="I10" t="n">
        <v>1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Gulpudrad spiklav
Sotlav</t>
        </is>
      </c>
      <c r="W10">
        <f>HYPERLINK("https://klasma.github.io/Logging_0684/artfynd/A 13575-2026 artfynd.xlsx", "A 13575-2026")</f>
        <v/>
      </c>
      <c r="X10">
        <f>HYPERLINK("https://klasma.github.io/Logging_0684/kartor/A 13575-2026 karta.png", "A 13575-2026")</f>
        <v/>
      </c>
      <c r="Y10">
        <f>HYPERLINK("https://klasma.github.io/Logging_0684/kartor_geotiff/A 13575-2026 georefererad karta.tif", "A 13575-2026")</f>
        <v/>
      </c>
      <c r="AA10">
        <f>HYPERLINK("https://klasma.github.io/Logging_0684/klagomål/A 13575-2026 FSC-klagomål.docx", "A 13575-2026")</f>
        <v/>
      </c>
      <c r="AB10">
        <f>HYPERLINK("https://klasma.github.io/Logging_0684/klagomålsmail/A 13575-2026 FSC-klagomål mail.docx", "A 13575-2026")</f>
        <v/>
      </c>
      <c r="AC10">
        <f>HYPERLINK("https://klasma.github.io/Logging_0684/tillsyn/A 13575-2026 tillsynsbegäran.docx", "A 13575-2026")</f>
        <v/>
      </c>
      <c r="AD10">
        <f>HYPERLINK("https://klasma.github.io/Logging_0684/tillsynsmail/A 13575-2026 tillsynsbegäran mail.docx", "A 13575-2026")</f>
        <v/>
      </c>
    </row>
    <row r="11" ht="15" customHeight="1">
      <c r="A11" t="inlineStr">
        <is>
          <t>A 17722-2023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45037</v>
      </c>
      <c r="E11" s="1" t="n">
        <v>46319</v>
      </c>
      <c r="F11" t="inlineStr">
        <is>
          <t>JÖNKÖPINGS LÄN</t>
        </is>
      </c>
      <c r="G11" t="inlineStr">
        <is>
          <t>SÄVSJÖ</t>
        </is>
      </c>
      <c r="I11" t="n">
        <v>11.8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2</v>
      </c>
      <c r="T11" t="n">
        <v>2</v>
      </c>
      <c r="U11" t="n">
        <v>0</v>
      </c>
      <c r="V11" s="2" t="inlineStr">
        <is>
          <t>Staketflamlav
Sotlav</t>
        </is>
      </c>
      <c r="W11">
        <f>HYPERLINK("https://klasma.github.io/Logging_0684/artfynd/A 17722-2023 artfynd.xlsx", "A 17722-2023")</f>
        <v/>
      </c>
      <c r="X11">
        <f>HYPERLINK("https://klasma.github.io/Logging_0684/kartor/A 17722-2023 karta.png", "A 17722-2023")</f>
        <v/>
      </c>
      <c r="Y11">
        <f>HYPERLINK("https://klasma.github.io/Logging_0684/kartor_geotiff/A 17722-2023 georefererad karta.tif", "A 17722-2023")</f>
        <v/>
      </c>
      <c r="AA11">
        <f>HYPERLINK("https://klasma.github.io/Logging_0684/klagomål/A 17722-2023 FSC-klagomål.docx", "A 17722-2023")</f>
        <v/>
      </c>
      <c r="AB11">
        <f>HYPERLINK("https://klasma.github.io/Logging_0684/klagomålsmail/A 17722-2023 FSC-klagomål mail.docx", "A 17722-2023")</f>
        <v/>
      </c>
      <c r="AC11">
        <f>HYPERLINK("https://klasma.github.io/Logging_0684/tillsyn/A 17722-2023 tillsynsbegäran.docx", "A 17722-2023")</f>
        <v/>
      </c>
      <c r="AD11">
        <f>HYPERLINK("https://klasma.github.io/Logging_0684/tillsynsmail/A 17722-2023 tillsynsbegäran mail.docx", "A 17722-2023")</f>
        <v/>
      </c>
    </row>
    <row r="12" ht="15" customHeight="1">
      <c r="A12" t="inlineStr">
        <is>
          <t>A 39632-2025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45890</v>
      </c>
      <c r="E12" s="1" t="n">
        <v>46319</v>
      </c>
      <c r="F12" t="inlineStr">
        <is>
          <t>JÖNKÖPINGS LÄN</t>
        </is>
      </c>
      <c r="G12" t="inlineStr">
        <is>
          <t>SÄVSJÖ</t>
        </is>
      </c>
      <c r="I12" t="n">
        <v>0.7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s="2" t="inlineStr">
        <is>
          <t>Bredgentiana</t>
        </is>
      </c>
      <c r="W12">
        <f>HYPERLINK("https://klasma.github.io/Logging_0684/artfynd/A 39632-2025 artfynd.xlsx", "A 39632-2025")</f>
        <v/>
      </c>
      <c r="X12">
        <f>HYPERLINK("https://klasma.github.io/Logging_0684/kartor/A 39632-2025 karta.png", "A 39632-2025")</f>
        <v/>
      </c>
      <c r="Y12">
        <f>HYPERLINK("https://klasma.github.io/Logging_0684/kartor_geotiff/A 39632-2025 georefererad karta.tif", "A 39632-2025")</f>
        <v/>
      </c>
      <c r="AA12">
        <f>HYPERLINK("https://klasma.github.io/Logging_0684/klagomål/A 39632-2025 FSC-klagomål.docx", "A 39632-2025")</f>
        <v/>
      </c>
      <c r="AB12">
        <f>HYPERLINK("https://klasma.github.io/Logging_0684/klagomålsmail/A 39632-2025 FSC-klagomål mail.docx", "A 39632-2025")</f>
        <v/>
      </c>
      <c r="AC12">
        <f>HYPERLINK("https://klasma.github.io/Logging_0684/tillsyn/A 39632-2025 tillsynsbegäran.docx", "A 39632-2025")</f>
        <v/>
      </c>
      <c r="AD12">
        <f>HYPERLINK("https://klasma.github.io/Logging_0684/tillsynsmail/A 39632-2025 tillsynsbegäran mail.docx", "A 39632-2025")</f>
        <v/>
      </c>
    </row>
    <row r="13" ht="15" customHeight="1">
      <c r="A13" t="inlineStr">
        <is>
          <t>A 35136-2024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45530</v>
      </c>
      <c r="E13" s="1" t="n">
        <v>46319</v>
      </c>
      <c r="F13" t="inlineStr">
        <is>
          <t>JÖNKÖPINGS LÄN</t>
        </is>
      </c>
      <c r="G13" t="inlineStr">
        <is>
          <t>SÄVSJÖ</t>
        </is>
      </c>
      <c r="I13" t="n">
        <v>2.1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s="2" t="inlineStr">
        <is>
          <t>Ask</t>
        </is>
      </c>
      <c r="W13">
        <f>HYPERLINK("https://klasma.github.io/Logging_0684/artfynd/A 35136-2024 artfynd.xlsx", "A 35136-2024")</f>
        <v/>
      </c>
      <c r="X13">
        <f>HYPERLINK("https://klasma.github.io/Logging_0684/kartor/A 35136-2024 karta.png", "A 35136-2024")</f>
        <v/>
      </c>
      <c r="Y13">
        <f>HYPERLINK("https://klasma.github.io/Logging_0684/kartor_geotiff/A 35136-2024 georefererad karta.tif", "A 35136-2024")</f>
        <v/>
      </c>
      <c r="AA13">
        <f>HYPERLINK("https://klasma.github.io/Logging_0684/klagomål/A 35136-2024 FSC-klagomål.docx", "A 35136-2024")</f>
        <v/>
      </c>
      <c r="AB13">
        <f>HYPERLINK("https://klasma.github.io/Logging_0684/klagomålsmail/A 35136-2024 FSC-klagomål mail.docx", "A 35136-2024")</f>
        <v/>
      </c>
      <c r="AC13">
        <f>HYPERLINK("https://klasma.github.io/Logging_0684/tillsyn/A 35136-2024 tillsynsbegäran.docx", "A 35136-2024")</f>
        <v/>
      </c>
      <c r="AD13">
        <f>HYPERLINK("https://klasma.github.io/Logging_0684/tillsynsmail/A 35136-2024 tillsynsbegäran mail.docx", "A 35136-2024")</f>
        <v/>
      </c>
    </row>
    <row r="14" ht="15" customHeight="1">
      <c r="A14" t="inlineStr">
        <is>
          <t>A 61482-2024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45646</v>
      </c>
      <c r="E14" s="1" t="n">
        <v>46319</v>
      </c>
      <c r="F14" t="inlineStr">
        <is>
          <t>JÖNKÖPINGS LÄN</t>
        </is>
      </c>
      <c r="G14" t="inlineStr">
        <is>
          <t>SÄVSJÖ</t>
        </is>
      </c>
      <c r="I14" t="n">
        <v>6.1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s="2" t="inlineStr">
        <is>
          <t>Ask</t>
        </is>
      </c>
      <c r="W14">
        <f>HYPERLINK("https://klasma.github.io/Logging_0684/artfynd/A 61482-2024 artfynd.xlsx", "A 61482-2024")</f>
        <v/>
      </c>
      <c r="X14">
        <f>HYPERLINK("https://klasma.github.io/Logging_0684/kartor/A 61482-2024 karta.png", "A 61482-2024")</f>
        <v/>
      </c>
      <c r="Y14">
        <f>HYPERLINK("https://klasma.github.io/Logging_0684/kartor_geotiff/A 61482-2024 georefererad karta.tif", "A 61482-2024")</f>
        <v/>
      </c>
      <c r="AA14">
        <f>HYPERLINK("https://klasma.github.io/Logging_0684/klagomål/A 61482-2024 FSC-klagomål.docx", "A 61482-2024")</f>
        <v/>
      </c>
      <c r="AB14">
        <f>HYPERLINK("https://klasma.github.io/Logging_0684/klagomålsmail/A 61482-2024 FSC-klagomål mail.docx", "A 61482-2024")</f>
        <v/>
      </c>
      <c r="AC14">
        <f>HYPERLINK("https://klasma.github.io/Logging_0684/tillsyn/A 61482-2024 tillsynsbegäran.docx", "A 61482-2024")</f>
        <v/>
      </c>
      <c r="AD14">
        <f>HYPERLINK("https://klasma.github.io/Logging_0684/tillsynsmail/A 61482-2024 tillsynsbegäran mail.docx", "A 61482-2024")</f>
        <v/>
      </c>
    </row>
    <row r="15" ht="15" customHeight="1">
      <c r="A15" t="inlineStr">
        <is>
          <t>A 57846-2025</t>
        </is>
      </c>
      <c r="B15" t="inlineStr">
        <is>
          <t>avverkningsanmälan</t>
        </is>
      </c>
      <c r="C15" t="inlineStr">
        <is>
          <t>Avverkning för att bevara och utveckla /försöksver</t>
        </is>
      </c>
      <c r="D15" s="1" t="n">
        <v>45981</v>
      </c>
      <c r="E15" s="1" t="n">
        <v>46319</v>
      </c>
      <c r="F15" t="inlineStr">
        <is>
          <t>JÖNKÖPINGS LÄN</t>
        </is>
      </c>
      <c r="G15" t="inlineStr">
        <is>
          <t>SÄVSJÖ</t>
        </is>
      </c>
      <c r="I15" t="n">
        <v>2.1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4</v>
      </c>
      <c r="U15" t="n">
        <v>0</v>
      </c>
      <c r="V15" s="2" t="inlineStr">
        <is>
          <t>Ask</t>
        </is>
      </c>
      <c r="W15">
        <f>HYPERLINK("https://klasma.github.io/Logging_0684/artfynd/A 57846-2025 artfynd.xlsx", "A 57846-2025")</f>
        <v/>
      </c>
      <c r="X15">
        <f>HYPERLINK("https://klasma.github.io/Logging_0684/kartor/A 57846-2025 karta.png", "A 57846-2025")</f>
        <v/>
      </c>
      <c r="Y15">
        <f>HYPERLINK("https://klasma.github.io/Logging_0684/kartor_geotiff/A 57846-2025 georefererad karta.tif", "A 57846-2025")</f>
        <v/>
      </c>
      <c r="AA15">
        <f>HYPERLINK("https://klasma.github.io/Logging_0684/klagomål/A 57846-2025 FSC-klagomål.docx", "A 57846-2025")</f>
        <v/>
      </c>
      <c r="AB15">
        <f>HYPERLINK("https://klasma.github.io/Logging_0684/klagomålsmail/A 57846-2025 FSC-klagomål mail.docx", "A 57846-2025")</f>
        <v/>
      </c>
      <c r="AC15">
        <f>HYPERLINK("https://klasma.github.io/Logging_0684/tillsyn/A 57846-2025 tillsynsbegäran.docx", "A 57846-2025")</f>
        <v/>
      </c>
      <c r="AD15">
        <f>HYPERLINK("https://klasma.github.io/Logging_0684/tillsynsmail/A 57846-2025 tillsynsbegäran mail.docx", "A 57846-2025")</f>
        <v/>
      </c>
    </row>
    <row r="16" ht="15" customHeight="1">
      <c r="A16" t="inlineStr">
        <is>
          <t>A 10775-2025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45722</v>
      </c>
      <c r="E16" s="1" t="n">
        <v>46319</v>
      </c>
      <c r="F16" t="inlineStr">
        <is>
          <t>JÖNKÖPINGS LÄN</t>
        </is>
      </c>
      <c r="G16" t="inlineStr">
        <is>
          <t>SÄVSJÖ</t>
        </is>
      </c>
      <c r="I16" t="n">
        <v>10.1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Solvända</t>
        </is>
      </c>
      <c r="W16">
        <f>HYPERLINK("https://klasma.github.io/Logging_0684/artfynd/A 10775-2025 artfynd.xlsx", "A 10775-2025")</f>
        <v/>
      </c>
      <c r="X16">
        <f>HYPERLINK("https://klasma.github.io/Logging_0684/kartor/A 10775-2025 karta.png", "A 10775-2025")</f>
        <v/>
      </c>
      <c r="Y16">
        <f>HYPERLINK("https://klasma.github.io/Logging_0684/kartor_geotiff/A 10775-2025 georefererad karta.tif", "A 10775-2025")</f>
        <v/>
      </c>
      <c r="AA16">
        <f>HYPERLINK("https://klasma.github.io/Logging_0684/klagomål/A 10775-2025 FSC-klagomål.docx", "A 10775-2025")</f>
        <v/>
      </c>
      <c r="AB16">
        <f>HYPERLINK("https://klasma.github.io/Logging_0684/klagomålsmail/A 10775-2025 FSC-klagomål mail.docx", "A 10775-2025")</f>
        <v/>
      </c>
      <c r="AC16">
        <f>HYPERLINK("https://klasma.github.io/Logging_0684/tillsyn/A 10775-2025 tillsynsbegäran.docx", "A 10775-2025")</f>
        <v/>
      </c>
      <c r="AD16">
        <f>HYPERLINK("https://klasma.github.io/Logging_0684/tillsynsmail/A 10775-2025 tillsynsbegäran mail.docx", "A 10775-2025")</f>
        <v/>
      </c>
    </row>
    <row r="17" ht="15" customHeight="1">
      <c r="A17" t="inlineStr">
        <is>
          <t>A 10046-2025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45719</v>
      </c>
      <c r="E17" s="1" t="n">
        <v>46319</v>
      </c>
      <c r="F17" t="inlineStr">
        <is>
          <t>JÖNKÖPINGS LÄN</t>
        </is>
      </c>
      <c r="G17" t="inlineStr">
        <is>
          <t>SÄVSJÖ</t>
        </is>
      </c>
      <c r="I17" t="n">
        <v>8.6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Blåsippa</t>
        </is>
      </c>
      <c r="W17">
        <f>HYPERLINK("https://klasma.github.io/Logging_0684/artfynd/A 10046-2025 artfynd.xlsx", "A 10046-2025")</f>
        <v/>
      </c>
      <c r="X17">
        <f>HYPERLINK("https://klasma.github.io/Logging_0684/kartor/A 10046-2025 karta.png", "A 10046-2025")</f>
        <v/>
      </c>
      <c r="Y17">
        <f>HYPERLINK("https://klasma.github.io/Logging_0684/kartor_geotiff/A 10046-2025 georefererad karta.tif", "A 10046-2025")</f>
        <v/>
      </c>
      <c r="AA17">
        <f>HYPERLINK("https://klasma.github.io/Logging_0684/klagomål/A 10046-2025 FSC-klagomål.docx", "A 10046-2025")</f>
        <v/>
      </c>
      <c r="AB17">
        <f>HYPERLINK("https://klasma.github.io/Logging_0684/klagomålsmail/A 10046-2025 FSC-klagomål mail.docx", "A 10046-2025")</f>
        <v/>
      </c>
      <c r="AC17">
        <f>HYPERLINK("https://klasma.github.io/Logging_0684/tillsyn/A 10046-2025 tillsynsbegäran.docx", "A 10046-2025")</f>
        <v/>
      </c>
      <c r="AD17">
        <f>HYPERLINK("https://klasma.github.io/Logging_0684/tillsynsmail/A 10046-2025 tillsynsbegäran mail.docx", "A 10046-2025")</f>
        <v/>
      </c>
    </row>
    <row r="18" ht="15" customHeight="1">
      <c r="A18" t="inlineStr">
        <is>
          <t>A 11797-2026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46085</v>
      </c>
      <c r="E18" s="1" t="n">
        <v>46319</v>
      </c>
      <c r="F18" t="inlineStr">
        <is>
          <t>JÖNKÖPINGS LÄN</t>
        </is>
      </c>
      <c r="G18" t="inlineStr">
        <is>
          <t>SÄVSJÖ</t>
        </is>
      </c>
      <c r="I18" t="n">
        <v>2.7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s="2" t="inlineStr">
        <is>
          <t>Ask</t>
        </is>
      </c>
      <c r="W18">
        <f>HYPERLINK("https://klasma.github.io/Logging_0684/artfynd/A 11797-2026 artfynd.xlsx", "A 11797-2026")</f>
        <v/>
      </c>
      <c r="X18">
        <f>HYPERLINK("https://klasma.github.io/Logging_0684/kartor/A 11797-2026 karta.png", "A 11797-2026")</f>
        <v/>
      </c>
      <c r="Y18">
        <f>HYPERLINK("https://klasma.github.io/Logging_0684/kartor_geotiff/A 11797-2026 georefererad karta.tif", "A 11797-2026")</f>
        <v/>
      </c>
      <c r="AA18">
        <f>HYPERLINK("https://klasma.github.io/Logging_0684/klagomål/A 11797-2026 FSC-klagomål.docx", "A 11797-2026")</f>
        <v/>
      </c>
      <c r="AB18">
        <f>HYPERLINK("https://klasma.github.io/Logging_0684/klagomålsmail/A 11797-2026 FSC-klagomål mail.docx", "A 11797-2026")</f>
        <v/>
      </c>
      <c r="AC18">
        <f>HYPERLINK("https://klasma.github.io/Logging_0684/tillsyn/A 11797-2026 tillsynsbegäran.docx", "A 11797-2026")</f>
        <v/>
      </c>
      <c r="AD18">
        <f>HYPERLINK("https://klasma.github.io/Logging_0684/tillsynsmail/A 11797-2026 tillsynsbegäran mail.docx", "A 11797-2026")</f>
        <v/>
      </c>
    </row>
    <row r="19" ht="15" customHeight="1">
      <c r="A19" t="inlineStr">
        <is>
          <t>A 41170-2026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46300</v>
      </c>
      <c r="E19" s="1" t="n">
        <v>46319</v>
      </c>
      <c r="F19" t="inlineStr">
        <is>
          <t>JÖNKÖPINGS LÄN</t>
        </is>
      </c>
      <c r="G19" t="inlineStr">
        <is>
          <t>SÄVSJÖ</t>
        </is>
      </c>
      <c r="I19" t="n">
        <v>0.7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Ask</t>
        </is>
      </c>
      <c r="W19">
        <f>HYPERLINK("https://klasma.github.io/Logging_0684/artfynd/A 41170-2026 artfynd.xlsx", "A 41170-2026")</f>
        <v/>
      </c>
      <c r="X19">
        <f>HYPERLINK("https://klasma.github.io/Logging_0684/kartor/A 41170-2026 karta.png", "A 41170-2026")</f>
        <v/>
      </c>
      <c r="Y19">
        <f>HYPERLINK("https://klasma.github.io/Logging_0684/kartor_geotiff/A 41170-2026 georefererad karta.tif", "A 41170-2026")</f>
        <v/>
      </c>
      <c r="AA19">
        <f>HYPERLINK("https://klasma.github.io/Logging_0684/klagomål/A 41170-2026 FSC-klagomål.docx", "A 41170-2026")</f>
        <v/>
      </c>
      <c r="AB19">
        <f>HYPERLINK("https://klasma.github.io/Logging_0684/klagomålsmail/A 41170-2026 FSC-klagomål mail.docx", "A 41170-2026")</f>
        <v/>
      </c>
      <c r="AC19">
        <f>HYPERLINK("https://klasma.github.io/Logging_0684/tillsyn/A 41170-2026 tillsynsbegäran.docx", "A 41170-2026")</f>
        <v/>
      </c>
      <c r="AD19">
        <f>HYPERLINK("https://klasma.github.io/Logging_0684/tillsynsmail/A 41170-2026 tillsynsbegäran mail.docx", "A 41170-2026")</f>
        <v/>
      </c>
    </row>
    <row r="20" ht="15" customHeight="1">
      <c r="A20" t="inlineStr">
        <is>
          <t>A 41179-2026</t>
        </is>
      </c>
      <c r="B20" t="inlineStr">
        <is>
          <t>avverkningsanmälan</t>
        </is>
      </c>
      <c r="C20" t="inlineStr">
        <is>
          <t>Avverkning för att bevara och utveckla /försöksver</t>
        </is>
      </c>
      <c r="D20" s="1" t="n">
        <v>46300</v>
      </c>
      <c r="E20" s="1" t="n">
        <v>46319</v>
      </c>
      <c r="F20" t="inlineStr">
        <is>
          <t>JÖNKÖPINGS LÄN</t>
        </is>
      </c>
      <c r="G20" t="inlineStr">
        <is>
          <t>SÄVSJÖ</t>
        </is>
      </c>
      <c r="I20" t="n">
        <v>8.6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s="2" t="inlineStr">
        <is>
          <t>Ask</t>
        </is>
      </c>
      <c r="W20">
        <f>HYPERLINK("https://klasma.github.io/Logging_0684/artfynd/A 41179-2026 artfynd.xlsx", "A 41179-2026")</f>
        <v/>
      </c>
      <c r="X20">
        <f>HYPERLINK("https://klasma.github.io/Logging_0684/kartor/A 41179-2026 karta.png", "A 41179-2026")</f>
        <v/>
      </c>
      <c r="Y20">
        <f>HYPERLINK("https://klasma.github.io/Logging_0684/kartor_geotiff/A 41179-2026 georefererad karta.tif", "A 41179-2026")</f>
        <v/>
      </c>
      <c r="AA20">
        <f>HYPERLINK("https://klasma.github.io/Logging_0684/klagomål/A 41179-2026 FSC-klagomål.docx", "A 41179-2026")</f>
        <v/>
      </c>
      <c r="AB20">
        <f>HYPERLINK("https://klasma.github.io/Logging_0684/klagomålsmail/A 41179-2026 FSC-klagomål mail.docx", "A 41179-2026")</f>
        <v/>
      </c>
      <c r="AC20">
        <f>HYPERLINK("https://klasma.github.io/Logging_0684/tillsyn/A 41179-2026 tillsynsbegäran.docx", "A 41179-2026")</f>
        <v/>
      </c>
      <c r="AD20">
        <f>HYPERLINK("https://klasma.github.io/Logging_0684/tillsynsmail/A 41179-2026 tillsynsbegäran mail.docx", "A 41179-2026")</f>
        <v/>
      </c>
    </row>
    <row r="21" ht="15" customHeight="1">
      <c r="A21" t="inlineStr">
        <is>
          <t>A 35891-2026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46266</v>
      </c>
      <c r="E21" s="1" t="n">
        <v>46319</v>
      </c>
      <c r="F21" t="inlineStr">
        <is>
          <t>JÖNKÖPINGS LÄN</t>
        </is>
      </c>
      <c r="G21" t="inlineStr">
        <is>
          <t>SÄVSJÖ</t>
        </is>
      </c>
      <c r="I21" t="n">
        <v>2.2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s="2" t="inlineStr">
        <is>
          <t>Pilfibbla</t>
        </is>
      </c>
      <c r="W21">
        <f>HYPERLINK("https://klasma.github.io/Logging_0684/artfynd/A 35891-2026 artfynd.xlsx", "A 35891-2026")</f>
        <v/>
      </c>
      <c r="X21">
        <f>HYPERLINK("https://klasma.github.io/Logging_0684/kartor/A 35891-2026 karta.png", "A 35891-2026")</f>
        <v/>
      </c>
      <c r="Y21">
        <f>HYPERLINK("https://klasma.github.io/Logging_0684/kartor_geotiff/A 35891-2026 georefererad karta.tif", "A 35891-2026")</f>
        <v/>
      </c>
      <c r="AA21">
        <f>HYPERLINK("https://klasma.github.io/Logging_0684/klagomål/A 35891-2026 FSC-klagomål.docx", "A 35891-2026")</f>
        <v/>
      </c>
      <c r="AB21">
        <f>HYPERLINK("https://klasma.github.io/Logging_0684/klagomålsmail/A 35891-2026 FSC-klagomål mail.docx", "A 35891-2026")</f>
        <v/>
      </c>
      <c r="AC21">
        <f>HYPERLINK("https://klasma.github.io/Logging_0684/tillsyn/A 35891-2026 tillsynsbegäran.docx", "A 35891-2026")</f>
        <v/>
      </c>
      <c r="AD21">
        <f>HYPERLINK("https://klasma.github.io/Logging_0684/tillsynsmail/A 35891-2026 tillsynsbegäran mail.docx", "A 35891-2026")</f>
        <v/>
      </c>
    </row>
    <row r="22" ht="15" customHeight="1">
      <c r="A22" t="inlineStr">
        <is>
          <t>A 34214-2025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45845</v>
      </c>
      <c r="E22" s="1" t="n">
        <v>46319</v>
      </c>
      <c r="F22" t="inlineStr">
        <is>
          <t>JÖNKÖPINGS LÄN</t>
        </is>
      </c>
      <c r="G22" t="inlineStr">
        <is>
          <t>SÄVSJÖ</t>
        </is>
      </c>
      <c r="I22" t="n">
        <v>1.2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2</v>
      </c>
      <c r="U22" t="n">
        <v>1</v>
      </c>
      <c r="V22" s="2" t="inlineStr">
        <is>
          <t>Lungrot</t>
        </is>
      </c>
      <c r="W22">
        <f>HYPERLINK("https://klasma.github.io/Logging_0684/artfynd/A 34214-2025 artfynd.xlsx", "A 34214-2025")</f>
        <v/>
      </c>
      <c r="X22">
        <f>HYPERLINK("https://klasma.github.io/Logging_0684/kartor/A 34214-2025 karta.png", "A 34214-2025")</f>
        <v/>
      </c>
      <c r="Y22">
        <f>HYPERLINK("https://klasma.github.io/Logging_0684/kartor_geotiff/A 34214-2025 georefererad karta.tif", "A 34214-2025")</f>
        <v/>
      </c>
      <c r="AA22">
        <f>HYPERLINK("https://klasma.github.io/Logging_0684/klagomål/A 34214-2025 FSC-klagomål.docx", "A 34214-2025")</f>
        <v/>
      </c>
      <c r="AB22">
        <f>HYPERLINK("https://klasma.github.io/Logging_0684/klagomålsmail/A 34214-2025 FSC-klagomål mail.docx", "A 34214-2025")</f>
        <v/>
      </c>
      <c r="AC22">
        <f>HYPERLINK("https://klasma.github.io/Logging_0684/tillsyn/A 34214-2025 tillsynsbegäran.docx", "A 34214-2025")</f>
        <v/>
      </c>
      <c r="AD22">
        <f>HYPERLINK("https://klasma.github.io/Logging_0684/tillsynsmail/A 34214-2025 tillsynsbegäran mail.docx", "A 34214-2025")</f>
        <v/>
      </c>
    </row>
    <row r="23" ht="15" customHeight="1">
      <c r="A23" t="inlineStr">
        <is>
          <t>A 61556-2025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46001</v>
      </c>
      <c r="E23" s="1" t="n">
        <v>46319</v>
      </c>
      <c r="F23" t="inlineStr">
        <is>
          <t>JÖNKÖPINGS LÄN</t>
        </is>
      </c>
      <c r="G23" t="inlineStr">
        <is>
          <t>SÄVSJÖ</t>
        </is>
      </c>
      <c r="I23" t="n">
        <v>0.9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Törnskata</t>
        </is>
      </c>
      <c r="W23">
        <f>HYPERLINK("https://klasma.github.io/Logging_0684/artfynd/A 61556-2025 artfynd.xlsx", "A 61556-2025")</f>
        <v/>
      </c>
      <c r="X23">
        <f>HYPERLINK("https://klasma.github.io/Logging_0684/kartor/A 61556-2025 karta.png", "A 61556-2025")</f>
        <v/>
      </c>
      <c r="Y23">
        <f>HYPERLINK("https://klasma.github.io/Logging_0684/kartor_geotiff/A 61556-2025 georefererad karta.tif", "A 61556-2025")</f>
        <v/>
      </c>
      <c r="AA23">
        <f>HYPERLINK("https://klasma.github.io/Logging_0684/klagomål/A 61556-2025 FSC-klagomål.docx", "A 61556-2025")</f>
        <v/>
      </c>
      <c r="AB23">
        <f>HYPERLINK("https://klasma.github.io/Logging_0684/klagomålsmail/A 61556-2025 FSC-klagomål mail.docx", "A 61556-2025")</f>
        <v/>
      </c>
      <c r="AC23">
        <f>HYPERLINK("https://klasma.github.io/Logging_0684/tillsyn/A 61556-2025 tillsynsbegäran.docx", "A 61556-2025")</f>
        <v/>
      </c>
      <c r="AD23">
        <f>HYPERLINK("https://klasma.github.io/Logging_0684/tillsynsmail/A 61556-2025 tillsynsbegäran mail.docx", "A 61556-2025")</f>
        <v/>
      </c>
      <c r="AE23">
        <f>HYPERLINK("https://klasma.github.io/Logging_0684/fåglar/A 61556-2025 prioriterade fågelarter.docx", "A 61556-2025")</f>
        <v/>
      </c>
    </row>
    <row r="24" ht="15" customHeight="1">
      <c r="A24" t="inlineStr">
        <is>
          <t>A 43351-2026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46314</v>
      </c>
      <c r="E24" s="1" t="n">
        <v>46319</v>
      </c>
      <c r="F24" t="inlineStr">
        <is>
          <t>JÖNKÖPINGS LÄN</t>
        </is>
      </c>
      <c r="G24" t="inlineStr">
        <is>
          <t>SÄVSJÖ</t>
        </is>
      </c>
      <c r="I24" t="n">
        <v>2.3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22</v>
      </c>
      <c r="U24" t="n">
        <v>0</v>
      </c>
      <c r="V24" s="2" t="inlineStr">
        <is>
          <t>Ask</t>
        </is>
      </c>
      <c r="W24">
        <f>HYPERLINK("https://klasma.github.io/Logging_0684/artfynd/A 43351-2026 artfynd.xlsx", "A 43351-2026")</f>
        <v/>
      </c>
      <c r="X24">
        <f>HYPERLINK("https://klasma.github.io/Logging_0684/kartor/A 43351-2026 karta.png", "A 43351-2026")</f>
        <v/>
      </c>
      <c r="Y24">
        <f>HYPERLINK("https://klasma.github.io/Logging_0684/kartor_geotiff/A 43351-2026 georefererad karta.tif", "A 43351-2026")</f>
        <v/>
      </c>
      <c r="AA24">
        <f>HYPERLINK("https://klasma.github.io/Logging_0684/klagomål/A 43351-2026 FSC-klagomål.docx", "A 43351-2026")</f>
        <v/>
      </c>
      <c r="AB24">
        <f>HYPERLINK("https://klasma.github.io/Logging_0684/klagomålsmail/A 43351-2026 FSC-klagomål mail.docx", "A 43351-2026")</f>
        <v/>
      </c>
      <c r="AC24">
        <f>HYPERLINK("https://klasma.github.io/Logging_0684/tillsyn/A 43351-2026 tillsynsbegäran.docx", "A 43351-2026")</f>
        <v/>
      </c>
      <c r="AD24">
        <f>HYPERLINK("https://klasma.github.io/Logging_0684/tillsynsmail/A 43351-2026 tillsynsbegäran mail.docx", "A 43351-2026")</f>
        <v/>
      </c>
    </row>
    <row r="25" ht="15" customHeight="1">
      <c r="A25" t="inlineStr">
        <is>
          <t>A 18174-2026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46125</v>
      </c>
      <c r="E25" s="1" t="n">
        <v>46319</v>
      </c>
      <c r="F25" t="inlineStr">
        <is>
          <t>JÖNKÖPINGS LÄN</t>
        </is>
      </c>
      <c r="G25" t="inlineStr">
        <is>
          <t>SÄVSJÖ</t>
        </is>
      </c>
      <c r="I25" t="n">
        <v>1.4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Röd glada</t>
        </is>
      </c>
      <c r="W25">
        <f>HYPERLINK("https://klasma.github.io/Logging_0684/artfynd/A 18174-2026 artfynd.xlsx", "A 18174-2026")</f>
        <v/>
      </c>
      <c r="X25">
        <f>HYPERLINK("https://klasma.github.io/Logging_0684/kartor/A 18174-2026 karta.png", "A 18174-2026")</f>
        <v/>
      </c>
      <c r="Y25">
        <f>HYPERLINK("https://klasma.github.io/Logging_0684/kartor_geotiff/A 18174-2026 georefererad karta.tif", "A 18174-2026")</f>
        <v/>
      </c>
      <c r="AA25">
        <f>HYPERLINK("https://klasma.github.io/Logging_0684/klagomål/A 18174-2026 FSC-klagomål.docx", "A 18174-2026")</f>
        <v/>
      </c>
      <c r="AB25">
        <f>HYPERLINK("https://klasma.github.io/Logging_0684/klagomålsmail/A 18174-2026 FSC-klagomål mail.docx", "A 18174-2026")</f>
        <v/>
      </c>
      <c r="AC25">
        <f>HYPERLINK("https://klasma.github.io/Logging_0684/tillsyn/A 18174-2026 tillsynsbegäran.docx", "A 18174-2026")</f>
        <v/>
      </c>
      <c r="AD25">
        <f>HYPERLINK("https://klasma.github.io/Logging_0684/tillsynsmail/A 18174-2026 tillsynsbegäran mail.docx", "A 18174-2026")</f>
        <v/>
      </c>
      <c r="AE25">
        <f>HYPERLINK("https://klasma.github.io/Logging_0684/fåglar/A 18174-2026 prioriterade fågelarter.docx", "A 18174-2026")</f>
        <v/>
      </c>
    </row>
    <row r="26" ht="15" customHeight="1">
      <c r="A26" t="inlineStr">
        <is>
          <t>A 40075-2023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45168</v>
      </c>
      <c r="E26" s="1" t="n">
        <v>46319</v>
      </c>
      <c r="F26" t="inlineStr">
        <is>
          <t>JÖNKÖPINGS LÄN</t>
        </is>
      </c>
      <c r="G26" t="inlineStr">
        <is>
          <t>SÄVSJÖ</t>
        </is>
      </c>
      <c r="I26" t="n">
        <v>1.5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Solvända</t>
        </is>
      </c>
      <c r="W26">
        <f>HYPERLINK("https://klasma.github.io/Logging_0684/artfynd/A 40075-2023 artfynd.xlsx", "A 40075-2023")</f>
        <v/>
      </c>
      <c r="X26">
        <f>HYPERLINK("https://klasma.github.io/Logging_0684/kartor/A 40075-2023 karta.png", "A 40075-2023")</f>
        <v/>
      </c>
      <c r="Y26">
        <f>HYPERLINK("https://klasma.github.io/Logging_0684/kartor_geotiff/A 40075-2023 georefererad karta.tif", "A 40075-2023")</f>
        <v/>
      </c>
      <c r="AA26">
        <f>HYPERLINK("https://klasma.github.io/Logging_0684/klagomål/A 40075-2023 FSC-klagomål.docx", "A 40075-2023")</f>
        <v/>
      </c>
      <c r="AB26">
        <f>HYPERLINK("https://klasma.github.io/Logging_0684/klagomålsmail/A 40075-2023 FSC-klagomål mail.docx", "A 40075-2023")</f>
        <v/>
      </c>
      <c r="AC26">
        <f>HYPERLINK("https://klasma.github.io/Logging_0684/tillsyn/A 40075-2023 tillsynsbegäran.docx", "A 40075-2023")</f>
        <v/>
      </c>
      <c r="AD26">
        <f>HYPERLINK("https://klasma.github.io/Logging_0684/tillsynsmail/A 40075-2023 tillsynsbegäran mail.docx", "A 40075-2023")</f>
        <v/>
      </c>
    </row>
    <row r="27" ht="15" customHeight="1">
      <c r="A27" t="inlineStr">
        <is>
          <t>A 19123-2025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45768</v>
      </c>
      <c r="E27" s="1" t="n">
        <v>46319</v>
      </c>
      <c r="F27" t="inlineStr">
        <is>
          <t>JÖNKÖPINGS LÄN</t>
        </is>
      </c>
      <c r="G27" t="inlineStr">
        <is>
          <t>SÄVSJÖ</t>
        </is>
      </c>
      <c r="I27" t="n">
        <v>0.6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Spillkråka</t>
        </is>
      </c>
      <c r="W27">
        <f>HYPERLINK("https://klasma.github.io/Logging_0684/artfynd/A 19123-2025 artfynd.xlsx", "A 19123-2025")</f>
        <v/>
      </c>
      <c r="X27">
        <f>HYPERLINK("https://klasma.github.io/Logging_0684/kartor/A 19123-2025 karta.png", "A 19123-2025")</f>
        <v/>
      </c>
      <c r="Y27">
        <f>HYPERLINK("https://klasma.github.io/Logging_0684/kartor_geotiff/A 19123-2025 georefererad karta.tif", "A 19123-2025")</f>
        <v/>
      </c>
      <c r="AA27">
        <f>HYPERLINK("https://klasma.github.io/Logging_0684/klagomål/A 19123-2025 FSC-klagomål.docx", "A 19123-2025")</f>
        <v/>
      </c>
      <c r="AB27">
        <f>HYPERLINK("https://klasma.github.io/Logging_0684/klagomålsmail/A 19123-2025 FSC-klagomål mail.docx", "A 19123-2025")</f>
        <v/>
      </c>
      <c r="AC27">
        <f>HYPERLINK("https://klasma.github.io/Logging_0684/tillsyn/A 19123-2025 tillsynsbegäran.docx", "A 19123-2025")</f>
        <v/>
      </c>
      <c r="AD27">
        <f>HYPERLINK("https://klasma.github.io/Logging_0684/tillsynsmail/A 19123-2025 tillsynsbegäran mail.docx", "A 19123-2025")</f>
        <v/>
      </c>
      <c r="AE27">
        <f>HYPERLINK("https://klasma.github.io/Logging_0684/fåglar/A 19123-2025 prioriterade fågelarter.docx", "A 19123-2025")</f>
        <v/>
      </c>
    </row>
    <row r="28" ht="15" customHeight="1">
      <c r="A28" t="inlineStr">
        <is>
          <t>A 40543-2023</t>
        </is>
      </c>
      <c r="B28" t="inlineStr">
        <is>
          <t>avverkningsanmälan</t>
        </is>
      </c>
      <c r="C28" t="inlineStr">
        <is>
          <t>Avverkning för annat ändamål</t>
        </is>
      </c>
      <c r="D28" s="1" t="n">
        <v>45170</v>
      </c>
      <c r="E28" s="1" t="n">
        <v>46319</v>
      </c>
      <c r="F28" t="inlineStr">
        <is>
          <t>JÖNKÖPINGS LÄN</t>
        </is>
      </c>
      <c r="G28" t="inlineStr">
        <is>
          <t>SÄVSJÖ</t>
        </is>
      </c>
      <c r="I28" t="n">
        <v>2.8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Sommarfibbla</t>
        </is>
      </c>
      <c r="W28">
        <f>HYPERLINK("https://klasma.github.io/Logging_0684/artfynd/A 40543-2023 artfynd.xlsx", "A 40543-2023")</f>
        <v/>
      </c>
      <c r="X28">
        <f>HYPERLINK("https://klasma.github.io/Logging_0684/kartor/A 40543-2023 karta.png", "A 40543-2023")</f>
        <v/>
      </c>
      <c r="Y28">
        <f>HYPERLINK("https://klasma.github.io/Logging_0684/kartor_geotiff/A 40543-2023 georefererad karta.tif", "A 40543-2023")</f>
        <v/>
      </c>
      <c r="AA28">
        <f>HYPERLINK("https://klasma.github.io/Logging_0684/klagomål/A 40543-2023 FSC-klagomål.docx", "A 40543-2023")</f>
        <v/>
      </c>
      <c r="AB28">
        <f>HYPERLINK("https://klasma.github.io/Logging_0684/klagomålsmail/A 40543-2023 FSC-klagomål mail.docx", "A 40543-2023")</f>
        <v/>
      </c>
      <c r="AC28">
        <f>HYPERLINK("https://klasma.github.io/Logging_0684/tillsyn/A 40543-2023 tillsynsbegäran.docx", "A 40543-2023")</f>
        <v/>
      </c>
      <c r="AD28">
        <f>HYPERLINK("https://klasma.github.io/Logging_0684/tillsynsmail/A 40543-2023 tillsynsbegäran mail.docx", "A 40543-2023")</f>
        <v/>
      </c>
    </row>
    <row r="29" ht="15" customHeight="1">
      <c r="A29" t="inlineStr">
        <is>
          <t>A 51095-2023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45218</v>
      </c>
      <c r="E29" s="1" t="n">
        <v>46319</v>
      </c>
      <c r="F29" t="inlineStr">
        <is>
          <t>JÖNKÖPINGS LÄN</t>
        </is>
      </c>
      <c r="G29" t="inlineStr">
        <is>
          <t>SÄVSJÖ</t>
        </is>
      </c>
      <c r="I29" t="n">
        <v>3.6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Korallrot</t>
        </is>
      </c>
      <c r="W29">
        <f>HYPERLINK("https://klasma.github.io/Logging_0684/artfynd/A 51095-2023 artfynd.xlsx", "A 51095-2023")</f>
        <v/>
      </c>
      <c r="X29">
        <f>HYPERLINK("https://klasma.github.io/Logging_0684/kartor/A 51095-2023 karta.png", "A 51095-2023")</f>
        <v/>
      </c>
      <c r="Y29">
        <f>HYPERLINK("https://klasma.github.io/Logging_0684/kartor_geotiff/A 51095-2023 georefererad karta.tif", "A 51095-2023")</f>
        <v/>
      </c>
      <c r="AA29">
        <f>HYPERLINK("https://klasma.github.io/Logging_0684/klagomål/A 51095-2023 FSC-klagomål.docx", "A 51095-2023")</f>
        <v/>
      </c>
      <c r="AB29">
        <f>HYPERLINK("https://klasma.github.io/Logging_0684/klagomålsmail/A 51095-2023 FSC-klagomål mail.docx", "A 51095-2023")</f>
        <v/>
      </c>
      <c r="AC29">
        <f>HYPERLINK("https://klasma.github.io/Logging_0684/tillsyn/A 51095-2023 tillsynsbegäran.docx", "A 51095-2023")</f>
        <v/>
      </c>
      <c r="AD29">
        <f>HYPERLINK("https://klasma.github.io/Logging_0684/tillsynsmail/A 51095-2023 tillsynsbegäran mail.docx", "A 51095-2023")</f>
        <v/>
      </c>
    </row>
    <row r="30" ht="15" customHeight="1">
      <c r="A30" t="inlineStr">
        <is>
          <t>A 8198-2024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45351</v>
      </c>
      <c r="E30" s="1" t="n">
        <v>46319</v>
      </c>
      <c r="F30" t="inlineStr">
        <is>
          <t>JÖNKÖPINGS LÄN</t>
        </is>
      </c>
      <c r="G30" t="inlineStr">
        <is>
          <t>SÄVSJÖ</t>
        </is>
      </c>
      <c r="I30" t="n">
        <v>0.7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Småfruktigt blågryn</t>
        </is>
      </c>
      <c r="W30">
        <f>HYPERLINK("https://klasma.github.io/Logging_0684/artfynd/A 8198-2024 artfynd.xlsx", "A 8198-2024")</f>
        <v/>
      </c>
      <c r="X30">
        <f>HYPERLINK("https://klasma.github.io/Logging_0684/kartor/A 8198-2024 karta.png", "A 8198-2024")</f>
        <v/>
      </c>
      <c r="Y30">
        <f>HYPERLINK("https://klasma.github.io/Logging_0684/kartor_geotiff/A 8198-2024 georefererad karta.tif", "A 8198-2024")</f>
        <v/>
      </c>
      <c r="AA30">
        <f>HYPERLINK("https://klasma.github.io/Logging_0684/klagomål/A 8198-2024 FSC-klagomål.docx", "A 8198-2024")</f>
        <v/>
      </c>
      <c r="AB30">
        <f>HYPERLINK("https://klasma.github.io/Logging_0684/klagomålsmail/A 8198-2024 FSC-klagomål mail.docx", "A 8198-2024")</f>
        <v/>
      </c>
      <c r="AC30">
        <f>HYPERLINK("https://klasma.github.io/Logging_0684/tillsyn/A 8198-2024 tillsynsbegäran.docx", "A 8198-2024")</f>
        <v/>
      </c>
      <c r="AD30">
        <f>HYPERLINK("https://klasma.github.io/Logging_0684/tillsynsmail/A 8198-2024 tillsynsbegäran mail.docx", "A 8198-2024")</f>
        <v/>
      </c>
    </row>
    <row r="31" ht="15" customHeight="1">
      <c r="A31" t="inlineStr">
        <is>
          <t>S 689-2026</t>
        </is>
      </c>
      <c r="B31" t="inlineStr">
        <is>
          <t>samrådsanmälan</t>
        </is>
      </c>
      <c r="C31" t="inlineStr">
        <is>
          <t>Askåterföring</t>
        </is>
      </c>
      <c r="D31" s="1" t="n">
        <v>46091</v>
      </c>
      <c r="E31" s="1" t="n">
        <v>46319</v>
      </c>
      <c r="F31" t="inlineStr">
        <is>
          <t>JÖNKÖPINGS LÄN</t>
        </is>
      </c>
      <c r="G31" t="inlineStr">
        <is>
          <t>SÄVSJÖ</t>
        </is>
      </c>
      <c r="I31" t="n">
        <v>21.4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s="2" t="inlineStr">
        <is>
          <t>Igelkott</t>
        </is>
      </c>
      <c r="W31">
        <f>HYPERLINK("https://klasma.github.io/Logging_0684/artfynd/S 689-2026 artfynd.xlsx", "S 689-2026")</f>
        <v/>
      </c>
      <c r="X31">
        <f>HYPERLINK("https://klasma.github.io/Logging_0684/kartor/S 689-2026 karta.png", "S 689-2026")</f>
        <v/>
      </c>
      <c r="Y31">
        <f>HYPERLINK("https://klasma.github.io/Logging_0684/kartor_geotiff/S 689-2026 georefererad karta.tif", "S 689-2026")</f>
        <v/>
      </c>
      <c r="AA31">
        <f>HYPERLINK("https://klasma.github.io/Logging_0684/klagomål/S 689-2026 FSC-klagomål.docx", "S 689-2026")</f>
        <v/>
      </c>
      <c r="AB31">
        <f>HYPERLINK("https://klasma.github.io/Logging_0684/klagomålsmail/S 689-2026 FSC-klagomål mail.docx", "S 689-2026")</f>
        <v/>
      </c>
      <c r="AC31">
        <f>HYPERLINK("https://klasma.github.io/Logging_0684/tillsyn/S 689-2026 tillsynsbegäran.docx", "S 689-2026")</f>
        <v/>
      </c>
      <c r="AD31">
        <f>HYPERLINK("https://klasma.github.io/Logging_0684/tillsynsmail/S 689-2026 tillsynsbegäran mail.docx", "S 689-2026")</f>
        <v/>
      </c>
    </row>
    <row r="32" ht="15" customHeight="1">
      <c r="A32" t="inlineStr">
        <is>
          <t>S 2752-2026</t>
        </is>
      </c>
      <c r="B32" t="inlineStr">
        <is>
          <t>samrådsanmälan</t>
        </is>
      </c>
      <c r="C32" t="inlineStr">
        <is>
          <t>Askåterföring</t>
        </is>
      </c>
      <c r="D32" s="1" t="n">
        <v>46316</v>
      </c>
      <c r="E32" s="1" t="n">
        <v>46319</v>
      </c>
      <c r="F32" t="inlineStr">
        <is>
          <t>JÖNKÖPINGS LÄN</t>
        </is>
      </c>
      <c r="G32" t="inlineStr">
        <is>
          <t>SÄVSJÖ</t>
        </is>
      </c>
      <c r="I32" t="n">
        <v>41.2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Knärot</t>
        </is>
      </c>
      <c r="W32">
        <f>HYPERLINK("https://klasma.github.io/Logging_0684/artfynd/S 2752-2026 artfynd.xlsx", "S 2752-2026")</f>
        <v/>
      </c>
      <c r="X32">
        <f>HYPERLINK("https://klasma.github.io/Logging_0684/kartor/S 2752-2026 karta.png", "S 2752-2026")</f>
        <v/>
      </c>
      <c r="Y32">
        <f>HYPERLINK("https://klasma.github.io/Logging_0684/kartor_geotiff/S 2752-2026 georefererad karta.tif", "S 2752-2026")</f>
        <v/>
      </c>
      <c r="Z32">
        <f>HYPERLINK("https://klasma.github.io/Logging_0684/knärot/S 2752-2026 karta knärot.png", "S 2752-2026")</f>
        <v/>
      </c>
      <c r="AA32">
        <f>HYPERLINK("https://klasma.github.io/Logging_0684/klagomål/S 2752-2026 FSC-klagomål.docx", "S 2752-2026")</f>
        <v/>
      </c>
      <c r="AB32">
        <f>HYPERLINK("https://klasma.github.io/Logging_0684/klagomålsmail/S 2752-2026 FSC-klagomål mail.docx", "S 2752-2026")</f>
        <v/>
      </c>
      <c r="AC32">
        <f>HYPERLINK("https://klasma.github.io/Logging_0684/tillsyn/S 2752-2026 tillsynsbegäran.docx", "S 2752-2026")</f>
        <v/>
      </c>
      <c r="AD32">
        <f>HYPERLINK("https://klasma.github.io/Logging_0684/tillsynsmail/S 2752-2026 tillsynsbegäran mail.docx", "S 2752-2026")</f>
        <v/>
      </c>
    </row>
    <row r="33" ht="15" customHeight="1">
      <c r="A33" t="inlineStr">
        <is>
          <t>A 49668-2022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44862</v>
      </c>
      <c r="E33" s="1" t="n">
        <v>46319</v>
      </c>
      <c r="F33" t="inlineStr">
        <is>
          <t>JÖNKÖPINGS LÄN</t>
        </is>
      </c>
      <c r="G33" t="inlineStr">
        <is>
          <t>SÄVSJÖ</t>
        </is>
      </c>
      <c r="I33" t="n">
        <v>0.4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53099-2022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44876</v>
      </c>
      <c r="E34" s="1" t="n">
        <v>46319</v>
      </c>
      <c r="F34" t="inlineStr">
        <is>
          <t>JÖNKÖPINGS LÄN</t>
        </is>
      </c>
      <c r="G34" t="inlineStr">
        <is>
          <t>SÄVSJÖ</t>
        </is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69990-2021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44533</v>
      </c>
      <c r="E35" s="1" t="n">
        <v>46319</v>
      </c>
      <c r="F35" t="inlineStr">
        <is>
          <t>JÖNKÖPINGS LÄN</t>
        </is>
      </c>
      <c r="G35" t="inlineStr">
        <is>
          <t>SÄVSJÖ</t>
        </is>
      </c>
      <c r="I35" t="n">
        <v>3.2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28908-2022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44749</v>
      </c>
      <c r="E36" s="1" t="n">
        <v>46319</v>
      </c>
      <c r="F36" t="inlineStr">
        <is>
          <t>JÖNKÖPINGS LÄN</t>
        </is>
      </c>
      <c r="G36" t="inlineStr">
        <is>
          <t>SÄVSJÖ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36778-2022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44805</v>
      </c>
      <c r="E37" s="1" t="n">
        <v>46319</v>
      </c>
      <c r="F37" t="inlineStr">
        <is>
          <t>JÖNKÖPINGS LÄN</t>
        </is>
      </c>
      <c r="G37" t="inlineStr">
        <is>
          <t>SÄVSJÖ</t>
        </is>
      </c>
      <c r="I37" t="n">
        <v>0.4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64021-2021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44510</v>
      </c>
      <c r="E38" s="1" t="n">
        <v>46319</v>
      </c>
      <c r="F38" t="inlineStr">
        <is>
          <t>JÖNKÖPINGS LÄN</t>
        </is>
      </c>
      <c r="G38" t="inlineStr">
        <is>
          <t>SÄVSJÖ</t>
        </is>
      </c>
      <c r="I38" t="n">
        <v>4.1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47957-2022</t>
        </is>
      </c>
      <c r="B39" t="inlineStr">
        <is>
          <t>avverkningsanmälan</t>
        </is>
      </c>
      <c r="C39" t="inlineStr">
        <is>
          <t>Avverkning för att bevara och utveckla /försöksver</t>
        </is>
      </c>
      <c r="D39" s="1" t="n">
        <v>44855</v>
      </c>
      <c r="E39" s="1" t="n">
        <v>46319</v>
      </c>
      <c r="F39" t="inlineStr">
        <is>
          <t>JÖNKÖPINGS LÄN</t>
        </is>
      </c>
      <c r="G39" t="inlineStr">
        <is>
          <t>SÄVSJÖ</t>
        </is>
      </c>
      <c r="H39" t="inlineStr">
        <is>
          <t>Sveaskog</t>
        </is>
      </c>
      <c r="I39" t="n">
        <v>1.1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37323-2022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44809</v>
      </c>
      <c r="E40" s="1" t="n">
        <v>46319</v>
      </c>
      <c r="F40" t="inlineStr">
        <is>
          <t>JÖNKÖPINGS LÄN</t>
        </is>
      </c>
      <c r="G40" t="inlineStr">
        <is>
          <t>SÄVSJÖ</t>
        </is>
      </c>
      <c r="I40" t="n">
        <v>0.7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1391-2022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44573</v>
      </c>
      <c r="E41" s="1" t="n">
        <v>46319</v>
      </c>
      <c r="F41" t="inlineStr">
        <is>
          <t>JÖNKÖPINGS LÄN</t>
        </is>
      </c>
      <c r="G41" t="inlineStr">
        <is>
          <t>SÄVSJÖ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7115-2022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44603</v>
      </c>
      <c r="E42" s="1" t="n">
        <v>46319</v>
      </c>
      <c r="F42" t="inlineStr">
        <is>
          <t>JÖNKÖPINGS LÄN</t>
        </is>
      </c>
      <c r="G42" t="inlineStr">
        <is>
          <t>SÄVSJÖ</t>
        </is>
      </c>
      <c r="I42" t="n">
        <v>1.3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49662-2022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44862</v>
      </c>
      <c r="E43" s="1" t="n">
        <v>46319</v>
      </c>
      <c r="F43" t="inlineStr">
        <is>
          <t>JÖNKÖPINGS LÄN</t>
        </is>
      </c>
      <c r="G43" t="inlineStr">
        <is>
          <t>SÄVSJÖ</t>
        </is>
      </c>
      <c r="I43" t="n">
        <v>2.4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55136-2022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44886</v>
      </c>
      <c r="E44" s="1" t="n">
        <v>46319</v>
      </c>
      <c r="F44" t="inlineStr">
        <is>
          <t>JÖNKÖPINGS LÄN</t>
        </is>
      </c>
      <c r="G44" t="inlineStr">
        <is>
          <t>SÄVSJÖ</t>
        </is>
      </c>
      <c r="I44" t="n">
        <v>1.7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49653-2022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44862</v>
      </c>
      <c r="E45" s="1" t="n">
        <v>46319</v>
      </c>
      <c r="F45" t="inlineStr">
        <is>
          <t>JÖNKÖPINGS LÄN</t>
        </is>
      </c>
      <c r="G45" t="inlineStr">
        <is>
          <t>SÄVSJÖ</t>
        </is>
      </c>
      <c r="I45" t="n">
        <v>2.5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69638-2021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44532</v>
      </c>
      <c r="E46" s="1" t="n">
        <v>46319</v>
      </c>
      <c r="F46" t="inlineStr">
        <is>
          <t>JÖNKÖPINGS LÄN</t>
        </is>
      </c>
      <c r="G46" t="inlineStr">
        <is>
          <t>SÄVSJÖ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1307-2022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44572</v>
      </c>
      <c r="E47" s="1" t="n">
        <v>46319</v>
      </c>
      <c r="F47" t="inlineStr">
        <is>
          <t>JÖNKÖPINGS LÄN</t>
        </is>
      </c>
      <c r="G47" t="inlineStr">
        <is>
          <t>SÄVSJÖ</t>
        </is>
      </c>
      <c r="I47" t="n">
        <v>1.8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2654-2022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44580</v>
      </c>
      <c r="E48" s="1" t="n">
        <v>46319</v>
      </c>
      <c r="F48" t="inlineStr">
        <is>
          <t>JÖNKÖPINGS LÄN</t>
        </is>
      </c>
      <c r="G48" t="inlineStr">
        <is>
          <t>SÄVSJÖ</t>
        </is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41210-2022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44826</v>
      </c>
      <c r="E49" s="1" t="n">
        <v>46319</v>
      </c>
      <c r="F49" t="inlineStr">
        <is>
          <t>JÖNKÖPINGS LÄN</t>
        </is>
      </c>
      <c r="G49" t="inlineStr">
        <is>
          <t>SÄVSJÖ</t>
        </is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28127-2022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44746</v>
      </c>
      <c r="E50" s="1" t="n">
        <v>46319</v>
      </c>
      <c r="F50" t="inlineStr">
        <is>
          <t>JÖNKÖPINGS LÄN</t>
        </is>
      </c>
      <c r="G50" t="inlineStr">
        <is>
          <t>SÄVSJÖ</t>
        </is>
      </c>
      <c r="I50" t="n">
        <v>0.6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7762-2022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44608</v>
      </c>
      <c r="E51" s="1" t="n">
        <v>46319</v>
      </c>
      <c r="F51" t="inlineStr">
        <is>
          <t>JÖNKÖPINGS LÄN</t>
        </is>
      </c>
      <c r="G51" t="inlineStr">
        <is>
          <t>SÄVSJÖ</t>
        </is>
      </c>
      <c r="I51" t="n">
        <v>1.3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45155-2022</t>
        </is>
      </c>
      <c r="B52" t="inlineStr">
        <is>
          <t>avverkningsanmälan</t>
        </is>
      </c>
      <c r="C52" t="inlineStr">
        <is>
          <t>Avverkning för att bevara och utveckla /försöksver</t>
        </is>
      </c>
      <c r="D52" s="1" t="n">
        <v>44844</v>
      </c>
      <c r="E52" s="1" t="n">
        <v>46319</v>
      </c>
      <c r="F52" t="inlineStr">
        <is>
          <t>JÖNKÖPINGS LÄN</t>
        </is>
      </c>
      <c r="G52" t="inlineStr">
        <is>
          <t>SÄVSJÖ</t>
        </is>
      </c>
      <c r="H52" t="inlineStr">
        <is>
          <t>Sveaskog</t>
        </is>
      </c>
      <c r="I52" t="n">
        <v>1.4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47095-2022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44852</v>
      </c>
      <c r="E53" s="1" t="n">
        <v>46319</v>
      </c>
      <c r="F53" t="inlineStr">
        <is>
          <t>JÖNKÖPINGS LÄN</t>
        </is>
      </c>
      <c r="G53" t="inlineStr">
        <is>
          <t>SÄVSJÖ</t>
        </is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51374-2022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44869</v>
      </c>
      <c r="E54" s="1" t="n">
        <v>46319</v>
      </c>
      <c r="F54" t="inlineStr">
        <is>
          <t>JÖNKÖPINGS LÄN</t>
        </is>
      </c>
      <c r="G54" t="inlineStr">
        <is>
          <t>SÄVSJÖ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48124-2022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44857</v>
      </c>
      <c r="E55" s="1" t="n">
        <v>46319</v>
      </c>
      <c r="F55" t="inlineStr">
        <is>
          <t>JÖNKÖPINGS LÄN</t>
        </is>
      </c>
      <c r="G55" t="inlineStr">
        <is>
          <t>SÄVSJÖ</t>
        </is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49660-2022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44862</v>
      </c>
      <c r="E56" s="1" t="n">
        <v>46319</v>
      </c>
      <c r="F56" t="inlineStr">
        <is>
          <t>JÖNKÖPINGS LÄN</t>
        </is>
      </c>
      <c r="G56" t="inlineStr">
        <is>
          <t>SÄVSJÖ</t>
        </is>
      </c>
      <c r="I56" t="n">
        <v>0.9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3131-2022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44582</v>
      </c>
      <c r="E57" s="1" t="n">
        <v>46319</v>
      </c>
      <c r="F57" t="inlineStr">
        <is>
          <t>JÖNKÖPINGS LÄN</t>
        </is>
      </c>
      <c r="G57" t="inlineStr">
        <is>
          <t>SÄVSJÖ</t>
        </is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54584-2022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44883</v>
      </c>
      <c r="E58" s="1" t="n">
        <v>46319</v>
      </c>
      <c r="F58" t="inlineStr">
        <is>
          <t>JÖNKÖPINGS LÄN</t>
        </is>
      </c>
      <c r="G58" t="inlineStr">
        <is>
          <t>SÄVSJÖ</t>
        </is>
      </c>
      <c r="I58" t="n">
        <v>1.4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66396-2021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44518</v>
      </c>
      <c r="E59" s="1" t="n">
        <v>46319</v>
      </c>
      <c r="F59" t="inlineStr">
        <is>
          <t>JÖNKÖPINGS LÄN</t>
        </is>
      </c>
      <c r="G59" t="inlineStr">
        <is>
          <t>SÄVSJÖ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42992-2022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44833</v>
      </c>
      <c r="E60" s="1" t="n">
        <v>46319</v>
      </c>
      <c r="F60" t="inlineStr">
        <is>
          <t>JÖNKÖPINGS LÄN</t>
        </is>
      </c>
      <c r="G60" t="inlineStr">
        <is>
          <t>SÄVSJÖ</t>
        </is>
      </c>
      <c r="I60" t="n">
        <v>3.9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15670-2022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44662</v>
      </c>
      <c r="E61" s="1" t="n">
        <v>46319</v>
      </c>
      <c r="F61" t="inlineStr">
        <is>
          <t>JÖNKÖPINGS LÄN</t>
        </is>
      </c>
      <c r="G61" t="inlineStr">
        <is>
          <t>SÄVSJÖ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34119-2022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44791</v>
      </c>
      <c r="E62" s="1" t="n">
        <v>46319</v>
      </c>
      <c r="F62" t="inlineStr">
        <is>
          <t>JÖNKÖPINGS LÄN</t>
        </is>
      </c>
      <c r="G62" t="inlineStr">
        <is>
          <t>SÄVSJÖ</t>
        </is>
      </c>
      <c r="I62" t="n">
        <v>1.2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47542-2022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44853</v>
      </c>
      <c r="E63" s="1" t="n">
        <v>46319</v>
      </c>
      <c r="F63" t="inlineStr">
        <is>
          <t>JÖNKÖPINGS LÄN</t>
        </is>
      </c>
      <c r="G63" t="inlineStr">
        <is>
          <t>SÄVSJÖ</t>
        </is>
      </c>
      <c r="I63" t="n">
        <v>1.7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33560-2022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44789</v>
      </c>
      <c r="E64" s="1" t="n">
        <v>46319</v>
      </c>
      <c r="F64" t="inlineStr">
        <is>
          <t>JÖNKÖPINGS LÄN</t>
        </is>
      </c>
      <c r="G64" t="inlineStr">
        <is>
          <t>SÄVSJÖ</t>
        </is>
      </c>
      <c r="I64" t="n">
        <v>1.5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33938-2022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44790</v>
      </c>
      <c r="E65" s="1" t="n">
        <v>46319</v>
      </c>
      <c r="F65" t="inlineStr">
        <is>
          <t>JÖNKÖPINGS LÄN</t>
        </is>
      </c>
      <c r="G65" t="inlineStr">
        <is>
          <t>SÄVSJÖ</t>
        </is>
      </c>
      <c r="I65" t="n">
        <v>0.7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69927-2021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44533</v>
      </c>
      <c r="E66" s="1" t="n">
        <v>46319</v>
      </c>
      <c r="F66" t="inlineStr">
        <is>
          <t>JÖNKÖPINGS LÄN</t>
        </is>
      </c>
      <c r="G66" t="inlineStr">
        <is>
          <t>SÄVSJÖ</t>
        </is>
      </c>
      <c r="I66" t="n">
        <v>1.7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363-2022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44565</v>
      </c>
      <c r="E67" s="1" t="n">
        <v>46319</v>
      </c>
      <c r="F67" t="inlineStr">
        <is>
          <t>JÖNKÖPINGS LÄN</t>
        </is>
      </c>
      <c r="G67" t="inlineStr">
        <is>
          <t>SÄVSJÖ</t>
        </is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15816-2022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44664</v>
      </c>
      <c r="E68" s="1" t="n">
        <v>46319</v>
      </c>
      <c r="F68" t="inlineStr">
        <is>
          <t>JÖNKÖPINGS LÄN</t>
        </is>
      </c>
      <c r="G68" t="inlineStr">
        <is>
          <t>SÄVSJÖ</t>
        </is>
      </c>
      <c r="H68" t="inlineStr">
        <is>
          <t>Kommuner</t>
        </is>
      </c>
      <c r="I68" t="n">
        <v>1.3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61944-2021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44502</v>
      </c>
      <c r="E69" s="1" t="n">
        <v>46319</v>
      </c>
      <c r="F69" t="inlineStr">
        <is>
          <t>JÖNKÖPINGS LÄN</t>
        </is>
      </c>
      <c r="G69" t="inlineStr">
        <is>
          <t>SÄVSJÖ</t>
        </is>
      </c>
      <c r="I69" t="n">
        <v>3.6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71610-2021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44541</v>
      </c>
      <c r="E70" s="1" t="n">
        <v>46319</v>
      </c>
      <c r="F70" t="inlineStr">
        <is>
          <t>JÖNKÖPINGS LÄN</t>
        </is>
      </c>
      <c r="G70" t="inlineStr">
        <is>
          <t>SÄVSJÖ</t>
        </is>
      </c>
      <c r="I70" t="n">
        <v>0.8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10592-2022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44624</v>
      </c>
      <c r="E71" s="1" t="n">
        <v>46319</v>
      </c>
      <c r="F71" t="inlineStr">
        <is>
          <t>JÖNKÖPINGS LÄN</t>
        </is>
      </c>
      <c r="G71" t="inlineStr">
        <is>
          <t>SÄVSJÖ</t>
        </is>
      </c>
      <c r="I71" t="n">
        <v>0.7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20603-2022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44700</v>
      </c>
      <c r="E72" s="1" t="n">
        <v>46319</v>
      </c>
      <c r="F72" t="inlineStr">
        <is>
          <t>JÖNKÖPINGS LÄN</t>
        </is>
      </c>
      <c r="G72" t="inlineStr">
        <is>
          <t>SÄVSJÖ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38950-2022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44816</v>
      </c>
      <c r="E73" s="1" t="n">
        <v>46319</v>
      </c>
      <c r="F73" t="inlineStr">
        <is>
          <t>JÖNKÖPINGS LÄN</t>
        </is>
      </c>
      <c r="G73" t="inlineStr">
        <is>
          <t>SÄVSJÖ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35446-2022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44798</v>
      </c>
      <c r="E74" s="1" t="n">
        <v>46319</v>
      </c>
      <c r="F74" t="inlineStr">
        <is>
          <t>JÖNKÖPINGS LÄN</t>
        </is>
      </c>
      <c r="G74" t="inlineStr">
        <is>
          <t>SÄVSJÖ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30162-2023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45110</v>
      </c>
      <c r="E75" s="1" t="n">
        <v>46319</v>
      </c>
      <c r="F75" t="inlineStr">
        <is>
          <t>JÖNKÖPINGS LÄN</t>
        </is>
      </c>
      <c r="G75" t="inlineStr">
        <is>
          <t>SÄVSJÖ</t>
        </is>
      </c>
      <c r="H75" t="inlineStr">
        <is>
          <t>Kommuner</t>
        </is>
      </c>
      <c r="I75" t="n">
        <v>4.4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33556-2022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44789</v>
      </c>
      <c r="E76" s="1" t="n">
        <v>46319</v>
      </c>
      <c r="F76" t="inlineStr">
        <is>
          <t>JÖNKÖPINGS LÄN</t>
        </is>
      </c>
      <c r="G76" t="inlineStr">
        <is>
          <t>SÄVSJÖ</t>
        </is>
      </c>
      <c r="I76" t="n">
        <v>1.7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49221-2022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44861</v>
      </c>
      <c r="E77" s="1" t="n">
        <v>46319</v>
      </c>
      <c r="F77" t="inlineStr">
        <is>
          <t>JÖNKÖPINGS LÄN</t>
        </is>
      </c>
      <c r="G77" t="inlineStr">
        <is>
          <t>SÄVSJÖ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11337-2025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45726</v>
      </c>
      <c r="E78" s="1" t="n">
        <v>46319</v>
      </c>
      <c r="F78" t="inlineStr">
        <is>
          <t>JÖNKÖPINGS LÄN</t>
        </is>
      </c>
      <c r="G78" t="inlineStr">
        <is>
          <t>SÄVSJÖ</t>
        </is>
      </c>
      <c r="I78" t="n">
        <v>1.2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24703-2024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45460</v>
      </c>
      <c r="E79" s="1" t="n">
        <v>46319</v>
      </c>
      <c r="F79" t="inlineStr">
        <is>
          <t>JÖNKÖPINGS LÄN</t>
        </is>
      </c>
      <c r="G79" t="inlineStr">
        <is>
          <t>SÄVSJÖ</t>
        </is>
      </c>
      <c r="I79" t="n">
        <v>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46580-2023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45198</v>
      </c>
      <c r="E80" s="1" t="n">
        <v>46319</v>
      </c>
      <c r="F80" t="inlineStr">
        <is>
          <t>JÖNKÖPINGS LÄN</t>
        </is>
      </c>
      <c r="G80" t="inlineStr">
        <is>
          <t>SÄVSJÖ</t>
        </is>
      </c>
      <c r="I80" t="n">
        <v>3.2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1433-2025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45669</v>
      </c>
      <c r="E81" s="1" t="n">
        <v>46319</v>
      </c>
      <c r="F81" t="inlineStr">
        <is>
          <t>JÖNKÖPINGS LÄN</t>
        </is>
      </c>
      <c r="G81" t="inlineStr">
        <is>
          <t>SÄVSJÖ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996-2023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44935</v>
      </c>
      <c r="E82" s="1" t="n">
        <v>46319</v>
      </c>
      <c r="F82" t="inlineStr">
        <is>
          <t>JÖNKÖPINGS LÄN</t>
        </is>
      </c>
      <c r="G82" t="inlineStr">
        <is>
          <t>SÄVSJÖ</t>
        </is>
      </c>
      <c r="H82" t="inlineStr">
        <is>
          <t>Sveaskog</t>
        </is>
      </c>
      <c r="I82" t="n">
        <v>2.9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5679-2024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45334</v>
      </c>
      <c r="E83" s="1" t="n">
        <v>46319</v>
      </c>
      <c r="F83" t="inlineStr">
        <is>
          <t>JÖNKÖPINGS LÄN</t>
        </is>
      </c>
      <c r="G83" t="inlineStr">
        <is>
          <t>SÄVSJÖ</t>
        </is>
      </c>
      <c r="I83" t="n">
        <v>3.7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46609-2023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45198</v>
      </c>
      <c r="E84" s="1" t="n">
        <v>46319</v>
      </c>
      <c r="F84" t="inlineStr">
        <is>
          <t>JÖNKÖPINGS LÄN</t>
        </is>
      </c>
      <c r="G84" t="inlineStr">
        <is>
          <t>SÄVSJÖ</t>
        </is>
      </c>
      <c r="I84" t="n">
        <v>1.4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37980-2025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45881</v>
      </c>
      <c r="E85" s="1" t="n">
        <v>46319</v>
      </c>
      <c r="F85" t="inlineStr">
        <is>
          <t>JÖNKÖPINGS LÄN</t>
        </is>
      </c>
      <c r="G85" t="inlineStr">
        <is>
          <t>SÄVSJÖ</t>
        </is>
      </c>
      <c r="I85" t="n">
        <v>2.7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6292-2024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45338</v>
      </c>
      <c r="E86" s="1" t="n">
        <v>46319</v>
      </c>
      <c r="F86" t="inlineStr">
        <is>
          <t>JÖNKÖPINGS LÄN</t>
        </is>
      </c>
      <c r="G86" t="inlineStr">
        <is>
          <t>SÄVSJÖ</t>
        </is>
      </c>
      <c r="I86" t="n">
        <v>3.2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32177-2022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44781</v>
      </c>
      <c r="E87" s="1" t="n">
        <v>46319</v>
      </c>
      <c r="F87" t="inlineStr">
        <is>
          <t>JÖNKÖPINGS LÄN</t>
        </is>
      </c>
      <c r="G87" t="inlineStr">
        <is>
          <t>SÄVSJÖ</t>
        </is>
      </c>
      <c r="I87" t="n">
        <v>1.9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297-2023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44929</v>
      </c>
      <c r="E88" s="1" t="n">
        <v>46319</v>
      </c>
      <c r="F88" t="inlineStr">
        <is>
          <t>JÖNKÖPINGS LÄN</t>
        </is>
      </c>
      <c r="G88" t="inlineStr">
        <is>
          <t>SÄVSJÖ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60915-2023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45261</v>
      </c>
      <c r="E89" s="1" t="n">
        <v>46319</v>
      </c>
      <c r="F89" t="inlineStr">
        <is>
          <t>JÖNKÖPINGS LÄN</t>
        </is>
      </c>
      <c r="G89" t="inlineStr">
        <is>
          <t>SÄVSJÖ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42400-2022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44830</v>
      </c>
      <c r="E90" s="1" t="n">
        <v>46319</v>
      </c>
      <c r="F90" t="inlineStr">
        <is>
          <t>JÖNKÖPINGS LÄN</t>
        </is>
      </c>
      <c r="G90" t="inlineStr">
        <is>
          <t>SÄVSJÖ</t>
        </is>
      </c>
      <c r="I90" t="n">
        <v>1.9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41914-2025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45903</v>
      </c>
      <c r="E91" s="1" t="n">
        <v>46319</v>
      </c>
      <c r="F91" t="inlineStr">
        <is>
          <t>JÖNKÖPINGS LÄN</t>
        </is>
      </c>
      <c r="G91" t="inlineStr">
        <is>
          <t>SÄVSJÖ</t>
        </is>
      </c>
      <c r="I91" t="n">
        <v>0.9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38505-2025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45884</v>
      </c>
      <c r="E92" s="1" t="n">
        <v>46319</v>
      </c>
      <c r="F92" t="inlineStr">
        <is>
          <t>JÖNKÖPINGS LÄN</t>
        </is>
      </c>
      <c r="G92" t="inlineStr">
        <is>
          <t>SÄVSJÖ</t>
        </is>
      </c>
      <c r="I92" t="n">
        <v>4.2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42384-2025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45905</v>
      </c>
      <c r="E93" s="1" t="n">
        <v>46319</v>
      </c>
      <c r="F93" t="inlineStr">
        <is>
          <t>JÖNKÖPINGS LÄN</t>
        </is>
      </c>
      <c r="G93" t="inlineStr">
        <is>
          <t>SÄVSJÖ</t>
        </is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43303-2025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45910</v>
      </c>
      <c r="E94" s="1" t="n">
        <v>46319</v>
      </c>
      <c r="F94" t="inlineStr">
        <is>
          <t>JÖNKÖPINGS LÄN</t>
        </is>
      </c>
      <c r="G94" t="inlineStr">
        <is>
          <t>SÄVSJÖ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56617-2022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44893</v>
      </c>
      <c r="E95" s="1" t="n">
        <v>46319</v>
      </c>
      <c r="F95" t="inlineStr">
        <is>
          <t>JÖNKÖPINGS LÄN</t>
        </is>
      </c>
      <c r="G95" t="inlineStr">
        <is>
          <t>SÄVSJÖ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7780-2025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45706</v>
      </c>
      <c r="E96" s="1" t="n">
        <v>46319</v>
      </c>
      <c r="F96" t="inlineStr">
        <is>
          <t>JÖNKÖPINGS LÄN</t>
        </is>
      </c>
      <c r="G96" t="inlineStr">
        <is>
          <t>SÄVSJÖ</t>
        </is>
      </c>
      <c r="I96" t="n">
        <v>1.8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23776-2026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46164</v>
      </c>
      <c r="E97" s="1" t="n">
        <v>46319</v>
      </c>
      <c r="F97" t="inlineStr">
        <is>
          <t>JÖNKÖPINGS LÄN</t>
        </is>
      </c>
      <c r="G97" t="inlineStr">
        <is>
          <t>SÄVSJÖ</t>
        </is>
      </c>
      <c r="I97" t="n">
        <v>1.6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51938-2024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45607</v>
      </c>
      <c r="E98" s="1" t="n">
        <v>46319</v>
      </c>
      <c r="F98" t="inlineStr">
        <is>
          <t>JÖNKÖPINGS LÄN</t>
        </is>
      </c>
      <c r="G98" t="inlineStr">
        <is>
          <t>SÄVSJÖ</t>
        </is>
      </c>
      <c r="I98" t="n">
        <v>5.4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24232-2026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46168</v>
      </c>
      <c r="E99" s="1" t="n">
        <v>46319</v>
      </c>
      <c r="F99" t="inlineStr">
        <is>
          <t>JÖNKÖPINGS LÄN</t>
        </is>
      </c>
      <c r="G99" t="inlineStr">
        <is>
          <t>SÄVSJÖ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23816-2026</t>
        </is>
      </c>
      <c r="B100" t="inlineStr">
        <is>
          <t>avverkningsanmälan</t>
        </is>
      </c>
      <c r="C100" t="inlineStr">
        <is>
          <t>Avverkning för annat ändamål</t>
        </is>
      </c>
      <c r="D100" s="1" t="n">
        <v>46165</v>
      </c>
      <c r="E100" s="1" t="n">
        <v>46319</v>
      </c>
      <c r="F100" t="inlineStr">
        <is>
          <t>JÖNKÖPINGS LÄN</t>
        </is>
      </c>
      <c r="G100" t="inlineStr">
        <is>
          <t>SÄVSJÖ</t>
        </is>
      </c>
      <c r="I100" t="n">
        <v>1.2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62421-2023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45268</v>
      </c>
      <c r="E101" s="1" t="n">
        <v>46319</v>
      </c>
      <c r="F101" t="inlineStr">
        <is>
          <t>JÖNKÖPINGS LÄN</t>
        </is>
      </c>
      <c r="G101" t="inlineStr">
        <is>
          <t>SÄVSJÖ</t>
        </is>
      </c>
      <c r="I101" t="n">
        <v>2.1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49292-2023</t>
        </is>
      </c>
      <c r="B102" t="inlineStr">
        <is>
          <t>avverkningsanmälan</t>
        </is>
      </c>
      <c r="C102" t="inlineStr">
        <is>
          <t>Avverkning för att bevara och utveckla /försöksver</t>
        </is>
      </c>
      <c r="D102" s="1" t="n">
        <v>45210</v>
      </c>
      <c r="E102" s="1" t="n">
        <v>46319</v>
      </c>
      <c r="F102" t="inlineStr">
        <is>
          <t>JÖNKÖPINGS LÄN</t>
        </is>
      </c>
      <c r="G102" t="inlineStr">
        <is>
          <t>SÄVSJÖ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49449-2023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45211</v>
      </c>
      <c r="E103" s="1" t="n">
        <v>46319</v>
      </c>
      <c r="F103" t="inlineStr">
        <is>
          <t>JÖNKÖPINGS LÄN</t>
        </is>
      </c>
      <c r="G103" t="inlineStr">
        <is>
          <t>SÄVSJÖ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37108-2022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44806</v>
      </c>
      <c r="E104" s="1" t="n">
        <v>46319</v>
      </c>
      <c r="F104" t="inlineStr">
        <is>
          <t>JÖNKÖPINGS LÄN</t>
        </is>
      </c>
      <c r="G104" t="inlineStr">
        <is>
          <t>SÄVSJÖ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62178-2023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45267</v>
      </c>
      <c r="E105" s="1" t="n">
        <v>46319</v>
      </c>
      <c r="F105" t="inlineStr">
        <is>
          <t>JÖNKÖPINGS LÄN</t>
        </is>
      </c>
      <c r="G105" t="inlineStr">
        <is>
          <t>SÄVSJÖ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17883-2024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45419</v>
      </c>
      <c r="E106" s="1" t="n">
        <v>46319</v>
      </c>
      <c r="F106" t="inlineStr">
        <is>
          <t>JÖNKÖPINGS LÄN</t>
        </is>
      </c>
      <c r="G106" t="inlineStr">
        <is>
          <t>SÄVSJÖ</t>
        </is>
      </c>
      <c r="I106" t="n">
        <v>1.4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11931-2023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44995</v>
      </c>
      <c r="E107" s="1" t="n">
        <v>46319</v>
      </c>
      <c r="F107" t="inlineStr">
        <is>
          <t>JÖNKÖPINGS LÄN</t>
        </is>
      </c>
      <c r="G107" t="inlineStr">
        <is>
          <t>SÄVSJÖ</t>
        </is>
      </c>
      <c r="I107" t="n">
        <v>2.7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22730-2024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45448</v>
      </c>
      <c r="E108" s="1" t="n">
        <v>46319</v>
      </c>
      <c r="F108" t="inlineStr">
        <is>
          <t>JÖNKÖPINGS LÄN</t>
        </is>
      </c>
      <c r="G108" t="inlineStr">
        <is>
          <t>SÄVSJÖ</t>
        </is>
      </c>
      <c r="I108" t="n">
        <v>1.8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22222-2024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45446</v>
      </c>
      <c r="E109" s="1" t="n">
        <v>46319</v>
      </c>
      <c r="F109" t="inlineStr">
        <is>
          <t>JÖNKÖPINGS LÄN</t>
        </is>
      </c>
      <c r="G109" t="inlineStr">
        <is>
          <t>SÄVSJÖ</t>
        </is>
      </c>
      <c r="I109" t="n">
        <v>5.3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19847-2023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45053</v>
      </c>
      <c r="E110" s="1" t="n">
        <v>46319</v>
      </c>
      <c r="F110" t="inlineStr">
        <is>
          <t>JÖNKÖPINGS LÄN</t>
        </is>
      </c>
      <c r="G110" t="inlineStr">
        <is>
          <t>SÄVSJÖ</t>
        </is>
      </c>
      <c r="I110" t="n">
        <v>2.6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3306-2024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45317</v>
      </c>
      <c r="E111" s="1" t="n">
        <v>46319</v>
      </c>
      <c r="F111" t="inlineStr">
        <is>
          <t>JÖNKÖPINGS LÄN</t>
        </is>
      </c>
      <c r="G111" t="inlineStr">
        <is>
          <t>SÄVSJÖ</t>
        </is>
      </c>
      <c r="I111" t="n">
        <v>19.9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11266-2024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45371</v>
      </c>
      <c r="E112" s="1" t="n">
        <v>46319</v>
      </c>
      <c r="F112" t="inlineStr">
        <is>
          <t>JÖNKÖPINGS LÄN</t>
        </is>
      </c>
      <c r="G112" t="inlineStr">
        <is>
          <t>SÄVSJÖ</t>
        </is>
      </c>
      <c r="I112" t="n">
        <v>5.4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50791-2025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45946</v>
      </c>
      <c r="E113" s="1" t="n">
        <v>46319</v>
      </c>
      <c r="F113" t="inlineStr">
        <is>
          <t>JÖNKÖPINGS LÄN</t>
        </is>
      </c>
      <c r="G113" t="inlineStr">
        <is>
          <t>SÄVSJÖ</t>
        </is>
      </c>
      <c r="I113" t="n">
        <v>1.5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23637-2024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45454</v>
      </c>
      <c r="E114" s="1" t="n">
        <v>46319</v>
      </c>
      <c r="F114" t="inlineStr">
        <is>
          <t>JÖNKÖPINGS LÄN</t>
        </is>
      </c>
      <c r="G114" t="inlineStr">
        <is>
          <t>SÄVSJÖ</t>
        </is>
      </c>
      <c r="I114" t="n">
        <v>1.1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59125-2023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45253</v>
      </c>
      <c r="E115" s="1" t="n">
        <v>46319</v>
      </c>
      <c r="F115" t="inlineStr">
        <is>
          <t>JÖNKÖPINGS LÄN</t>
        </is>
      </c>
      <c r="G115" t="inlineStr">
        <is>
          <t>SÄVSJÖ</t>
        </is>
      </c>
      <c r="I115" t="n">
        <v>3.8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10284-2024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45365</v>
      </c>
      <c r="E116" s="1" t="n">
        <v>46319</v>
      </c>
      <c r="F116" t="inlineStr">
        <is>
          <t>JÖNKÖPINGS LÄN</t>
        </is>
      </c>
      <c r="G116" t="inlineStr">
        <is>
          <t>SÄVSJÖ</t>
        </is>
      </c>
      <c r="I116" t="n">
        <v>1.9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19759-2025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45771</v>
      </c>
      <c r="E117" s="1" t="n">
        <v>46319</v>
      </c>
      <c r="F117" t="inlineStr">
        <is>
          <t>JÖNKÖPINGS LÄN</t>
        </is>
      </c>
      <c r="G117" t="inlineStr">
        <is>
          <t>SÄVSJÖ</t>
        </is>
      </c>
      <c r="I117" t="n">
        <v>0.9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16368-2024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45407</v>
      </c>
      <c r="E118" s="1" t="n">
        <v>46319</v>
      </c>
      <c r="F118" t="inlineStr">
        <is>
          <t>JÖNKÖPINGS LÄN</t>
        </is>
      </c>
      <c r="G118" t="inlineStr">
        <is>
          <t>SÄVSJÖ</t>
        </is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16372-2024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45407</v>
      </c>
      <c r="E119" s="1" t="n">
        <v>46319</v>
      </c>
      <c r="F119" t="inlineStr">
        <is>
          <t>JÖNKÖPINGS LÄN</t>
        </is>
      </c>
      <c r="G119" t="inlineStr">
        <is>
          <t>SÄVSJÖ</t>
        </is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52363-2025</t>
        </is>
      </c>
      <c r="B120" t="inlineStr">
        <is>
          <t>avverkningsanmälan</t>
        </is>
      </c>
      <c r="C120" t="inlineStr">
        <is>
          <t>Avverkning för annat ändamål</t>
        </is>
      </c>
      <c r="D120" s="1" t="n">
        <v>45953</v>
      </c>
      <c r="E120" s="1" t="n">
        <v>46319</v>
      </c>
      <c r="F120" t="inlineStr">
        <is>
          <t>JÖNKÖPINGS LÄN</t>
        </is>
      </c>
      <c r="G120" t="inlineStr">
        <is>
          <t>SÄVSJÖ</t>
        </is>
      </c>
      <c r="I120" t="n">
        <v>0.9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52314-2025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45953</v>
      </c>
      <c r="E121" s="1" t="n">
        <v>46319</v>
      </c>
      <c r="F121" t="inlineStr">
        <is>
          <t>JÖNKÖPINGS LÄN</t>
        </is>
      </c>
      <c r="G121" t="inlineStr">
        <is>
          <t>SÄVSJÖ</t>
        </is>
      </c>
      <c r="I121" t="n">
        <v>1.3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52857-2025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45954</v>
      </c>
      <c r="E122" s="1" t="n">
        <v>46319</v>
      </c>
      <c r="F122" t="inlineStr">
        <is>
          <t>JÖNKÖPINGS LÄN</t>
        </is>
      </c>
      <c r="G122" t="inlineStr">
        <is>
          <t>SÄVSJÖ</t>
        </is>
      </c>
      <c r="I122" t="n">
        <v>1.3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52361-2025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45953</v>
      </c>
      <c r="E123" s="1" t="n">
        <v>46319</v>
      </c>
      <c r="F123" t="inlineStr">
        <is>
          <t>JÖNKÖPINGS LÄN</t>
        </is>
      </c>
      <c r="G123" t="inlineStr">
        <is>
          <t>SÄVSJÖ</t>
        </is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52360-2025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45953</v>
      </c>
      <c r="E124" s="1" t="n">
        <v>46319</v>
      </c>
      <c r="F124" t="inlineStr">
        <is>
          <t>JÖNKÖPINGS LÄN</t>
        </is>
      </c>
      <c r="G124" t="inlineStr">
        <is>
          <t>SÄVSJÖ</t>
        </is>
      </c>
      <c r="I124" t="n">
        <v>4.9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49708-2023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45212</v>
      </c>
      <c r="E125" s="1" t="n">
        <v>46319</v>
      </c>
      <c r="F125" t="inlineStr">
        <is>
          <t>JÖNKÖPINGS LÄN</t>
        </is>
      </c>
      <c r="G125" t="inlineStr">
        <is>
          <t>SÄVSJÖ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52810-2025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45957</v>
      </c>
      <c r="E126" s="1" t="n">
        <v>46319</v>
      </c>
      <c r="F126" t="inlineStr">
        <is>
          <t>JÖNKÖPINGS LÄN</t>
        </is>
      </c>
      <c r="G126" t="inlineStr">
        <is>
          <t>SÄVSJÖ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19017-2025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45764</v>
      </c>
      <c r="E127" s="1" t="n">
        <v>46319</v>
      </c>
      <c r="F127" t="inlineStr">
        <is>
          <t>JÖNKÖPINGS LÄN</t>
        </is>
      </c>
      <c r="G127" t="inlineStr">
        <is>
          <t>SÄVSJÖ</t>
        </is>
      </c>
      <c r="I127" t="n">
        <v>2.1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53302-2025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45959</v>
      </c>
      <c r="E128" s="1" t="n">
        <v>46319</v>
      </c>
      <c r="F128" t="inlineStr">
        <is>
          <t>JÖNKÖPINGS LÄN</t>
        </is>
      </c>
      <c r="G128" t="inlineStr">
        <is>
          <t>SÄVSJÖ</t>
        </is>
      </c>
      <c r="I128" t="n">
        <v>4.2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53307-2025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45959</v>
      </c>
      <c r="E129" s="1" t="n">
        <v>46319</v>
      </c>
      <c r="F129" t="inlineStr">
        <is>
          <t>JÖNKÖPINGS LÄN</t>
        </is>
      </c>
      <c r="G129" t="inlineStr">
        <is>
          <t>SÄVSJÖ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908-2024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45301</v>
      </c>
      <c r="E130" s="1" t="n">
        <v>46319</v>
      </c>
      <c r="F130" t="inlineStr">
        <is>
          <t>JÖNKÖPINGS LÄN</t>
        </is>
      </c>
      <c r="G130" t="inlineStr">
        <is>
          <t>SÄVSJÖ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2860-2024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45315</v>
      </c>
      <c r="E131" s="1" t="n">
        <v>46319</v>
      </c>
      <c r="F131" t="inlineStr">
        <is>
          <t>JÖNKÖPINGS LÄN</t>
        </is>
      </c>
      <c r="G131" t="inlineStr">
        <is>
          <t>SÄVSJÖ</t>
        </is>
      </c>
      <c r="I131" t="n">
        <v>0.6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54275-2025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45964</v>
      </c>
      <c r="E132" s="1" t="n">
        <v>46319</v>
      </c>
      <c r="F132" t="inlineStr">
        <is>
          <t>JÖNKÖPINGS LÄN</t>
        </is>
      </c>
      <c r="G132" t="inlineStr">
        <is>
          <t>SÄVSJÖ</t>
        </is>
      </c>
      <c r="I132" t="n">
        <v>1.1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28423-2023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45102</v>
      </c>
      <c r="E133" s="1" t="n">
        <v>46319</v>
      </c>
      <c r="F133" t="inlineStr">
        <is>
          <t>JÖNKÖPINGS LÄN</t>
        </is>
      </c>
      <c r="G133" t="inlineStr">
        <is>
          <t>SÄVSJÖ</t>
        </is>
      </c>
      <c r="I133" t="n">
        <v>1.9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50629-2022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44866</v>
      </c>
      <c r="E134" s="1" t="n">
        <v>46319</v>
      </c>
      <c r="F134" t="inlineStr">
        <is>
          <t>JÖNKÖPINGS LÄN</t>
        </is>
      </c>
      <c r="G134" t="inlineStr">
        <is>
          <t>SÄVSJÖ</t>
        </is>
      </c>
      <c r="I134" t="n">
        <v>5.6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15834-2022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44664</v>
      </c>
      <c r="E135" s="1" t="n">
        <v>46319</v>
      </c>
      <c r="F135" t="inlineStr">
        <is>
          <t>JÖNKÖPINGS LÄN</t>
        </is>
      </c>
      <c r="G135" t="inlineStr">
        <is>
          <t>SÄVSJÖ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12807-2022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44642</v>
      </c>
      <c r="E136" s="1" t="n">
        <v>46319</v>
      </c>
      <c r="F136" t="inlineStr">
        <is>
          <t>JÖNKÖPINGS LÄN</t>
        </is>
      </c>
      <c r="G136" t="inlineStr">
        <is>
          <t>SÄVSJÖ</t>
        </is>
      </c>
      <c r="I136" t="n">
        <v>1.3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27897-2026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46191</v>
      </c>
      <c r="E137" s="1" t="n">
        <v>46319</v>
      </c>
      <c r="F137" t="inlineStr">
        <is>
          <t>JÖNKÖPINGS LÄN</t>
        </is>
      </c>
      <c r="G137" t="inlineStr">
        <is>
          <t>SÄVSJÖ</t>
        </is>
      </c>
      <c r="H137" t="inlineStr">
        <is>
          <t>Kommuner</t>
        </is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53102-2023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45228</v>
      </c>
      <c r="E138" s="1" t="n">
        <v>46319</v>
      </c>
      <c r="F138" t="inlineStr">
        <is>
          <t>JÖNKÖPINGS LÄN</t>
        </is>
      </c>
      <c r="G138" t="inlineStr">
        <is>
          <t>SÄVSJÖ</t>
        </is>
      </c>
      <c r="I138" t="n">
        <v>5.3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54759-2025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45966</v>
      </c>
      <c r="E139" s="1" t="n">
        <v>46319</v>
      </c>
      <c r="F139" t="inlineStr">
        <is>
          <t>JÖNKÖPINGS LÄN</t>
        </is>
      </c>
      <c r="G139" t="inlineStr">
        <is>
          <t>SÄVSJÖ</t>
        </is>
      </c>
      <c r="I139" t="n">
        <v>3.6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27890-2026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46191</v>
      </c>
      <c r="E140" s="1" t="n">
        <v>46319</v>
      </c>
      <c r="F140" t="inlineStr">
        <is>
          <t>JÖNKÖPINGS LÄN</t>
        </is>
      </c>
      <c r="G140" t="inlineStr">
        <is>
          <t>SÄVSJÖ</t>
        </is>
      </c>
      <c r="H140" t="inlineStr">
        <is>
          <t>Kommuner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54883-2025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45967</v>
      </c>
      <c r="E141" s="1" t="n">
        <v>46319</v>
      </c>
      <c r="F141" t="inlineStr">
        <is>
          <t>JÖNKÖPINGS LÄN</t>
        </is>
      </c>
      <c r="G141" t="inlineStr">
        <is>
          <t>SÄVSJÖ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55358-2025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45971</v>
      </c>
      <c r="E142" s="1" t="n">
        <v>46319</v>
      </c>
      <c r="F142" t="inlineStr">
        <is>
          <t>JÖNKÖPINGS LÄN</t>
        </is>
      </c>
      <c r="G142" t="inlineStr">
        <is>
          <t>SÄVSJÖ</t>
        </is>
      </c>
      <c r="I142" t="n">
        <v>2.6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10516-2024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45366</v>
      </c>
      <c r="E143" s="1" t="n">
        <v>46319</v>
      </c>
      <c r="F143" t="inlineStr">
        <is>
          <t>JÖNKÖPINGS LÄN</t>
        </is>
      </c>
      <c r="G143" t="inlineStr">
        <is>
          <t>SÄVSJÖ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11258-2024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45371</v>
      </c>
      <c r="E144" s="1" t="n">
        <v>46319</v>
      </c>
      <c r="F144" t="inlineStr">
        <is>
          <t>JÖNKÖPINGS LÄN</t>
        </is>
      </c>
      <c r="G144" t="inlineStr">
        <is>
          <t>SÄVSJÖ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15058-2023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45015</v>
      </c>
      <c r="E145" s="1" t="n">
        <v>46319</v>
      </c>
      <c r="F145" t="inlineStr">
        <is>
          <t>JÖNKÖPINGS LÄN</t>
        </is>
      </c>
      <c r="G145" t="inlineStr">
        <is>
          <t>SÄVSJÖ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56829-2025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45978</v>
      </c>
      <c r="E146" s="1" t="n">
        <v>46319</v>
      </c>
      <c r="F146" t="inlineStr">
        <is>
          <t>JÖNKÖPINGS LÄN</t>
        </is>
      </c>
      <c r="G146" t="inlineStr">
        <is>
          <t>SÄVSJÖ</t>
        </is>
      </c>
      <c r="I146" t="n">
        <v>3.7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27015-2023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45094</v>
      </c>
      <c r="E147" s="1" t="n">
        <v>46319</v>
      </c>
      <c r="F147" t="inlineStr">
        <is>
          <t>JÖNKÖPINGS LÄN</t>
        </is>
      </c>
      <c r="G147" t="inlineStr">
        <is>
          <t>SÄVSJÖ</t>
        </is>
      </c>
      <c r="I147" t="n">
        <v>2.5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52965-2024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45611</v>
      </c>
      <c r="E148" s="1" t="n">
        <v>46319</v>
      </c>
      <c r="F148" t="inlineStr">
        <is>
          <t>JÖNKÖPINGS LÄN</t>
        </is>
      </c>
      <c r="G148" t="inlineStr">
        <is>
          <t>SÄVSJÖ</t>
        </is>
      </c>
      <c r="I148" t="n">
        <v>0.7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995-2023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44935</v>
      </c>
      <c r="E149" s="1" t="n">
        <v>46319</v>
      </c>
      <c r="F149" t="inlineStr">
        <is>
          <t>JÖNKÖPINGS LÄN</t>
        </is>
      </c>
      <c r="G149" t="inlineStr">
        <is>
          <t>SÄVSJÖ</t>
        </is>
      </c>
      <c r="H149" t="inlineStr">
        <is>
          <t>Sveaskog</t>
        </is>
      </c>
      <c r="I149" t="n">
        <v>0.8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56453-2025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45975</v>
      </c>
      <c r="E150" s="1" t="n">
        <v>46319</v>
      </c>
      <c r="F150" t="inlineStr">
        <is>
          <t>JÖNKÖPINGS LÄN</t>
        </is>
      </c>
      <c r="G150" t="inlineStr">
        <is>
          <t>SÄVSJÖ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56460-2025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45975</v>
      </c>
      <c r="E151" s="1" t="n">
        <v>46319</v>
      </c>
      <c r="F151" t="inlineStr">
        <is>
          <t>JÖNKÖPINGS LÄN</t>
        </is>
      </c>
      <c r="G151" t="inlineStr">
        <is>
          <t>SÄVSJÖ</t>
        </is>
      </c>
      <c r="I151" t="n">
        <v>2.8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56456-2025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45975</v>
      </c>
      <c r="E152" s="1" t="n">
        <v>46319</v>
      </c>
      <c r="F152" t="inlineStr">
        <is>
          <t>JÖNKÖPINGS LÄN</t>
        </is>
      </c>
      <c r="G152" t="inlineStr">
        <is>
          <t>SÄVSJÖ</t>
        </is>
      </c>
      <c r="I152" t="n">
        <v>1.7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6649-2024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45341</v>
      </c>
      <c r="E153" s="1" t="n">
        <v>46319</v>
      </c>
      <c r="F153" t="inlineStr">
        <is>
          <t>JÖNKÖPINGS LÄN</t>
        </is>
      </c>
      <c r="G153" t="inlineStr">
        <is>
          <t>SÄVSJÖ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57852-2025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45981</v>
      </c>
      <c r="E154" s="1" t="n">
        <v>46319</v>
      </c>
      <c r="F154" t="inlineStr">
        <is>
          <t>JÖNKÖPINGS LÄN</t>
        </is>
      </c>
      <c r="G154" t="inlineStr">
        <is>
          <t>SÄVSJÖ</t>
        </is>
      </c>
      <c r="I154" t="n">
        <v>0.8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5673-2024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45334</v>
      </c>
      <c r="E155" s="1" t="n">
        <v>46319</v>
      </c>
      <c r="F155" t="inlineStr">
        <is>
          <t>JÖNKÖPINGS LÄN</t>
        </is>
      </c>
      <c r="G155" t="inlineStr">
        <is>
          <t>SÄVSJÖ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10210-2025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45719</v>
      </c>
      <c r="E156" s="1" t="n">
        <v>46319</v>
      </c>
      <c r="F156" t="inlineStr">
        <is>
          <t>JÖNKÖPINGS LÄN</t>
        </is>
      </c>
      <c r="G156" t="inlineStr">
        <is>
          <t>SÄVSJÖ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59057-2023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45252</v>
      </c>
      <c r="E157" s="1" t="n">
        <v>46319</v>
      </c>
      <c r="F157" t="inlineStr">
        <is>
          <t>JÖNKÖPINGS LÄN</t>
        </is>
      </c>
      <c r="G157" t="inlineStr">
        <is>
          <t>SÄVSJÖ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58725-2025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45986</v>
      </c>
      <c r="E158" s="1" t="n">
        <v>46319</v>
      </c>
      <c r="F158" t="inlineStr">
        <is>
          <t>JÖNKÖPINGS LÄN</t>
        </is>
      </c>
      <c r="G158" t="inlineStr">
        <is>
          <t>SÄVSJÖ</t>
        </is>
      </c>
      <c r="I158" t="n">
        <v>5.4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3662-2024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45321</v>
      </c>
      <c r="E159" s="1" t="n">
        <v>46319</v>
      </c>
      <c r="F159" t="inlineStr">
        <is>
          <t>JÖNKÖPINGS LÄN</t>
        </is>
      </c>
      <c r="G159" t="inlineStr">
        <is>
          <t>SÄVSJÖ</t>
        </is>
      </c>
      <c r="I159" t="n">
        <v>0.8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58712-2025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45986</v>
      </c>
      <c r="E160" s="1" t="n">
        <v>46319</v>
      </c>
      <c r="F160" t="inlineStr">
        <is>
          <t>JÖNKÖPINGS LÄN</t>
        </is>
      </c>
      <c r="G160" t="inlineStr">
        <is>
          <t>SÄVSJÖ</t>
        </is>
      </c>
      <c r="I160" t="n">
        <v>1.9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6914-2023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44964</v>
      </c>
      <c r="E161" s="1" t="n">
        <v>46319</v>
      </c>
      <c r="F161" t="inlineStr">
        <is>
          <t>JÖNKÖPINGS LÄN</t>
        </is>
      </c>
      <c r="G161" t="inlineStr">
        <is>
          <t>SÄVSJÖ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12952-2023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45001</v>
      </c>
      <c r="E162" s="1" t="n">
        <v>46319</v>
      </c>
      <c r="F162" t="inlineStr">
        <is>
          <t>JÖNKÖPINGS LÄN</t>
        </is>
      </c>
      <c r="G162" t="inlineStr">
        <is>
          <t>SÄVSJÖ</t>
        </is>
      </c>
      <c r="H162" t="inlineStr">
        <is>
          <t>Kyrkan</t>
        </is>
      </c>
      <c r="I162" t="n">
        <v>0.6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17140-2025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45755</v>
      </c>
      <c r="E163" s="1" t="n">
        <v>46319</v>
      </c>
      <c r="F163" t="inlineStr">
        <is>
          <t>JÖNKÖPINGS LÄN</t>
        </is>
      </c>
      <c r="G163" t="inlineStr">
        <is>
          <t>SÄVSJÖ</t>
        </is>
      </c>
      <c r="I163" t="n">
        <v>1.8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59126-2023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45253</v>
      </c>
      <c r="E164" s="1" t="n">
        <v>46319</v>
      </c>
      <c r="F164" t="inlineStr">
        <is>
          <t>JÖNKÖPINGS LÄN</t>
        </is>
      </c>
      <c r="G164" t="inlineStr">
        <is>
          <t>SÄVSJÖ</t>
        </is>
      </c>
      <c r="I164" t="n">
        <v>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59332-2025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45989</v>
      </c>
      <c r="E165" s="1" t="n">
        <v>46319</v>
      </c>
      <c r="F165" t="inlineStr">
        <is>
          <t>JÖNKÖPINGS LÄN</t>
        </is>
      </c>
      <c r="G165" t="inlineStr">
        <is>
          <t>SÄVSJÖ</t>
        </is>
      </c>
      <c r="H165" t="inlineStr">
        <is>
          <t>Kyrkan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15400-2025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45747</v>
      </c>
      <c r="E166" s="1" t="n">
        <v>46319</v>
      </c>
      <c r="F166" t="inlineStr">
        <is>
          <t>JÖNKÖPINGS LÄN</t>
        </is>
      </c>
      <c r="G166" t="inlineStr">
        <is>
          <t>SÄVSJÖ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7917-2024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45350</v>
      </c>
      <c r="E167" s="1" t="n">
        <v>46319</v>
      </c>
      <c r="F167" t="inlineStr">
        <is>
          <t>JÖNKÖPINGS LÄN</t>
        </is>
      </c>
      <c r="G167" t="inlineStr">
        <is>
          <t>SÄVSJÖ</t>
        </is>
      </c>
      <c r="I167" t="n">
        <v>0.4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5706-2025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45694</v>
      </c>
      <c r="E168" s="1" t="n">
        <v>46319</v>
      </c>
      <c r="F168" t="inlineStr">
        <is>
          <t>JÖNKÖPINGS LÄN</t>
        </is>
      </c>
      <c r="G168" t="inlineStr">
        <is>
          <t>SÄVSJÖ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5708-2025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45694</v>
      </c>
      <c r="E169" s="1" t="n">
        <v>46319</v>
      </c>
      <c r="F169" t="inlineStr">
        <is>
          <t>JÖNKÖPINGS LÄN</t>
        </is>
      </c>
      <c r="G169" t="inlineStr">
        <is>
          <t>SÄVSJÖ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54600-2022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44883</v>
      </c>
      <c r="E170" s="1" t="n">
        <v>46319</v>
      </c>
      <c r="F170" t="inlineStr">
        <is>
          <t>JÖNKÖPINGS LÄN</t>
        </is>
      </c>
      <c r="G170" t="inlineStr">
        <is>
          <t>SÄVSJÖ</t>
        </is>
      </c>
      <c r="I170" t="n">
        <v>3.4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60331-2025</t>
        </is>
      </c>
      <c r="B171" t="inlineStr">
        <is>
          <t>avverkningsanmälan</t>
        </is>
      </c>
      <c r="C171" t="inlineStr">
        <is>
          <t>Avverkning för annat ändamål</t>
        </is>
      </c>
      <c r="D171" s="1" t="n">
        <v>45993</v>
      </c>
      <c r="E171" s="1" t="n">
        <v>46319</v>
      </c>
      <c r="F171" t="inlineStr">
        <is>
          <t>JÖNKÖPINGS LÄN</t>
        </is>
      </c>
      <c r="G171" t="inlineStr">
        <is>
          <t>SÄVSJÖ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61408-2024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45646</v>
      </c>
      <c r="E172" s="1" t="n">
        <v>46319</v>
      </c>
      <c r="F172" t="inlineStr">
        <is>
          <t>JÖNKÖPINGS LÄN</t>
        </is>
      </c>
      <c r="G172" t="inlineStr">
        <is>
          <t>SÄVSJÖ</t>
        </is>
      </c>
      <c r="I172" t="n">
        <v>2.9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14062-2026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46099</v>
      </c>
      <c r="E173" s="1" t="n">
        <v>46319</v>
      </c>
      <c r="F173" t="inlineStr">
        <is>
          <t>JÖNKÖPINGS LÄN</t>
        </is>
      </c>
      <c r="G173" t="inlineStr">
        <is>
          <t>SÄVSJÖ</t>
        </is>
      </c>
      <c r="I173" t="n">
        <v>6.6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2855-2024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45315</v>
      </c>
      <c r="E174" s="1" t="n">
        <v>46319</v>
      </c>
      <c r="F174" t="inlineStr">
        <is>
          <t>JÖNKÖPINGS LÄN</t>
        </is>
      </c>
      <c r="G174" t="inlineStr">
        <is>
          <t>SÄVSJÖ</t>
        </is>
      </c>
      <c r="I174" t="n">
        <v>1.2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31721-2026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46226</v>
      </c>
      <c r="E175" s="1" t="n">
        <v>46319</v>
      </c>
      <c r="F175" t="inlineStr">
        <is>
          <t>JÖNKÖPINGS LÄN</t>
        </is>
      </c>
      <c r="G175" t="inlineStr">
        <is>
          <t>SÄVSJÖ</t>
        </is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51921-2023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45223</v>
      </c>
      <c r="E176" s="1" t="n">
        <v>46319</v>
      </c>
      <c r="F176" t="inlineStr">
        <is>
          <t>JÖNKÖPINGS LÄN</t>
        </is>
      </c>
      <c r="G176" t="inlineStr">
        <is>
          <t>SÄVSJÖ</t>
        </is>
      </c>
      <c r="I176" t="n">
        <v>2.6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62870-2025</t>
        </is>
      </c>
      <c r="B177" t="inlineStr">
        <is>
          <t>avverkningsanmälan</t>
        </is>
      </c>
      <c r="C177" t="inlineStr">
        <is>
          <t>Avverkning för annat ändamål</t>
        </is>
      </c>
      <c r="D177" s="1" t="n">
        <v>46008</v>
      </c>
      <c r="E177" s="1" t="n">
        <v>46319</v>
      </c>
      <c r="F177" t="inlineStr">
        <is>
          <t>JÖNKÖPINGS LÄN</t>
        </is>
      </c>
      <c r="G177" t="inlineStr">
        <is>
          <t>SÄVSJÖ</t>
        </is>
      </c>
      <c r="I177" t="n">
        <v>0.7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17127-2024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45412</v>
      </c>
      <c r="E178" s="1" t="n">
        <v>46319</v>
      </c>
      <c r="F178" t="inlineStr">
        <is>
          <t>JÖNKÖPINGS LÄN</t>
        </is>
      </c>
      <c r="G178" t="inlineStr">
        <is>
          <t>SÄVSJÖ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57928-2023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45244</v>
      </c>
      <c r="E179" s="1" t="n">
        <v>46319</v>
      </c>
      <c r="F179" t="inlineStr">
        <is>
          <t>JÖNKÖPINGS LÄN</t>
        </is>
      </c>
      <c r="G179" t="inlineStr">
        <is>
          <t>SÄVSJÖ</t>
        </is>
      </c>
      <c r="I179" t="n">
        <v>0.7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37665-2026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46276</v>
      </c>
      <c r="E180" s="1" t="n">
        <v>46319</v>
      </c>
      <c r="F180" t="inlineStr">
        <is>
          <t>JÖNKÖPINGS LÄN</t>
        </is>
      </c>
      <c r="G180" t="inlineStr">
        <is>
          <t>SÄVSJÖ</t>
        </is>
      </c>
      <c r="I180" t="n">
        <v>0.8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11185-2025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45725</v>
      </c>
      <c r="E181" s="1" t="n">
        <v>46319</v>
      </c>
      <c r="F181" t="inlineStr">
        <is>
          <t>JÖNKÖPINGS LÄN</t>
        </is>
      </c>
      <c r="G181" t="inlineStr">
        <is>
          <t>SÄVSJÖ</t>
        </is>
      </c>
      <c r="I181" t="n">
        <v>3.1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22733-2024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45448</v>
      </c>
      <c r="E182" s="1" t="n">
        <v>46319</v>
      </c>
      <c r="F182" t="inlineStr">
        <is>
          <t>JÖNKÖPINGS LÄN</t>
        </is>
      </c>
      <c r="G182" t="inlineStr">
        <is>
          <t>SÄVSJÖ</t>
        </is>
      </c>
      <c r="I182" t="n">
        <v>2.2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63352-2025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46010</v>
      </c>
      <c r="E183" s="1" t="n">
        <v>46319</v>
      </c>
      <c r="F183" t="inlineStr">
        <is>
          <t>JÖNKÖPINGS LÄN</t>
        </is>
      </c>
      <c r="G183" t="inlineStr">
        <is>
          <t>SÄVSJÖ</t>
        </is>
      </c>
      <c r="I183" t="n">
        <v>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44397-2024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45573</v>
      </c>
      <c r="E184" s="1" t="n">
        <v>46319</v>
      </c>
      <c r="F184" t="inlineStr">
        <is>
          <t>JÖNKÖPINGS LÄN</t>
        </is>
      </c>
      <c r="G184" t="inlineStr">
        <is>
          <t>SÄVSJÖ</t>
        </is>
      </c>
      <c r="I184" t="n">
        <v>1.6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63599-2025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46014</v>
      </c>
      <c r="E185" s="1" t="n">
        <v>46319</v>
      </c>
      <c r="F185" t="inlineStr">
        <is>
          <t>JÖNKÖPINGS LÄN</t>
        </is>
      </c>
      <c r="G185" t="inlineStr">
        <is>
          <t>SÄVSJÖ</t>
        </is>
      </c>
      <c r="I185" t="n">
        <v>4.6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63668-2025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46014</v>
      </c>
      <c r="E186" s="1" t="n">
        <v>46319</v>
      </c>
      <c r="F186" t="inlineStr">
        <is>
          <t>JÖNKÖPINGS LÄN</t>
        </is>
      </c>
      <c r="G186" t="inlineStr">
        <is>
          <t>SÄVSJÖ</t>
        </is>
      </c>
      <c r="I186" t="n">
        <v>4.8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63660-2025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46014</v>
      </c>
      <c r="E187" s="1" t="n">
        <v>46319</v>
      </c>
      <c r="F187" t="inlineStr">
        <is>
          <t>JÖNKÖPINGS LÄN</t>
        </is>
      </c>
      <c r="G187" t="inlineStr">
        <is>
          <t>SÄVSJÖ</t>
        </is>
      </c>
      <c r="I187" t="n">
        <v>1.4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63633-2025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46014</v>
      </c>
      <c r="E188" s="1" t="n">
        <v>46319</v>
      </c>
      <c r="F188" t="inlineStr">
        <is>
          <t>JÖNKÖPINGS LÄN</t>
        </is>
      </c>
      <c r="G188" t="inlineStr">
        <is>
          <t>SÄVSJÖ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60805-2024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45644</v>
      </c>
      <c r="E189" s="1" t="n">
        <v>46319</v>
      </c>
      <c r="F189" t="inlineStr">
        <is>
          <t>JÖNKÖPINGS LÄN</t>
        </is>
      </c>
      <c r="G189" t="inlineStr">
        <is>
          <t>SÄVSJÖ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17308-2024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45414</v>
      </c>
      <c r="E190" s="1" t="n">
        <v>46319</v>
      </c>
      <c r="F190" t="inlineStr">
        <is>
          <t>JÖNKÖPINGS LÄN</t>
        </is>
      </c>
      <c r="G190" t="inlineStr">
        <is>
          <t>SÄVSJÖ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63752-2025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46017</v>
      </c>
      <c r="E191" s="1" t="n">
        <v>46319</v>
      </c>
      <c r="F191" t="inlineStr">
        <is>
          <t>JÖNKÖPINGS LÄN</t>
        </is>
      </c>
      <c r="G191" t="inlineStr">
        <is>
          <t>SÄVSJÖ</t>
        </is>
      </c>
      <c r="I191" t="n">
        <v>3.2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61331-2024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45646</v>
      </c>
      <c r="E192" s="1" t="n">
        <v>46319</v>
      </c>
      <c r="F192" t="inlineStr">
        <is>
          <t>JÖNKÖPINGS LÄN</t>
        </is>
      </c>
      <c r="G192" t="inlineStr">
        <is>
          <t>SÄVSJÖ</t>
        </is>
      </c>
      <c r="I192" t="n">
        <v>1.9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54533-2023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45226</v>
      </c>
      <c r="E193" s="1" t="n">
        <v>46319</v>
      </c>
      <c r="F193" t="inlineStr">
        <is>
          <t>JÖNKÖPINGS LÄN</t>
        </is>
      </c>
      <c r="G193" t="inlineStr">
        <is>
          <t>SÄVSJÖ</t>
        </is>
      </c>
      <c r="H193" t="inlineStr">
        <is>
          <t>Kyrkan</t>
        </is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23396-2025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45791</v>
      </c>
      <c r="E194" s="1" t="n">
        <v>46319</v>
      </c>
      <c r="F194" t="inlineStr">
        <is>
          <t>JÖNKÖPINGS LÄN</t>
        </is>
      </c>
      <c r="G194" t="inlineStr">
        <is>
          <t>SÄVSJÖ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53154-2024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45611</v>
      </c>
      <c r="E195" s="1" t="n">
        <v>46319</v>
      </c>
      <c r="F195" t="inlineStr">
        <is>
          <t>JÖNKÖPINGS LÄN</t>
        </is>
      </c>
      <c r="G195" t="inlineStr">
        <is>
          <t>SÄVSJÖ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38776-2026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46286</v>
      </c>
      <c r="E196" s="1" t="n">
        <v>46319</v>
      </c>
      <c r="F196" t="inlineStr">
        <is>
          <t>JÖNKÖPINGS LÄN</t>
        </is>
      </c>
      <c r="G196" t="inlineStr">
        <is>
          <t>SÄVSJÖ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23151-2025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45791</v>
      </c>
      <c r="E197" s="1" t="n">
        <v>46319</v>
      </c>
      <c r="F197" t="inlineStr">
        <is>
          <t>JÖNKÖPINGS LÄN</t>
        </is>
      </c>
      <c r="G197" t="inlineStr">
        <is>
          <t>SÄVSJÖ</t>
        </is>
      </c>
      <c r="I197" t="n">
        <v>0.6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38771-2026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46286</v>
      </c>
      <c r="E198" s="1" t="n">
        <v>46319</v>
      </c>
      <c r="F198" t="inlineStr">
        <is>
          <t>JÖNKÖPINGS LÄN</t>
        </is>
      </c>
      <c r="G198" t="inlineStr">
        <is>
          <t>SÄVSJÖ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12794-2025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45733</v>
      </c>
      <c r="E199" s="1" t="n">
        <v>46319</v>
      </c>
      <c r="F199" t="inlineStr">
        <is>
          <t>JÖNKÖPINGS LÄN</t>
        </is>
      </c>
      <c r="G199" t="inlineStr">
        <is>
          <t>SÄVSJÖ</t>
        </is>
      </c>
      <c r="I199" t="n">
        <v>0.7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12804-2025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45733</v>
      </c>
      <c r="E200" s="1" t="n">
        <v>46319</v>
      </c>
      <c r="F200" t="inlineStr">
        <is>
          <t>JÖNKÖPINGS LÄN</t>
        </is>
      </c>
      <c r="G200" t="inlineStr">
        <is>
          <t>SÄVSJÖ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38960-2026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46282</v>
      </c>
      <c r="E201" s="1" t="n">
        <v>46319</v>
      </c>
      <c r="F201" t="inlineStr">
        <is>
          <t>JÖNKÖPINGS LÄN</t>
        </is>
      </c>
      <c r="G201" t="inlineStr">
        <is>
          <t>SÄVSJÖ</t>
        </is>
      </c>
      <c r="I201" t="n">
        <v>2.2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38962-2026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46282</v>
      </c>
      <c r="E202" s="1" t="n">
        <v>46319</v>
      </c>
      <c r="F202" t="inlineStr">
        <is>
          <t>JÖNKÖPINGS LÄN</t>
        </is>
      </c>
      <c r="G202" t="inlineStr">
        <is>
          <t>SÄVSJÖ</t>
        </is>
      </c>
      <c r="I202" t="n">
        <v>6.3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38072-2023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45160</v>
      </c>
      <c r="E203" s="1" t="n">
        <v>46319</v>
      </c>
      <c r="F203" t="inlineStr">
        <is>
          <t>JÖNKÖPINGS LÄN</t>
        </is>
      </c>
      <c r="G203" t="inlineStr">
        <is>
          <t>SÄVSJÖ</t>
        </is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61610-2024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45646</v>
      </c>
      <c r="E204" s="1" t="n">
        <v>46319</v>
      </c>
      <c r="F204" t="inlineStr">
        <is>
          <t>JÖNKÖPINGS LÄN</t>
        </is>
      </c>
      <c r="G204" t="inlineStr">
        <is>
          <t>SÄVSJÖ</t>
        </is>
      </c>
      <c r="I204" t="n">
        <v>1.5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39045-2024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45548</v>
      </c>
      <c r="E205" s="1" t="n">
        <v>46319</v>
      </c>
      <c r="F205" t="inlineStr">
        <is>
          <t>JÖNKÖPINGS LÄN</t>
        </is>
      </c>
      <c r="G205" t="inlineStr">
        <is>
          <t>SÄVSJÖ</t>
        </is>
      </c>
      <c r="I205" t="n">
        <v>6.2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11760-2025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45727</v>
      </c>
      <c r="E206" s="1" t="n">
        <v>46319</v>
      </c>
      <c r="F206" t="inlineStr">
        <is>
          <t>JÖNKÖPINGS LÄN</t>
        </is>
      </c>
      <c r="G206" t="inlineStr">
        <is>
          <t>SÄVSJÖ</t>
        </is>
      </c>
      <c r="I206" t="n">
        <v>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40090-2026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46293</v>
      </c>
      <c r="E207" s="1" t="n">
        <v>46319</v>
      </c>
      <c r="F207" t="inlineStr">
        <is>
          <t>JÖNKÖPINGS LÄN</t>
        </is>
      </c>
      <c r="G207" t="inlineStr">
        <is>
          <t>SÄVSJÖ</t>
        </is>
      </c>
      <c r="I207" t="n">
        <v>0.5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40091-2026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46293</v>
      </c>
      <c r="E208" s="1" t="n">
        <v>46319</v>
      </c>
      <c r="F208" t="inlineStr">
        <is>
          <t>JÖNKÖPINGS LÄN</t>
        </is>
      </c>
      <c r="G208" t="inlineStr">
        <is>
          <t>SÄVSJÖ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8716-2026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46066</v>
      </c>
      <c r="E209" s="1" t="n">
        <v>46319</v>
      </c>
      <c r="F209" t="inlineStr">
        <is>
          <t>JÖNKÖPINGS LÄN</t>
        </is>
      </c>
      <c r="G209" t="inlineStr">
        <is>
          <t>SÄVSJÖ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8720-2026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46066</v>
      </c>
      <c r="E210" s="1" t="n">
        <v>46319</v>
      </c>
      <c r="F210" t="inlineStr">
        <is>
          <t>JÖNKÖPINGS LÄN</t>
        </is>
      </c>
      <c r="G210" t="inlineStr">
        <is>
          <t>SÄVSJÖ</t>
        </is>
      </c>
      <c r="I210" t="n">
        <v>2.2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8723-2026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46066</v>
      </c>
      <c r="E211" s="1" t="n">
        <v>46319</v>
      </c>
      <c r="F211" t="inlineStr">
        <is>
          <t>JÖNKÖPINGS LÄN</t>
        </is>
      </c>
      <c r="G211" t="inlineStr">
        <is>
          <t>SÄVSJÖ</t>
        </is>
      </c>
      <c r="I211" t="n">
        <v>0.5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9643-2026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46070</v>
      </c>
      <c r="E212" s="1" t="n">
        <v>46319</v>
      </c>
      <c r="F212" t="inlineStr">
        <is>
          <t>JÖNKÖPINGS LÄN</t>
        </is>
      </c>
      <c r="G212" t="inlineStr">
        <is>
          <t>SÄVSJÖ</t>
        </is>
      </c>
      <c r="H212" t="inlineStr">
        <is>
          <t>Kyrkan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9645-2026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46070</v>
      </c>
      <c r="E213" s="1" t="n">
        <v>46319</v>
      </c>
      <c r="F213" t="inlineStr">
        <is>
          <t>JÖNKÖPINGS LÄN</t>
        </is>
      </c>
      <c r="G213" t="inlineStr">
        <is>
          <t>SÄVSJÖ</t>
        </is>
      </c>
      <c r="H213" t="inlineStr">
        <is>
          <t>Kyrkan</t>
        </is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33736-2026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46251</v>
      </c>
      <c r="E214" s="1" t="n">
        <v>46319</v>
      </c>
      <c r="F214" t="inlineStr">
        <is>
          <t>JÖNKÖPINGS LÄN</t>
        </is>
      </c>
      <c r="G214" t="inlineStr">
        <is>
          <t>SÄVSJÖ</t>
        </is>
      </c>
      <c r="I214" t="n">
        <v>1.6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40592-2026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46294</v>
      </c>
      <c r="E215" s="1" t="n">
        <v>46319</v>
      </c>
      <c r="F215" t="inlineStr">
        <is>
          <t>JÖNKÖPINGS LÄN</t>
        </is>
      </c>
      <c r="G215" t="inlineStr">
        <is>
          <t>SÄVSJÖ</t>
        </is>
      </c>
      <c r="H215" t="inlineStr">
        <is>
          <t>Kyrkan</t>
        </is>
      </c>
      <c r="I215" t="n">
        <v>3.5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40630-2026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46295</v>
      </c>
      <c r="E216" s="1" t="n">
        <v>46319</v>
      </c>
      <c r="F216" t="inlineStr">
        <is>
          <t>JÖNKÖPINGS LÄN</t>
        </is>
      </c>
      <c r="G216" t="inlineStr">
        <is>
          <t>SÄVSJÖ</t>
        </is>
      </c>
      <c r="I216" t="n">
        <v>0.6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29716-2025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45825</v>
      </c>
      <c r="E217" s="1" t="n">
        <v>46319</v>
      </c>
      <c r="F217" t="inlineStr">
        <is>
          <t>JÖNKÖPINGS LÄN</t>
        </is>
      </c>
      <c r="G217" t="inlineStr">
        <is>
          <t>SÄVSJÖ</t>
        </is>
      </c>
      <c r="I217" t="n">
        <v>3.5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40750-2026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46296</v>
      </c>
      <c r="E218" s="1" t="n">
        <v>46319</v>
      </c>
      <c r="F218" t="inlineStr">
        <is>
          <t>JÖNKÖPINGS LÄN</t>
        </is>
      </c>
      <c r="G218" t="inlineStr">
        <is>
          <t>SÄVSJÖ</t>
        </is>
      </c>
      <c r="I218" t="n">
        <v>0.9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40650-2026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46294</v>
      </c>
      <c r="E219" s="1" t="n">
        <v>46319</v>
      </c>
      <c r="F219" t="inlineStr">
        <is>
          <t>JÖNKÖPINGS LÄN</t>
        </is>
      </c>
      <c r="G219" t="inlineStr">
        <is>
          <t>SÄVSJÖ</t>
        </is>
      </c>
      <c r="H219" t="inlineStr">
        <is>
          <t>Kyrkan</t>
        </is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31023-2025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45832</v>
      </c>
      <c r="E220" s="1" t="n">
        <v>46319</v>
      </c>
      <c r="F220" t="inlineStr">
        <is>
          <t>JÖNKÖPINGS LÄN</t>
        </is>
      </c>
      <c r="G220" t="inlineStr">
        <is>
          <t>SÄVSJÖ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23885-2024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45455</v>
      </c>
      <c r="E221" s="1" t="n">
        <v>46319</v>
      </c>
      <c r="F221" t="inlineStr">
        <is>
          <t>JÖNKÖPINGS LÄN</t>
        </is>
      </c>
      <c r="G221" t="inlineStr">
        <is>
          <t>SÄVSJÖ</t>
        </is>
      </c>
      <c r="I221" t="n">
        <v>0.7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31505-2025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45833</v>
      </c>
      <c r="E222" s="1" t="n">
        <v>46319</v>
      </c>
      <c r="F222" t="inlineStr">
        <is>
          <t>JÖNKÖPINGS LÄN</t>
        </is>
      </c>
      <c r="G222" t="inlineStr">
        <is>
          <t>SÄVSJÖ</t>
        </is>
      </c>
      <c r="I222" t="n">
        <v>3.3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12242-2026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46087</v>
      </c>
      <c r="E223" s="1" t="n">
        <v>46319</v>
      </c>
      <c r="F223" t="inlineStr">
        <is>
          <t>JÖNKÖPINGS LÄN</t>
        </is>
      </c>
      <c r="G223" t="inlineStr">
        <is>
          <t>SÄVSJÖ</t>
        </is>
      </c>
      <c r="I223" t="n">
        <v>1.3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31492-2025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45833</v>
      </c>
      <c r="E224" s="1" t="n">
        <v>46319</v>
      </c>
      <c r="F224" t="inlineStr">
        <is>
          <t>JÖNKÖPINGS LÄN</t>
        </is>
      </c>
      <c r="G224" t="inlineStr">
        <is>
          <t>SÄVSJÖ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31490-2025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45833</v>
      </c>
      <c r="E225" s="1" t="n">
        <v>46319</v>
      </c>
      <c r="F225" t="inlineStr">
        <is>
          <t>JÖNKÖPINGS LÄN</t>
        </is>
      </c>
      <c r="G225" t="inlineStr">
        <is>
          <t>SÄVSJÖ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19019-2025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45764</v>
      </c>
      <c r="E226" s="1" t="n">
        <v>46319</v>
      </c>
      <c r="F226" t="inlineStr">
        <is>
          <t>JÖNKÖPINGS LÄN</t>
        </is>
      </c>
      <c r="G226" t="inlineStr">
        <is>
          <t>SÄVSJÖ</t>
        </is>
      </c>
      <c r="I226" t="n">
        <v>2.2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32765-2025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45839</v>
      </c>
      <c r="E227" s="1" t="n">
        <v>46319</v>
      </c>
      <c r="F227" t="inlineStr">
        <is>
          <t>JÖNKÖPINGS LÄN</t>
        </is>
      </c>
      <c r="G227" t="inlineStr">
        <is>
          <t>SÄVSJÖ</t>
        </is>
      </c>
      <c r="I227" t="n">
        <v>0.7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38390-2024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45546</v>
      </c>
      <c r="E228" s="1" t="n">
        <v>46319</v>
      </c>
      <c r="F228" t="inlineStr">
        <is>
          <t>JÖNKÖPINGS LÄN</t>
        </is>
      </c>
      <c r="G228" t="inlineStr">
        <is>
          <t>SÄVSJÖ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13693-2026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46097</v>
      </c>
      <c r="E229" s="1" t="n">
        <v>46319</v>
      </c>
      <c r="F229" t="inlineStr">
        <is>
          <t>JÖNKÖPINGS LÄN</t>
        </is>
      </c>
      <c r="G229" t="inlineStr">
        <is>
          <t>SÄVSJÖ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3865-2023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44951</v>
      </c>
      <c r="E230" s="1" t="n">
        <v>46319</v>
      </c>
      <c r="F230" t="inlineStr">
        <is>
          <t>JÖNKÖPINGS LÄN</t>
        </is>
      </c>
      <c r="G230" t="inlineStr">
        <is>
          <t>SÄVSJÖ</t>
        </is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26673-2026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46184</v>
      </c>
      <c r="E231" s="1" t="n">
        <v>46319</v>
      </c>
      <c r="F231" t="inlineStr">
        <is>
          <t>JÖNKÖPINGS LÄN</t>
        </is>
      </c>
      <c r="G231" t="inlineStr">
        <is>
          <t>SÄVSJÖ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57830-2025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45981</v>
      </c>
      <c r="E232" s="1" t="n">
        <v>46319</v>
      </c>
      <c r="F232" t="inlineStr">
        <is>
          <t>JÖNKÖPINGS LÄN</t>
        </is>
      </c>
      <c r="G232" t="inlineStr">
        <is>
          <t>SÄVSJÖ</t>
        </is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14778-2026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46101</v>
      </c>
      <c r="E233" s="1" t="n">
        <v>46319</v>
      </c>
      <c r="F233" t="inlineStr">
        <is>
          <t>JÖNKÖPINGS LÄN</t>
        </is>
      </c>
      <c r="G233" t="inlineStr">
        <is>
          <t>SÄVSJÖ</t>
        </is>
      </c>
      <c r="I233" t="n">
        <v>1.1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14779-2026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46101</v>
      </c>
      <c r="E234" s="1" t="n">
        <v>46319</v>
      </c>
      <c r="F234" t="inlineStr">
        <is>
          <t>JÖNKÖPINGS LÄN</t>
        </is>
      </c>
      <c r="G234" t="inlineStr">
        <is>
          <t>SÄVSJÖ</t>
        </is>
      </c>
      <c r="I234" t="n">
        <v>1.3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14620-2026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46101</v>
      </c>
      <c r="E235" s="1" t="n">
        <v>46319</v>
      </c>
      <c r="F235" t="inlineStr">
        <is>
          <t>JÖNKÖPINGS LÄN</t>
        </is>
      </c>
      <c r="G235" t="inlineStr">
        <is>
          <t>SÄVSJÖ</t>
        </is>
      </c>
      <c r="I235" t="n">
        <v>0.6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17679-2024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45418</v>
      </c>
      <c r="E236" s="1" t="n">
        <v>46319</v>
      </c>
      <c r="F236" t="inlineStr">
        <is>
          <t>JÖNKÖPINGS LÄN</t>
        </is>
      </c>
      <c r="G236" t="inlineStr">
        <is>
          <t>SÄVSJÖ</t>
        </is>
      </c>
      <c r="I236" t="n">
        <v>1.4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41565-2026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46301</v>
      </c>
      <c r="E237" s="1" t="n">
        <v>46319</v>
      </c>
      <c r="F237" t="inlineStr">
        <is>
          <t>JÖNKÖPINGS LÄN</t>
        </is>
      </c>
      <c r="G237" t="inlineStr">
        <is>
          <t>SÄVSJÖ</t>
        </is>
      </c>
      <c r="I237" t="n">
        <v>0.9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8748-2023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44972</v>
      </c>
      <c r="E238" s="1" t="n">
        <v>46319</v>
      </c>
      <c r="F238" t="inlineStr">
        <is>
          <t>JÖNKÖPINGS LÄN</t>
        </is>
      </c>
      <c r="G238" t="inlineStr">
        <is>
          <t>SÄVSJÖ</t>
        </is>
      </c>
      <c r="I238" t="n">
        <v>0.6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15991-2026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46108</v>
      </c>
      <c r="E239" s="1" t="n">
        <v>46319</v>
      </c>
      <c r="F239" t="inlineStr">
        <is>
          <t>JÖNKÖPINGS LÄN</t>
        </is>
      </c>
      <c r="G239" t="inlineStr">
        <is>
          <t>SÄVSJÖ</t>
        </is>
      </c>
      <c r="I239" t="n">
        <v>4.9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4911-2024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45329</v>
      </c>
      <c r="E240" s="1" t="n">
        <v>46319</v>
      </c>
      <c r="F240" t="inlineStr">
        <is>
          <t>JÖNKÖPINGS LÄN</t>
        </is>
      </c>
      <c r="G240" t="inlineStr">
        <is>
          <t>SÄVSJÖ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30162-2023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45110</v>
      </c>
      <c r="E241" s="1" t="n">
        <v>46319</v>
      </c>
      <c r="F241" t="inlineStr">
        <is>
          <t>JÖNKÖPINGS LÄN</t>
        </is>
      </c>
      <c r="G241" t="inlineStr">
        <is>
          <t>SÄVSJÖ</t>
        </is>
      </c>
      <c r="H241" t="inlineStr">
        <is>
          <t>Kommuner</t>
        </is>
      </c>
      <c r="I241" t="n">
        <v>4.4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43015-2022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44833</v>
      </c>
      <c r="E242" s="1" t="n">
        <v>46319</v>
      </c>
      <c r="F242" t="inlineStr">
        <is>
          <t>JÖNKÖPINGS LÄN</t>
        </is>
      </c>
      <c r="G242" t="inlineStr">
        <is>
          <t>SÄVSJÖ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39485-2026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46289</v>
      </c>
      <c r="E243" s="1" t="n">
        <v>46319</v>
      </c>
      <c r="F243" t="inlineStr">
        <is>
          <t>JÖNKÖPINGS LÄN</t>
        </is>
      </c>
      <c r="G243" t="inlineStr">
        <is>
          <t>SÄVSJÖ</t>
        </is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41918-2026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46303</v>
      </c>
      <c r="E244" s="1" t="n">
        <v>46319</v>
      </c>
      <c r="F244" t="inlineStr">
        <is>
          <t>JÖNKÖPINGS LÄN</t>
        </is>
      </c>
      <c r="G244" t="inlineStr">
        <is>
          <t>SÄVSJÖ</t>
        </is>
      </c>
      <c r="I244" t="n">
        <v>1.3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18045-2026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46125</v>
      </c>
      <c r="E245" s="1" t="n">
        <v>46319</v>
      </c>
      <c r="F245" t="inlineStr">
        <is>
          <t>JÖNKÖPINGS LÄN</t>
        </is>
      </c>
      <c r="G245" t="inlineStr">
        <is>
          <t>SÄVSJÖ</t>
        </is>
      </c>
      <c r="I245" t="n">
        <v>2.3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18089-2026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46125</v>
      </c>
      <c r="E246" s="1" t="n">
        <v>46319</v>
      </c>
      <c r="F246" t="inlineStr">
        <is>
          <t>JÖNKÖPINGS LÄN</t>
        </is>
      </c>
      <c r="G246" t="inlineStr">
        <is>
          <t>SÄVSJÖ</t>
        </is>
      </c>
      <c r="I246" t="n">
        <v>1.8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35204-2026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46260</v>
      </c>
      <c r="E247" s="1" t="n">
        <v>46319</v>
      </c>
      <c r="F247" t="inlineStr">
        <is>
          <t>JÖNKÖPINGS LÄN</t>
        </is>
      </c>
      <c r="G247" t="inlineStr">
        <is>
          <t>SÄVSJÖ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35212-2026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46260</v>
      </c>
      <c r="E248" s="1" t="n">
        <v>46319</v>
      </c>
      <c r="F248" t="inlineStr">
        <is>
          <t>JÖNKÖPINGS LÄN</t>
        </is>
      </c>
      <c r="G248" t="inlineStr">
        <is>
          <t>SÄVSJÖ</t>
        </is>
      </c>
      <c r="I248" t="n">
        <v>1.3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33532-2026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46248</v>
      </c>
      <c r="E249" s="1" t="n">
        <v>46319</v>
      </c>
      <c r="F249" t="inlineStr">
        <is>
          <t>JÖNKÖPINGS LÄN</t>
        </is>
      </c>
      <c r="G249" t="inlineStr">
        <is>
          <t>SÄVSJÖ</t>
        </is>
      </c>
      <c r="I249" t="n">
        <v>2.8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42579-2026</t>
        </is>
      </c>
      <c r="B250" t="inlineStr">
        <is>
          <t>avverkningsanmälan</t>
        </is>
      </c>
      <c r="C250" t="inlineStr">
        <is>
          <t>Avverkning för annat ändamål</t>
        </is>
      </c>
      <c r="D250" s="1" t="n">
        <v>46308</v>
      </c>
      <c r="E250" s="1" t="n">
        <v>46319</v>
      </c>
      <c r="F250" t="inlineStr">
        <is>
          <t>JÖNKÖPINGS LÄN</t>
        </is>
      </c>
      <c r="G250" t="inlineStr">
        <is>
          <t>SÄVSJÖ</t>
        </is>
      </c>
      <c r="I250" t="n">
        <v>1.6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36390-2024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45534</v>
      </c>
      <c r="E251" s="1" t="n">
        <v>46319</v>
      </c>
      <c r="F251" t="inlineStr">
        <is>
          <t>JÖNKÖPINGS LÄN</t>
        </is>
      </c>
      <c r="G251" t="inlineStr">
        <is>
          <t>SÄVSJÖ</t>
        </is>
      </c>
      <c r="I251" t="n">
        <v>2.1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33537-2026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46248</v>
      </c>
      <c r="E252" s="1" t="n">
        <v>46319</v>
      </c>
      <c r="F252" t="inlineStr">
        <is>
          <t>JÖNKÖPINGS LÄN</t>
        </is>
      </c>
      <c r="G252" t="inlineStr">
        <is>
          <t>SÄVSJÖ</t>
        </is>
      </c>
      <c r="I252" t="n">
        <v>0.9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42578-2026</t>
        </is>
      </c>
      <c r="B253" t="inlineStr">
        <is>
          <t>avverkningsanmälan</t>
        </is>
      </c>
      <c r="C253" t="inlineStr">
        <is>
          <t>Avverkning för annat ändamål</t>
        </is>
      </c>
      <c r="D253" s="1" t="n">
        <v>46308</v>
      </c>
      <c r="E253" s="1" t="n">
        <v>46319</v>
      </c>
      <c r="F253" t="inlineStr">
        <is>
          <t>JÖNKÖPINGS LÄN</t>
        </is>
      </c>
      <c r="G253" t="inlineStr">
        <is>
          <t>SÄVSJÖ</t>
        </is>
      </c>
      <c r="I253" t="n">
        <v>2.9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42580-2026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46308</v>
      </c>
      <c r="E254" s="1" t="n">
        <v>46319</v>
      </c>
      <c r="F254" t="inlineStr">
        <is>
          <t>JÖNKÖPINGS LÄN</t>
        </is>
      </c>
      <c r="G254" t="inlineStr">
        <is>
          <t>SÄVSJÖ</t>
        </is>
      </c>
      <c r="I254" t="n">
        <v>0.8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557-2025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45660</v>
      </c>
      <c r="E255" s="1" t="n">
        <v>46319</v>
      </c>
      <c r="F255" t="inlineStr">
        <is>
          <t>JÖNKÖPINGS LÄN</t>
        </is>
      </c>
      <c r="G255" t="inlineStr">
        <is>
          <t>SÄVSJÖ</t>
        </is>
      </c>
      <c r="I255" t="n">
        <v>2.9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37545-2025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45879</v>
      </c>
      <c r="E256" s="1" t="n">
        <v>46319</v>
      </c>
      <c r="F256" t="inlineStr">
        <is>
          <t>JÖNKÖPINGS LÄN</t>
        </is>
      </c>
      <c r="G256" t="inlineStr">
        <is>
          <t>SÄVSJÖ</t>
        </is>
      </c>
      <c r="I256" t="n">
        <v>1.1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57471-2022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44896</v>
      </c>
      <c r="E257" s="1" t="n">
        <v>46319</v>
      </c>
      <c r="F257" t="inlineStr">
        <is>
          <t>JÖNKÖPINGS LÄN</t>
        </is>
      </c>
      <c r="G257" t="inlineStr">
        <is>
          <t>SÄVSJÖ</t>
        </is>
      </c>
      <c r="I257" t="n">
        <v>1.2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16403-2023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45029</v>
      </c>
      <c r="E258" s="1" t="n">
        <v>46319</v>
      </c>
      <c r="F258" t="inlineStr">
        <is>
          <t>JÖNKÖPINGS LÄN</t>
        </is>
      </c>
      <c r="G258" t="inlineStr">
        <is>
          <t>SÄVSJÖ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57851-2023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45247</v>
      </c>
      <c r="E259" s="1" t="n">
        <v>46319</v>
      </c>
      <c r="F259" t="inlineStr">
        <is>
          <t>JÖNKÖPINGS LÄN</t>
        </is>
      </c>
      <c r="G259" t="inlineStr">
        <is>
          <t>SÄVSJÖ</t>
        </is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58487-2025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45985</v>
      </c>
      <c r="E260" s="1" t="n">
        <v>46319</v>
      </c>
      <c r="F260" t="inlineStr">
        <is>
          <t>JÖNKÖPINGS LÄN</t>
        </is>
      </c>
      <c r="G260" t="inlineStr">
        <is>
          <t>SÄVSJÖ</t>
        </is>
      </c>
      <c r="I260" t="n">
        <v>1.7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35890-2026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46266</v>
      </c>
      <c r="E261" s="1" t="n">
        <v>46319</v>
      </c>
      <c r="F261" t="inlineStr">
        <is>
          <t>JÖNKÖPINGS LÄN</t>
        </is>
      </c>
      <c r="G261" t="inlineStr">
        <is>
          <t>SÄVSJÖ</t>
        </is>
      </c>
      <c r="I261" t="n">
        <v>1.1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35880-2026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46266</v>
      </c>
      <c r="E262" s="1" t="n">
        <v>46319</v>
      </c>
      <c r="F262" t="inlineStr">
        <is>
          <t>JÖNKÖPINGS LÄN</t>
        </is>
      </c>
      <c r="G262" t="inlineStr">
        <is>
          <t>SÄVSJÖ</t>
        </is>
      </c>
      <c r="I262" t="n">
        <v>1.8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38303-2026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46282</v>
      </c>
      <c r="E263" s="1" t="n">
        <v>46319</v>
      </c>
      <c r="F263" t="inlineStr">
        <is>
          <t>JÖNKÖPINGS LÄN</t>
        </is>
      </c>
      <c r="G263" t="inlineStr">
        <is>
          <t>SÄVSJÖ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35882-2026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46266</v>
      </c>
      <c r="E264" s="1" t="n">
        <v>46319</v>
      </c>
      <c r="F264" t="inlineStr">
        <is>
          <t>JÖNKÖPINGS LÄN</t>
        </is>
      </c>
      <c r="G264" t="inlineStr">
        <is>
          <t>SÄVSJÖ</t>
        </is>
      </c>
      <c r="I264" t="n">
        <v>3.9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12959-2023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45001</v>
      </c>
      <c r="E265" s="1" t="n">
        <v>46319</v>
      </c>
      <c r="F265" t="inlineStr">
        <is>
          <t>JÖNKÖPINGS LÄN</t>
        </is>
      </c>
      <c r="G265" t="inlineStr">
        <is>
          <t>SÄVSJÖ</t>
        </is>
      </c>
      <c r="I265" t="n">
        <v>1.2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33220-2023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45127</v>
      </c>
      <c r="E266" s="1" t="n">
        <v>46319</v>
      </c>
      <c r="F266" t="inlineStr">
        <is>
          <t>JÖNKÖPINGS LÄN</t>
        </is>
      </c>
      <c r="G266" t="inlineStr">
        <is>
          <t>SÄVSJÖ</t>
        </is>
      </c>
      <c r="I266" t="n">
        <v>1.5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1916-2025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45671</v>
      </c>
      <c r="E267" s="1" t="n">
        <v>46319</v>
      </c>
      <c r="F267" t="inlineStr">
        <is>
          <t>JÖNKÖPINGS LÄN</t>
        </is>
      </c>
      <c r="G267" t="inlineStr">
        <is>
          <t>SÄVSJÖ</t>
        </is>
      </c>
      <c r="I267" t="n">
        <v>1.1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33536-2026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46248</v>
      </c>
      <c r="E268" s="1" t="n">
        <v>46319</v>
      </c>
      <c r="F268" t="inlineStr">
        <is>
          <t>JÖNKÖPINGS LÄN</t>
        </is>
      </c>
      <c r="G268" t="inlineStr">
        <is>
          <t>SÄVSJÖ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4530-2022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44590</v>
      </c>
      <c r="E269" s="1" t="n">
        <v>46319</v>
      </c>
      <c r="F269" t="inlineStr">
        <is>
          <t>JÖNKÖPINGS LÄN</t>
        </is>
      </c>
      <c r="G269" t="inlineStr">
        <is>
          <t>SÄVSJÖ</t>
        </is>
      </c>
      <c r="I269" t="n">
        <v>0.7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36733-2026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46272</v>
      </c>
      <c r="E270" s="1" t="n">
        <v>46319</v>
      </c>
      <c r="F270" t="inlineStr">
        <is>
          <t>JÖNKÖPINGS LÄN</t>
        </is>
      </c>
      <c r="G270" t="inlineStr">
        <is>
          <t>SÄVSJÖ</t>
        </is>
      </c>
      <c r="I270" t="n">
        <v>2.7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43873-2026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46316</v>
      </c>
      <c r="E271" s="1" t="n">
        <v>46319</v>
      </c>
      <c r="F271" t="inlineStr">
        <is>
          <t>JÖNKÖPINGS LÄN</t>
        </is>
      </c>
      <c r="G271" t="inlineStr">
        <is>
          <t>SÄVSJÖ</t>
        </is>
      </c>
      <c r="I271" t="n">
        <v>1.4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22066-2025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45785</v>
      </c>
      <c r="E272" s="1" t="n">
        <v>46319</v>
      </c>
      <c r="F272" t="inlineStr">
        <is>
          <t>JÖNKÖPINGS LÄN</t>
        </is>
      </c>
      <c r="G272" t="inlineStr">
        <is>
          <t>SÄVSJÖ</t>
        </is>
      </c>
      <c r="I272" t="n">
        <v>1.6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37079-2026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46273</v>
      </c>
      <c r="E273" s="1" t="n">
        <v>46319</v>
      </c>
      <c r="F273" t="inlineStr">
        <is>
          <t>JÖNKÖPINGS LÄN</t>
        </is>
      </c>
      <c r="G273" t="inlineStr">
        <is>
          <t>SÄVSJÖ</t>
        </is>
      </c>
      <c r="I273" t="n">
        <v>4.9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43772-2026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46316</v>
      </c>
      <c r="E274" s="1" t="n">
        <v>46319</v>
      </c>
      <c r="F274" t="inlineStr">
        <is>
          <t>JÖNKÖPINGS LÄN</t>
        </is>
      </c>
      <c r="G274" t="inlineStr">
        <is>
          <t>SÄVSJÖ</t>
        </is>
      </c>
      <c r="I274" t="n">
        <v>5.4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4814-2023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44957</v>
      </c>
      <c r="E275" s="1" t="n">
        <v>46319</v>
      </c>
      <c r="F275" t="inlineStr">
        <is>
          <t>JÖNKÖPINGS LÄN</t>
        </is>
      </c>
      <c r="G275" t="inlineStr">
        <is>
          <t>SÄVSJÖ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43644-2026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46316</v>
      </c>
      <c r="E276" s="1" t="n">
        <v>46319</v>
      </c>
      <c r="F276" t="inlineStr">
        <is>
          <t>JÖNKÖPINGS LÄN</t>
        </is>
      </c>
      <c r="G276" t="inlineStr">
        <is>
          <t>SÄVSJÖ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43641-2026</t>
        </is>
      </c>
      <c r="B277" t="inlineStr">
        <is>
          <t>avverkningsanmälan</t>
        </is>
      </c>
      <c r="C277" t="inlineStr">
        <is>
          <t>Avverkning för annat ändamål</t>
        </is>
      </c>
      <c r="D277" s="1" t="n">
        <v>46316</v>
      </c>
      <c r="E277" s="1" t="n">
        <v>46319</v>
      </c>
      <c r="F277" t="inlineStr">
        <is>
          <t>JÖNKÖPINGS LÄN</t>
        </is>
      </c>
      <c r="G277" t="inlineStr">
        <is>
          <t>SÄVSJÖ</t>
        </is>
      </c>
      <c r="I277" t="n">
        <v>0.7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43642-2026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46316</v>
      </c>
      <c r="E278" s="1" t="n">
        <v>46319</v>
      </c>
      <c r="F278" t="inlineStr">
        <is>
          <t>JÖNKÖPINGS LÄN</t>
        </is>
      </c>
      <c r="G278" t="inlineStr">
        <is>
          <t>SÄVSJÖ</t>
        </is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43643-2026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46316</v>
      </c>
      <c r="E279" s="1" t="n">
        <v>46319</v>
      </c>
      <c r="F279" t="inlineStr">
        <is>
          <t>JÖNKÖPINGS LÄN</t>
        </is>
      </c>
      <c r="G279" t="inlineStr">
        <is>
          <t>SÄVSJÖ</t>
        </is>
      </c>
      <c r="I279" t="n">
        <v>1.7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3598-2024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45320</v>
      </c>
      <c r="E280" s="1" t="n">
        <v>46319</v>
      </c>
      <c r="F280" t="inlineStr">
        <is>
          <t>JÖNKÖPINGS LÄN</t>
        </is>
      </c>
      <c r="G280" t="inlineStr">
        <is>
          <t>SÄVSJÖ</t>
        </is>
      </c>
      <c r="I280" t="n">
        <v>0.5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3600-2024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45320</v>
      </c>
      <c r="E281" s="1" t="n">
        <v>46319</v>
      </c>
      <c r="F281" t="inlineStr">
        <is>
          <t>JÖNKÖPINGS LÄN</t>
        </is>
      </c>
      <c r="G281" t="inlineStr">
        <is>
          <t>SÄVSJÖ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43874-2026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46316</v>
      </c>
      <c r="E282" s="1" t="n">
        <v>46319</v>
      </c>
      <c r="F282" t="inlineStr">
        <is>
          <t>JÖNKÖPINGS LÄN</t>
        </is>
      </c>
      <c r="G282" t="inlineStr">
        <is>
          <t>SÄVSJÖ</t>
        </is>
      </c>
      <c r="I282" t="n">
        <v>1.2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2635-2023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44942</v>
      </c>
      <c r="E283" s="1" t="n">
        <v>46319</v>
      </c>
      <c r="F283" t="inlineStr">
        <is>
          <t>JÖNKÖPINGS LÄN</t>
        </is>
      </c>
      <c r="G283" t="inlineStr">
        <is>
          <t>SÄVSJÖ</t>
        </is>
      </c>
      <c r="I283" t="n">
        <v>1.1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48893-2023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45209</v>
      </c>
      <c r="E284" s="1" t="n">
        <v>46319</v>
      </c>
      <c r="F284" t="inlineStr">
        <is>
          <t>JÖNKÖPINGS LÄN</t>
        </is>
      </c>
      <c r="G284" t="inlineStr">
        <is>
          <t>SÄVSJÖ</t>
        </is>
      </c>
      <c r="I284" t="n">
        <v>1.4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44283-2026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46318</v>
      </c>
      <c r="E285" s="1" t="n">
        <v>46319</v>
      </c>
      <c r="F285" t="inlineStr">
        <is>
          <t>JÖNKÖPINGS LÄN</t>
        </is>
      </c>
      <c r="G285" t="inlineStr">
        <is>
          <t>SÄVSJÖ</t>
        </is>
      </c>
      <c r="I285" t="n">
        <v>0.9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2616-2023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44944</v>
      </c>
      <c r="E286" s="1" t="n">
        <v>46319</v>
      </c>
      <c r="F286" t="inlineStr">
        <is>
          <t>JÖNKÖPINGS LÄN</t>
        </is>
      </c>
      <c r="G286" t="inlineStr">
        <is>
          <t>SÄVSJÖ</t>
        </is>
      </c>
      <c r="I286" t="n">
        <v>1.3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37611-2024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45541</v>
      </c>
      <c r="E287" s="1" t="n">
        <v>46319</v>
      </c>
      <c r="F287" t="inlineStr">
        <is>
          <t>JÖNKÖPINGS LÄN</t>
        </is>
      </c>
      <c r="G287" t="inlineStr">
        <is>
          <t>SÄVSJÖ</t>
        </is>
      </c>
      <c r="I287" t="n">
        <v>3.4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44079-2026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46317</v>
      </c>
      <c r="E288" s="1" t="n">
        <v>46319</v>
      </c>
      <c r="F288" t="inlineStr">
        <is>
          <t>JÖNKÖPINGS LÄN</t>
        </is>
      </c>
      <c r="G288" t="inlineStr">
        <is>
          <t>SÄVSJÖ</t>
        </is>
      </c>
      <c r="I288" t="n">
        <v>1.6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20915-2023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45061</v>
      </c>
      <c r="E289" s="1" t="n">
        <v>46319</v>
      </c>
      <c r="F289" t="inlineStr">
        <is>
          <t>JÖNKÖPINGS LÄN</t>
        </is>
      </c>
      <c r="G289" t="inlineStr">
        <is>
          <t>SÄVSJÖ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17766-2023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45037</v>
      </c>
      <c r="E290" s="1" t="n">
        <v>46319</v>
      </c>
      <c r="F290" t="inlineStr">
        <is>
          <t>JÖNKÖPINGS LÄN</t>
        </is>
      </c>
      <c r="G290" t="inlineStr">
        <is>
          <t>SÄVSJÖ</t>
        </is>
      </c>
      <c r="I290" t="n">
        <v>1.5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44076-2026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46317</v>
      </c>
      <c r="E291" s="1" t="n">
        <v>46319</v>
      </c>
      <c r="F291" t="inlineStr">
        <is>
          <t>JÖNKÖPINGS LÄN</t>
        </is>
      </c>
      <c r="G291" t="inlineStr">
        <is>
          <t>SÄVSJÖ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37113-2026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46274</v>
      </c>
      <c r="E292" s="1" t="n">
        <v>46319</v>
      </c>
      <c r="F292" t="inlineStr">
        <is>
          <t>JÖNKÖPINGS LÄN</t>
        </is>
      </c>
      <c r="G292" t="inlineStr">
        <is>
          <t>SÄVSJÖ</t>
        </is>
      </c>
      <c r="I292" t="n">
        <v>0.8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50493-2024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45601</v>
      </c>
      <c r="E293" s="1" t="n">
        <v>46319</v>
      </c>
      <c r="F293" t="inlineStr">
        <is>
          <t>JÖNKÖPINGS LÄN</t>
        </is>
      </c>
      <c r="G293" t="inlineStr">
        <is>
          <t>SÄVSJÖ</t>
        </is>
      </c>
      <c r="I293" t="n">
        <v>0.4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44285-2026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46318</v>
      </c>
      <c r="E294" s="1" t="n">
        <v>46319</v>
      </c>
      <c r="F294" t="inlineStr">
        <is>
          <t>JÖNKÖPINGS LÄN</t>
        </is>
      </c>
      <c r="G294" t="inlineStr">
        <is>
          <t>SÄVSJÖ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6333-2025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45698</v>
      </c>
      <c r="E295" s="1" t="n">
        <v>46319</v>
      </c>
      <c r="F295" t="inlineStr">
        <is>
          <t>JÖNKÖPINGS LÄN</t>
        </is>
      </c>
      <c r="G295" t="inlineStr">
        <is>
          <t>SÄVSJÖ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34287-2024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45524</v>
      </c>
      <c r="E296" s="1" t="n">
        <v>46319</v>
      </c>
      <c r="F296" t="inlineStr">
        <is>
          <t>JÖNKÖPINGS LÄN</t>
        </is>
      </c>
      <c r="G296" t="inlineStr">
        <is>
          <t>SÄVSJÖ</t>
        </is>
      </c>
      <c r="I296" t="n">
        <v>2.3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48815-2024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45593</v>
      </c>
      <c r="E297" s="1" t="n">
        <v>46319</v>
      </c>
      <c r="F297" t="inlineStr">
        <is>
          <t>JÖNKÖPINGS LÄN</t>
        </is>
      </c>
      <c r="G297" t="inlineStr">
        <is>
          <t>SÄVSJÖ</t>
        </is>
      </c>
      <c r="I297" t="n">
        <v>0.7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29558-2023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45106</v>
      </c>
      <c r="E298" s="1" t="n">
        <v>46319</v>
      </c>
      <c r="F298" t="inlineStr">
        <is>
          <t>JÖNKÖPINGS LÄN</t>
        </is>
      </c>
      <c r="G298" t="inlineStr">
        <is>
          <t>SÄVSJÖ</t>
        </is>
      </c>
      <c r="I298" t="n">
        <v>2.4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55881-2024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45623</v>
      </c>
      <c r="E299" s="1" t="n">
        <v>46319</v>
      </c>
      <c r="F299" t="inlineStr">
        <is>
          <t>JÖNKÖPINGS LÄN</t>
        </is>
      </c>
      <c r="G299" t="inlineStr">
        <is>
          <t>SÄVSJÖ</t>
        </is>
      </c>
      <c r="I299" t="n">
        <v>2.7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63920-2021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44509</v>
      </c>
      <c r="E300" s="1" t="n">
        <v>46319</v>
      </c>
      <c r="F300" t="inlineStr">
        <is>
          <t>JÖNKÖPINGS LÄN</t>
        </is>
      </c>
      <c r="G300" t="inlineStr">
        <is>
          <t>SÄVSJÖ</t>
        </is>
      </c>
      <c r="I300" t="n">
        <v>4.5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10887-2023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44991</v>
      </c>
      <c r="E301" s="1" t="n">
        <v>46319</v>
      </c>
      <c r="F301" t="inlineStr">
        <is>
          <t>JÖNKÖPINGS LÄN</t>
        </is>
      </c>
      <c r="G301" t="inlineStr">
        <is>
          <t>SÄVSJÖ</t>
        </is>
      </c>
      <c r="I301" t="n">
        <v>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1902-2025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45671</v>
      </c>
      <c r="E302" s="1" t="n">
        <v>46319</v>
      </c>
      <c r="F302" t="inlineStr">
        <is>
          <t>JÖNKÖPINGS LÄN</t>
        </is>
      </c>
      <c r="G302" t="inlineStr">
        <is>
          <t>SÄVSJÖ</t>
        </is>
      </c>
      <c r="I302" t="n">
        <v>1.4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7285-2023</t>
        </is>
      </c>
      <c r="B303" t="inlineStr">
        <is>
          <t>avverkningsanmälan</t>
        </is>
      </c>
      <c r="C303" t="inlineStr">
        <is>
          <t>Avverkning för annat ändamål</t>
        </is>
      </c>
      <c r="D303" s="1" t="n">
        <v>44970</v>
      </c>
      <c r="E303" s="1" t="n">
        <v>46319</v>
      </c>
      <c r="F303" t="inlineStr">
        <is>
          <t>JÖNKÖPINGS LÄN</t>
        </is>
      </c>
      <c r="G303" t="inlineStr">
        <is>
          <t>SÄVSJÖ</t>
        </is>
      </c>
      <c r="I303" t="n">
        <v>1.3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3177-2025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45679</v>
      </c>
      <c r="E304" s="1" t="n">
        <v>46319</v>
      </c>
      <c r="F304" t="inlineStr">
        <is>
          <t>JÖNKÖPINGS LÄN</t>
        </is>
      </c>
      <c r="G304" t="inlineStr">
        <is>
          <t>SÄVSJÖ</t>
        </is>
      </c>
      <c r="I304" t="n">
        <v>0.6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4151-2025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45685</v>
      </c>
      <c r="E305" s="1" t="n">
        <v>46319</v>
      </c>
      <c r="F305" t="inlineStr">
        <is>
          <t>JÖNKÖPINGS LÄN</t>
        </is>
      </c>
      <c r="G305" t="inlineStr">
        <is>
          <t>SÄVSJÖ</t>
        </is>
      </c>
      <c r="I305" t="n">
        <v>1.5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27713-2023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45098</v>
      </c>
      <c r="E306" s="1" t="n">
        <v>46319</v>
      </c>
      <c r="F306" t="inlineStr">
        <is>
          <t>JÖNKÖPINGS LÄN</t>
        </is>
      </c>
      <c r="G306" t="inlineStr">
        <is>
          <t>SÄVSJÖ</t>
        </is>
      </c>
      <c r="I306" t="n">
        <v>3.8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58400-2024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45634</v>
      </c>
      <c r="E307" s="1" t="n">
        <v>46319</v>
      </c>
      <c r="F307" t="inlineStr">
        <is>
          <t>JÖNKÖPINGS LÄN</t>
        </is>
      </c>
      <c r="G307" t="inlineStr">
        <is>
          <t>SÄVSJÖ</t>
        </is>
      </c>
      <c r="I307" t="n">
        <v>0.6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10865-2023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44991</v>
      </c>
      <c r="E308" s="1" t="n">
        <v>46319</v>
      </c>
      <c r="F308" t="inlineStr">
        <is>
          <t>JÖNKÖPINGS LÄN</t>
        </is>
      </c>
      <c r="G308" t="inlineStr">
        <is>
          <t>SÄVSJÖ</t>
        </is>
      </c>
      <c r="I308" t="n">
        <v>1.4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40111-2022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44820</v>
      </c>
      <c r="E309" s="1" t="n">
        <v>46319</v>
      </c>
      <c r="F309" t="inlineStr">
        <is>
          <t>JÖNKÖPINGS LÄN</t>
        </is>
      </c>
      <c r="G309" t="inlineStr">
        <is>
          <t>SÄVSJÖ</t>
        </is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21801-2023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45067</v>
      </c>
      <c r="E310" s="1" t="n">
        <v>46319</v>
      </c>
      <c r="F310" t="inlineStr">
        <is>
          <t>JÖNKÖPINGS LÄN</t>
        </is>
      </c>
      <c r="G310" t="inlineStr">
        <is>
          <t>SÄVSJÖ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61545-2021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44501</v>
      </c>
      <c r="E311" s="1" t="n">
        <v>46319</v>
      </c>
      <c r="F311" t="inlineStr">
        <is>
          <t>JÖNKÖPINGS LÄN</t>
        </is>
      </c>
      <c r="G311" t="inlineStr">
        <is>
          <t>SÄVSJÖ</t>
        </is>
      </c>
      <c r="I311" t="n">
        <v>7.2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15842-2025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45748</v>
      </c>
      <c r="E312" s="1" t="n">
        <v>46319</v>
      </c>
      <c r="F312" t="inlineStr">
        <is>
          <t>JÖNKÖPINGS LÄN</t>
        </is>
      </c>
      <c r="G312" t="inlineStr">
        <is>
          <t>SÄVSJÖ</t>
        </is>
      </c>
      <c r="I312" t="n">
        <v>0.5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5875-2025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45695</v>
      </c>
      <c r="E313" s="1" t="n">
        <v>46319</v>
      </c>
      <c r="F313" t="inlineStr">
        <is>
          <t>JÖNKÖPINGS LÄN</t>
        </is>
      </c>
      <c r="G313" t="inlineStr">
        <is>
          <t>SÄVSJÖ</t>
        </is>
      </c>
      <c r="I313" t="n">
        <v>0.8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63308-2023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45274</v>
      </c>
      <c r="E314" s="1" t="n">
        <v>46319</v>
      </c>
      <c r="F314" t="inlineStr">
        <is>
          <t>JÖNKÖPINGS LÄN</t>
        </is>
      </c>
      <c r="G314" t="inlineStr">
        <is>
          <t>SÄVSJÖ</t>
        </is>
      </c>
      <c r="I314" t="n">
        <v>2.1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56097-2023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45240</v>
      </c>
      <c r="E315" s="1" t="n">
        <v>46319</v>
      </c>
      <c r="F315" t="inlineStr">
        <is>
          <t>JÖNKÖPINGS LÄN</t>
        </is>
      </c>
      <c r="G315" t="inlineStr">
        <is>
          <t>SÄVSJÖ</t>
        </is>
      </c>
      <c r="I315" t="n">
        <v>1.8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54940-2022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44886</v>
      </c>
      <c r="E316" s="1" t="n">
        <v>46319</v>
      </c>
      <c r="F316" t="inlineStr">
        <is>
          <t>JÖNKÖPINGS LÄN</t>
        </is>
      </c>
      <c r="G316" t="inlineStr">
        <is>
          <t>SÄVSJÖ</t>
        </is>
      </c>
      <c r="I316" t="n">
        <v>1.4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24253-2023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45079</v>
      </c>
      <c r="E317" s="1" t="n">
        <v>46319</v>
      </c>
      <c r="F317" t="inlineStr">
        <is>
          <t>JÖNKÖPINGS LÄN</t>
        </is>
      </c>
      <c r="G317" t="inlineStr">
        <is>
          <t>SÄVSJÖ</t>
        </is>
      </c>
      <c r="I317" t="n">
        <v>0.5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50627-2022</t>
        </is>
      </c>
      <c r="B318" t="inlineStr">
        <is>
          <t>avverkningsanmälan</t>
        </is>
      </c>
      <c r="C318" t="inlineStr">
        <is>
          <t>Avverkning för annat ändamål</t>
        </is>
      </c>
      <c r="D318" s="1" t="n">
        <v>44866</v>
      </c>
      <c r="E318" s="1" t="n">
        <v>46319</v>
      </c>
      <c r="F318" t="inlineStr">
        <is>
          <t>JÖNKÖPINGS LÄN</t>
        </is>
      </c>
      <c r="G318" t="inlineStr">
        <is>
          <t>SÄVSJÖ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15054-2023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45015</v>
      </c>
      <c r="E319" s="1" t="n">
        <v>46319</v>
      </c>
      <c r="F319" t="inlineStr">
        <is>
          <t>JÖNKÖPINGS LÄN</t>
        </is>
      </c>
      <c r="G319" t="inlineStr">
        <is>
          <t>SÄVSJÖ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30364-2023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45111</v>
      </c>
      <c r="E320" s="1" t="n">
        <v>46319</v>
      </c>
      <c r="F320" t="inlineStr">
        <is>
          <t>JÖNKÖPINGS LÄN</t>
        </is>
      </c>
      <c r="G320" t="inlineStr">
        <is>
          <t>SÄVSJÖ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62182-2023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45267</v>
      </c>
      <c r="E321" s="1" t="n">
        <v>46319</v>
      </c>
      <c r="F321" t="inlineStr">
        <is>
          <t>JÖNKÖPINGS LÄN</t>
        </is>
      </c>
      <c r="G321" t="inlineStr">
        <is>
          <t>SÄVSJÖ</t>
        </is>
      </c>
      <c r="I321" t="n">
        <v>1.5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21788-2023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45066</v>
      </c>
      <c r="E322" s="1" t="n">
        <v>46319</v>
      </c>
      <c r="F322" t="inlineStr">
        <is>
          <t>JÖNKÖPINGS LÄN</t>
        </is>
      </c>
      <c r="G322" t="inlineStr">
        <is>
          <t>SÄVSJÖ</t>
        </is>
      </c>
      <c r="I322" t="n">
        <v>2.9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18978-2024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45427</v>
      </c>
      <c r="E323" s="1" t="n">
        <v>46319</v>
      </c>
      <c r="F323" t="inlineStr">
        <is>
          <t>JÖNKÖPINGS LÄN</t>
        </is>
      </c>
      <c r="G323" t="inlineStr">
        <is>
          <t>SÄVSJÖ</t>
        </is>
      </c>
      <c r="I323" t="n">
        <v>0.9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59056-2023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45252</v>
      </c>
      <c r="E324" s="1" t="n">
        <v>46319</v>
      </c>
      <c r="F324" t="inlineStr">
        <is>
          <t>JÖNKÖPINGS LÄN</t>
        </is>
      </c>
      <c r="G324" t="inlineStr">
        <is>
          <t>SÄVSJÖ</t>
        </is>
      </c>
      <c r="I324" t="n">
        <v>2.6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25118-2023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45086</v>
      </c>
      <c r="E325" s="1" t="n">
        <v>46319</v>
      </c>
      <c r="F325" t="inlineStr">
        <is>
          <t>JÖNKÖPINGS LÄN</t>
        </is>
      </c>
      <c r="G325" t="inlineStr">
        <is>
          <t>SÄVSJÖ</t>
        </is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44245-2022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44839</v>
      </c>
      <c r="E326" s="1" t="n">
        <v>46319</v>
      </c>
      <c r="F326" t="inlineStr">
        <is>
          <t>JÖNKÖPINGS LÄN</t>
        </is>
      </c>
      <c r="G326" t="inlineStr">
        <is>
          <t>SÄVSJÖ</t>
        </is>
      </c>
      <c r="I326" t="n">
        <v>4.7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27014-2023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45094</v>
      </c>
      <c r="E327" s="1" t="n">
        <v>46319</v>
      </c>
      <c r="F327" t="inlineStr">
        <is>
          <t>JÖNKÖPINGS LÄN</t>
        </is>
      </c>
      <c r="G327" t="inlineStr">
        <is>
          <t>SÄVSJÖ</t>
        </is>
      </c>
      <c r="I327" t="n">
        <v>2.2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41391-2022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44826</v>
      </c>
      <c r="E328" s="1" t="n">
        <v>46319</v>
      </c>
      <c r="F328" t="inlineStr">
        <is>
          <t>JÖNKÖPINGS LÄN</t>
        </is>
      </c>
      <c r="G328" t="inlineStr">
        <is>
          <t>SÄVSJÖ</t>
        </is>
      </c>
      <c r="H328" t="inlineStr">
        <is>
          <t>Sveaskog</t>
        </is>
      </c>
      <c r="I328" t="n">
        <v>2.2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27013-2023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45094</v>
      </c>
      <c r="E329" s="1" t="n">
        <v>46319</v>
      </c>
      <c r="F329" t="inlineStr">
        <is>
          <t>JÖNKÖPINGS LÄN</t>
        </is>
      </c>
      <c r="G329" t="inlineStr">
        <is>
          <t>SÄVSJÖ</t>
        </is>
      </c>
      <c r="I329" t="n">
        <v>2.4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29009-2023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45104</v>
      </c>
      <c r="E330" s="1" t="n">
        <v>46319</v>
      </c>
      <c r="F330" t="inlineStr">
        <is>
          <t>JÖNKÖPINGS LÄN</t>
        </is>
      </c>
      <c r="G330" t="inlineStr">
        <is>
          <t>SÄVSJÖ</t>
        </is>
      </c>
      <c r="I330" t="n">
        <v>1.9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64126-2021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44510</v>
      </c>
      <c r="E331" s="1" t="n">
        <v>46319</v>
      </c>
      <c r="F331" t="inlineStr">
        <is>
          <t>JÖNKÖPINGS LÄN</t>
        </is>
      </c>
      <c r="G331" t="inlineStr">
        <is>
          <t>SÄVSJÖ</t>
        </is>
      </c>
      <c r="I331" t="n">
        <v>7.4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31788-2023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45118</v>
      </c>
      <c r="E332" s="1" t="n">
        <v>46319</v>
      </c>
      <c r="F332" t="inlineStr">
        <is>
          <t>JÖNKÖPINGS LÄN</t>
        </is>
      </c>
      <c r="G332" t="inlineStr">
        <is>
          <t>SÄVSJÖ</t>
        </is>
      </c>
      <c r="I332" t="n">
        <v>1.2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62961-2021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44505</v>
      </c>
      <c r="E333" s="1" t="n">
        <v>46319</v>
      </c>
      <c r="F333" t="inlineStr">
        <is>
          <t>JÖNKÖPINGS LÄN</t>
        </is>
      </c>
      <c r="G333" t="inlineStr">
        <is>
          <t>SÄVSJÖ</t>
        </is>
      </c>
      <c r="I333" t="n">
        <v>3.2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11263-2024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45371</v>
      </c>
      <c r="E334" s="1" t="n">
        <v>46319</v>
      </c>
      <c r="F334" t="inlineStr">
        <is>
          <t>JÖNKÖPINGS LÄN</t>
        </is>
      </c>
      <c r="G334" t="inlineStr">
        <is>
          <t>SÄVSJÖ</t>
        </is>
      </c>
      <c r="I334" t="n">
        <v>0.8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62177-2023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45267</v>
      </c>
      <c r="E335" s="1" t="n">
        <v>46319</v>
      </c>
      <c r="F335" t="inlineStr">
        <is>
          <t>JÖNKÖPINGS LÄN</t>
        </is>
      </c>
      <c r="G335" t="inlineStr">
        <is>
          <t>SÄVSJÖ</t>
        </is>
      </c>
      <c r="I335" t="n">
        <v>0.4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35320-2023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45146</v>
      </c>
      <c r="E336" s="1" t="n">
        <v>46319</v>
      </c>
      <c r="F336" t="inlineStr">
        <is>
          <t>JÖNKÖPINGS LÄN</t>
        </is>
      </c>
      <c r="G336" t="inlineStr">
        <is>
          <t>SÄVSJÖ</t>
        </is>
      </c>
      <c r="I336" t="n">
        <v>0.4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35812-2023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45148</v>
      </c>
      <c r="E337" s="1" t="n">
        <v>46319</v>
      </c>
      <c r="F337" t="inlineStr">
        <is>
          <t>JÖNKÖPINGS LÄN</t>
        </is>
      </c>
      <c r="G337" t="inlineStr">
        <is>
          <t>SÄVSJÖ</t>
        </is>
      </c>
      <c r="I337" t="n">
        <v>0.9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19769-2025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45771</v>
      </c>
      <c r="E338" s="1" t="n">
        <v>46319</v>
      </c>
      <c r="F338" t="inlineStr">
        <is>
          <t>JÖNKÖPINGS LÄN</t>
        </is>
      </c>
      <c r="G338" t="inlineStr">
        <is>
          <t>SÄVSJÖ</t>
        </is>
      </c>
      <c r="I338" t="n">
        <v>2.8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39362-2023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45166</v>
      </c>
      <c r="E339" s="1" t="n">
        <v>46319</v>
      </c>
      <c r="F339" t="inlineStr">
        <is>
          <t>JÖNKÖPINGS LÄN</t>
        </is>
      </c>
      <c r="G339" t="inlineStr">
        <is>
          <t>SÄVSJÖ</t>
        </is>
      </c>
      <c r="I339" t="n">
        <v>0.7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51804-2024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45607</v>
      </c>
      <c r="E340" s="1" t="n">
        <v>46319</v>
      </c>
      <c r="F340" t="inlineStr">
        <is>
          <t>JÖNKÖPINGS LÄN</t>
        </is>
      </c>
      <c r="G340" t="inlineStr">
        <is>
          <t>SÄVSJÖ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51809-2024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45607</v>
      </c>
      <c r="E341" s="1" t="n">
        <v>46319</v>
      </c>
      <c r="F341" t="inlineStr">
        <is>
          <t>JÖNKÖPINGS LÄN</t>
        </is>
      </c>
      <c r="G341" t="inlineStr">
        <is>
          <t>SÄVSJÖ</t>
        </is>
      </c>
      <c r="I341" t="n">
        <v>0.5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36391-2024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45534</v>
      </c>
      <c r="E342" s="1" t="n">
        <v>46319</v>
      </c>
      <c r="F342" t="inlineStr">
        <is>
          <t>JÖNKÖPINGS LÄN</t>
        </is>
      </c>
      <c r="G342" t="inlineStr">
        <is>
          <t>SÄVSJÖ</t>
        </is>
      </c>
      <c r="I342" t="n">
        <v>2.1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17768-2023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45037</v>
      </c>
      <c r="E343" s="1" t="n">
        <v>46319</v>
      </c>
      <c r="F343" t="inlineStr">
        <is>
          <t>JÖNKÖPINGS LÄN</t>
        </is>
      </c>
      <c r="G343" t="inlineStr">
        <is>
          <t>SÄVSJÖ</t>
        </is>
      </c>
      <c r="I343" t="n">
        <v>0.4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58397-2024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45634</v>
      </c>
      <c r="E344" s="1" t="n">
        <v>46319</v>
      </c>
      <c r="F344" t="inlineStr">
        <is>
          <t>JÖNKÖPINGS LÄN</t>
        </is>
      </c>
      <c r="G344" t="inlineStr">
        <is>
          <t>SÄVSJÖ</t>
        </is>
      </c>
      <c r="I344" t="n">
        <v>0.5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58398-2024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45634</v>
      </c>
      <c r="E345" s="1" t="n">
        <v>46319</v>
      </c>
      <c r="F345" t="inlineStr">
        <is>
          <t>JÖNKÖPINGS LÄN</t>
        </is>
      </c>
      <c r="G345" t="inlineStr">
        <is>
          <t>SÄVSJÖ</t>
        </is>
      </c>
      <c r="I345" t="n">
        <v>0.8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26380-2024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45469</v>
      </c>
      <c r="E346" s="1" t="n">
        <v>46319</v>
      </c>
      <c r="F346" t="inlineStr">
        <is>
          <t>JÖNKÖPINGS LÄN</t>
        </is>
      </c>
      <c r="G346" t="inlineStr">
        <is>
          <t>SÄVSJÖ</t>
        </is>
      </c>
      <c r="I346" t="n">
        <v>2.1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29013-2023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45104</v>
      </c>
      <c r="E347" s="1" t="n">
        <v>46319</v>
      </c>
      <c r="F347" t="inlineStr">
        <is>
          <t>JÖNKÖPINGS LÄN</t>
        </is>
      </c>
      <c r="G347" t="inlineStr">
        <is>
          <t>SÄVSJÖ</t>
        </is>
      </c>
      <c r="I347" t="n">
        <v>1.7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10591-2023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44988</v>
      </c>
      <c r="E348" s="1" t="n">
        <v>46319</v>
      </c>
      <c r="F348" t="inlineStr">
        <is>
          <t>JÖNKÖPINGS LÄN</t>
        </is>
      </c>
      <c r="G348" t="inlineStr">
        <is>
          <t>SÄVSJÖ</t>
        </is>
      </c>
      <c r="I348" t="n">
        <v>1.1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33154-2024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45518</v>
      </c>
      <c r="E349" s="1" t="n">
        <v>46319</v>
      </c>
      <c r="F349" t="inlineStr">
        <is>
          <t>JÖNKÖPINGS LÄN</t>
        </is>
      </c>
      <c r="G349" t="inlineStr">
        <is>
          <t>SÄVSJÖ</t>
        </is>
      </c>
      <c r="I349" t="n">
        <v>1.1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40552-2023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45170</v>
      </c>
      <c r="E350" s="1" t="n">
        <v>46319</v>
      </c>
      <c r="F350" t="inlineStr">
        <is>
          <t>JÖNKÖPINGS LÄN</t>
        </is>
      </c>
      <c r="G350" t="inlineStr">
        <is>
          <t>SÄVSJÖ</t>
        </is>
      </c>
      <c r="I350" t="n">
        <v>2.6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51998-2024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45607</v>
      </c>
      <c r="E351" s="1" t="n">
        <v>46319</v>
      </c>
      <c r="F351" t="inlineStr">
        <is>
          <t>JÖNKÖPINGS LÄN</t>
        </is>
      </c>
      <c r="G351" t="inlineStr">
        <is>
          <t>SÄVSJÖ</t>
        </is>
      </c>
      <c r="H351" t="inlineStr">
        <is>
          <t>Övriga Aktiebolag</t>
        </is>
      </c>
      <c r="I351" t="n">
        <v>2.9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18135-2023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45040</v>
      </c>
      <c r="E352" s="1" t="n">
        <v>46319</v>
      </c>
      <c r="F352" t="inlineStr">
        <is>
          <t>JÖNKÖPINGS LÄN</t>
        </is>
      </c>
      <c r="G352" t="inlineStr">
        <is>
          <t>SÄVSJÖ</t>
        </is>
      </c>
      <c r="I352" t="n">
        <v>6.2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38333-2023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45161</v>
      </c>
      <c r="E353" s="1" t="n">
        <v>46319</v>
      </c>
      <c r="F353" t="inlineStr">
        <is>
          <t>JÖNKÖPINGS LÄN</t>
        </is>
      </c>
      <c r="G353" t="inlineStr">
        <is>
          <t>SÄVSJÖ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17779-2025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45758</v>
      </c>
      <c r="E354" s="1" t="n">
        <v>46319</v>
      </c>
      <c r="F354" t="inlineStr">
        <is>
          <t>JÖNKÖPINGS LÄN</t>
        </is>
      </c>
      <c r="G354" t="inlineStr">
        <is>
          <t>SÄVSJÖ</t>
        </is>
      </c>
      <c r="H354" t="inlineStr">
        <is>
          <t>Kyrkan</t>
        </is>
      </c>
      <c r="I354" t="n">
        <v>5.8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36183-2024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45534</v>
      </c>
      <c r="E355" s="1" t="n">
        <v>46319</v>
      </c>
      <c r="F355" t="inlineStr">
        <is>
          <t>JÖNKÖPINGS LÄN</t>
        </is>
      </c>
      <c r="G355" t="inlineStr">
        <is>
          <t>SÄVSJÖ</t>
        </is>
      </c>
      <c r="I355" t="n">
        <v>2.6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8536-2024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45355</v>
      </c>
      <c r="E356" s="1" t="n">
        <v>46319</v>
      </c>
      <c r="F356" t="inlineStr">
        <is>
          <t>JÖNKÖPINGS LÄN</t>
        </is>
      </c>
      <c r="G356" t="inlineStr">
        <is>
          <t>SÄVSJÖ</t>
        </is>
      </c>
      <c r="I356" t="n">
        <v>6.5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16842-2024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45411</v>
      </c>
      <c r="E357" s="1" t="n">
        <v>46319</v>
      </c>
      <c r="F357" t="inlineStr">
        <is>
          <t>JÖNKÖPINGS LÄN</t>
        </is>
      </c>
      <c r="G357" t="inlineStr">
        <is>
          <t>SÄVSJÖ</t>
        </is>
      </c>
      <c r="I357" t="n">
        <v>0.9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58361-2024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45632</v>
      </c>
      <c r="E358" s="1" t="n">
        <v>46319</v>
      </c>
      <c r="F358" t="inlineStr">
        <is>
          <t>JÖNKÖPINGS LÄN</t>
        </is>
      </c>
      <c r="G358" t="inlineStr">
        <is>
          <t>SÄVSJÖ</t>
        </is>
      </c>
      <c r="I358" t="n">
        <v>0.5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58362-2024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45632</v>
      </c>
      <c r="E359" s="1" t="n">
        <v>46319</v>
      </c>
      <c r="F359" t="inlineStr">
        <is>
          <t>JÖNKÖPINGS LÄN</t>
        </is>
      </c>
      <c r="G359" t="inlineStr">
        <is>
          <t>SÄVSJÖ</t>
        </is>
      </c>
      <c r="I359" t="n">
        <v>0.6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19935-2023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45054</v>
      </c>
      <c r="E360" s="1" t="n">
        <v>46319</v>
      </c>
      <c r="F360" t="inlineStr">
        <is>
          <t>JÖNKÖPINGS LÄN</t>
        </is>
      </c>
      <c r="G360" t="inlineStr">
        <is>
          <t>SÄVSJÖ</t>
        </is>
      </c>
      <c r="I360" t="n">
        <v>0.8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21795-2023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45067</v>
      </c>
      <c r="E361" s="1" t="n">
        <v>46319</v>
      </c>
      <c r="F361" t="inlineStr">
        <is>
          <t>JÖNKÖPINGS LÄN</t>
        </is>
      </c>
      <c r="G361" t="inlineStr">
        <is>
          <t>SÄVSJÖ</t>
        </is>
      </c>
      <c r="I361" t="n">
        <v>2.2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6620-2022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44601</v>
      </c>
      <c r="E362" s="1" t="n">
        <v>46319</v>
      </c>
      <c r="F362" t="inlineStr">
        <is>
          <t>JÖNKÖPINGS LÄN</t>
        </is>
      </c>
      <c r="G362" t="inlineStr">
        <is>
          <t>SÄVSJÖ</t>
        </is>
      </c>
      <c r="H362" t="inlineStr">
        <is>
          <t>Sveaskog</t>
        </is>
      </c>
      <c r="I362" t="n">
        <v>1.2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24798-2023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45084</v>
      </c>
      <c r="E363" s="1" t="n">
        <v>46319</v>
      </c>
      <c r="F363" t="inlineStr">
        <is>
          <t>JÖNKÖPINGS LÄN</t>
        </is>
      </c>
      <c r="G363" t="inlineStr">
        <is>
          <t>SÄVSJÖ</t>
        </is>
      </c>
      <c r="I363" t="n">
        <v>1.1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8341-2022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44610</v>
      </c>
      <c r="E364" s="1" t="n">
        <v>46319</v>
      </c>
      <c r="F364" t="inlineStr">
        <is>
          <t>JÖNKÖPINGS LÄN</t>
        </is>
      </c>
      <c r="G364" t="inlineStr">
        <is>
          <t>SÄVSJÖ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50564-2024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45601</v>
      </c>
      <c r="E365" s="1" t="n">
        <v>46319</v>
      </c>
      <c r="F365" t="inlineStr">
        <is>
          <t>JÖNKÖPINGS LÄN</t>
        </is>
      </c>
      <c r="G365" t="inlineStr">
        <is>
          <t>SÄVSJÖ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64573-2023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45281</v>
      </c>
      <c r="E366" s="1" t="n">
        <v>46319</v>
      </c>
      <c r="F366" t="inlineStr">
        <is>
          <t>JÖNKÖPINGS LÄN</t>
        </is>
      </c>
      <c r="G366" t="inlineStr">
        <is>
          <t>SÄVSJÖ</t>
        </is>
      </c>
      <c r="I366" t="n">
        <v>1.7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47893-2023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45204</v>
      </c>
      <c r="E367" s="1" t="n">
        <v>46319</v>
      </c>
      <c r="F367" t="inlineStr">
        <is>
          <t>JÖNKÖPINGS LÄN</t>
        </is>
      </c>
      <c r="G367" t="inlineStr">
        <is>
          <t>SÄVSJÖ</t>
        </is>
      </c>
      <c r="I367" t="n">
        <v>1.2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11239-2024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45371</v>
      </c>
      <c r="E368" s="1" t="n">
        <v>46319</v>
      </c>
      <c r="F368" t="inlineStr">
        <is>
          <t>JÖNKÖPINGS LÄN</t>
        </is>
      </c>
      <c r="G368" t="inlineStr">
        <is>
          <t>SÄVSJÖ</t>
        </is>
      </c>
      <c r="I368" t="n">
        <v>0.5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16379-2024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45407</v>
      </c>
      <c r="E369" s="1" t="n">
        <v>46319</v>
      </c>
      <c r="F369" t="inlineStr">
        <is>
          <t>JÖNKÖPINGS LÄN</t>
        </is>
      </c>
      <c r="G369" t="inlineStr">
        <is>
          <t>SÄVSJÖ</t>
        </is>
      </c>
      <c r="I369" t="n">
        <v>1.9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38699-2023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45163</v>
      </c>
      <c r="E370" s="1" t="n">
        <v>46319</v>
      </c>
      <c r="F370" t="inlineStr">
        <is>
          <t>JÖNKÖPINGS LÄN</t>
        </is>
      </c>
      <c r="G370" t="inlineStr">
        <is>
          <t>SÄVSJÖ</t>
        </is>
      </c>
      <c r="I370" t="n">
        <v>1.5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40575-2023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45170</v>
      </c>
      <c r="E371" s="1" t="n">
        <v>46319</v>
      </c>
      <c r="F371" t="inlineStr">
        <is>
          <t>JÖNKÖPINGS LÄN</t>
        </is>
      </c>
      <c r="G371" t="inlineStr">
        <is>
          <t>SÄVSJÖ</t>
        </is>
      </c>
      <c r="I371" t="n">
        <v>0.7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46906-2023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45201</v>
      </c>
      <c r="E372" s="1" t="n">
        <v>46319</v>
      </c>
      <c r="F372" t="inlineStr">
        <is>
          <t>JÖNKÖPINGS LÄN</t>
        </is>
      </c>
      <c r="G372" t="inlineStr">
        <is>
          <t>SÄVSJÖ</t>
        </is>
      </c>
      <c r="I372" t="n">
        <v>0.5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46408-2023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45197</v>
      </c>
      <c r="E373" s="1" t="n">
        <v>46319</v>
      </c>
      <c r="F373" t="inlineStr">
        <is>
          <t>JÖNKÖPINGS LÄN</t>
        </is>
      </c>
      <c r="G373" t="inlineStr">
        <is>
          <t>SÄVSJÖ</t>
        </is>
      </c>
      <c r="I373" t="n">
        <v>0.6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49598-2023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45211</v>
      </c>
      <c r="E374" s="1" t="n">
        <v>46319</v>
      </c>
      <c r="F374" t="inlineStr">
        <is>
          <t>JÖNKÖPINGS LÄN</t>
        </is>
      </c>
      <c r="G374" t="inlineStr">
        <is>
          <t>SÄVSJÖ</t>
        </is>
      </c>
      <c r="I374" t="n">
        <v>1.5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51795-2022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44872</v>
      </c>
      <c r="E375" s="1" t="n">
        <v>46319</v>
      </c>
      <c r="F375" t="inlineStr">
        <is>
          <t>JÖNKÖPINGS LÄN</t>
        </is>
      </c>
      <c r="G375" t="inlineStr">
        <is>
          <t>SÄVSJÖ</t>
        </is>
      </c>
      <c r="I375" t="n">
        <v>3.5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55381-2023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45238</v>
      </c>
      <c r="E376" s="1" t="n">
        <v>46319</v>
      </c>
      <c r="F376" t="inlineStr">
        <is>
          <t>JÖNKÖPINGS LÄN</t>
        </is>
      </c>
      <c r="G376" t="inlineStr">
        <is>
          <t>SÄVSJÖ</t>
        </is>
      </c>
      <c r="I376" t="n">
        <v>0.4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39730-2023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45167</v>
      </c>
      <c r="E377" s="1" t="n">
        <v>46319</v>
      </c>
      <c r="F377" t="inlineStr">
        <is>
          <t>JÖNKÖPINGS LÄN</t>
        </is>
      </c>
      <c r="G377" t="inlineStr">
        <is>
          <t>SÄVSJÖ</t>
        </is>
      </c>
      <c r="I377" t="n">
        <v>0.7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7358-2025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45704</v>
      </c>
      <c r="E378" s="1" t="n">
        <v>46319</v>
      </c>
      <c r="F378" t="inlineStr">
        <is>
          <t>JÖNKÖPINGS LÄN</t>
        </is>
      </c>
      <c r="G378" t="inlineStr">
        <is>
          <t>SÄVSJÖ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14880-2022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44656</v>
      </c>
      <c r="E379" s="1" t="n">
        <v>46319</v>
      </c>
      <c r="F379" t="inlineStr">
        <is>
          <t>JÖNKÖPINGS LÄN</t>
        </is>
      </c>
      <c r="G379" t="inlineStr">
        <is>
          <t>SÄVSJÖ</t>
        </is>
      </c>
      <c r="I379" t="n">
        <v>0.8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38283-2023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45161</v>
      </c>
      <c r="E380" s="1" t="n">
        <v>46319</v>
      </c>
      <c r="F380" t="inlineStr">
        <is>
          <t>JÖNKÖPINGS LÄN</t>
        </is>
      </c>
      <c r="G380" t="inlineStr">
        <is>
          <t>SÄVSJÖ</t>
        </is>
      </c>
      <c r="I380" t="n">
        <v>1.6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5724-2025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45694</v>
      </c>
      <c r="E381" s="1" t="n">
        <v>46319</v>
      </c>
      <c r="F381" t="inlineStr">
        <is>
          <t>JÖNKÖPINGS LÄN</t>
        </is>
      </c>
      <c r="G381" t="inlineStr">
        <is>
          <t>SÄVSJÖ</t>
        </is>
      </c>
      <c r="I381" t="n">
        <v>9.800000000000001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55482-2023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45238</v>
      </c>
      <c r="E382" s="1" t="n">
        <v>46319</v>
      </c>
      <c r="F382" t="inlineStr">
        <is>
          <t>JÖNKÖPINGS LÄN</t>
        </is>
      </c>
      <c r="G382" t="inlineStr">
        <is>
          <t>SÄVSJÖ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19856-2024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45433</v>
      </c>
      <c r="E383" s="1" t="n">
        <v>46319</v>
      </c>
      <c r="F383" t="inlineStr">
        <is>
          <t>JÖNKÖPINGS LÄN</t>
        </is>
      </c>
      <c r="G383" t="inlineStr">
        <is>
          <t>SÄVSJÖ</t>
        </is>
      </c>
      <c r="I383" t="n">
        <v>3.7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55012-2023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45237</v>
      </c>
      <c r="E384" s="1" t="n">
        <v>46319</v>
      </c>
      <c r="F384" t="inlineStr">
        <is>
          <t>JÖNKÖPINGS LÄN</t>
        </is>
      </c>
      <c r="G384" t="inlineStr">
        <is>
          <t>SÄVSJÖ</t>
        </is>
      </c>
      <c r="I384" t="n">
        <v>5.4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14159-2022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44651</v>
      </c>
      <c r="E385" s="1" t="n">
        <v>46319</v>
      </c>
      <c r="F385" t="inlineStr">
        <is>
          <t>JÖNKÖPINGS LÄN</t>
        </is>
      </c>
      <c r="G385" t="inlineStr">
        <is>
          <t>SÄVSJÖ</t>
        </is>
      </c>
      <c r="I385" t="n">
        <v>1.4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49406-2023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45211</v>
      </c>
      <c r="E386" s="1" t="n">
        <v>46319</v>
      </c>
      <c r="F386" t="inlineStr">
        <is>
          <t>JÖNKÖPINGS LÄN</t>
        </is>
      </c>
      <c r="G386" t="inlineStr">
        <is>
          <t>SÄVSJÖ</t>
        </is>
      </c>
      <c r="I386" t="n">
        <v>2.4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54547-2023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45226</v>
      </c>
      <c r="E387" s="1" t="n">
        <v>46319</v>
      </c>
      <c r="F387" t="inlineStr">
        <is>
          <t>JÖNKÖPINGS LÄN</t>
        </is>
      </c>
      <c r="G387" t="inlineStr">
        <is>
          <t>SÄVSJÖ</t>
        </is>
      </c>
      <c r="H387" t="inlineStr">
        <is>
          <t>Kyrkan</t>
        </is>
      </c>
      <c r="I387" t="n">
        <v>1.8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20576-2025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45775</v>
      </c>
      <c r="E388" s="1" t="n">
        <v>46319</v>
      </c>
      <c r="F388" t="inlineStr">
        <is>
          <t>JÖNKÖPINGS LÄN</t>
        </is>
      </c>
      <c r="G388" t="inlineStr">
        <is>
          <t>SÄVSJÖ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2868-2024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45315</v>
      </c>
      <c r="E389" s="1" t="n">
        <v>46319</v>
      </c>
      <c r="F389" t="inlineStr">
        <is>
          <t>JÖNKÖPINGS LÄN</t>
        </is>
      </c>
      <c r="G389" t="inlineStr">
        <is>
          <t>SÄVSJÖ</t>
        </is>
      </c>
      <c r="I389" t="n">
        <v>2.9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42394-2022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44830</v>
      </c>
      <c r="E390" s="1" t="n">
        <v>46319</v>
      </c>
      <c r="F390" t="inlineStr">
        <is>
          <t>JÖNKÖPINGS LÄN</t>
        </is>
      </c>
      <c r="G390" t="inlineStr">
        <is>
          <t>SÄVSJÖ</t>
        </is>
      </c>
      <c r="I390" t="n">
        <v>1.8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1201-2024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45302</v>
      </c>
      <c r="E391" s="1" t="n">
        <v>46319</v>
      </c>
      <c r="F391" t="inlineStr">
        <is>
          <t>JÖNKÖPINGS LÄN</t>
        </is>
      </c>
      <c r="G391" t="inlineStr">
        <is>
          <t>SÄVSJÖ</t>
        </is>
      </c>
      <c r="I391" t="n">
        <v>2.2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55039-2023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45237</v>
      </c>
      <c r="E392" s="1" t="n">
        <v>46319</v>
      </c>
      <c r="F392" t="inlineStr">
        <is>
          <t>JÖNKÖPINGS LÄN</t>
        </is>
      </c>
      <c r="G392" t="inlineStr">
        <is>
          <t>SÄVSJÖ</t>
        </is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907-2024</t>
        </is>
      </c>
      <c r="B393" t="inlineStr">
        <is>
          <t>avverkningsanmälan</t>
        </is>
      </c>
      <c r="C393" t="inlineStr">
        <is>
          <t>Avverkning för annat ändamål</t>
        </is>
      </c>
      <c r="D393" s="1" t="n">
        <v>45301</v>
      </c>
      <c r="E393" s="1" t="n">
        <v>46319</v>
      </c>
      <c r="F393" t="inlineStr">
        <is>
          <t>JÖNKÖPINGS LÄN</t>
        </is>
      </c>
      <c r="G393" t="inlineStr">
        <is>
          <t>SÄVSJÖ</t>
        </is>
      </c>
      <c r="I393" t="n">
        <v>0.9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35843-2024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45532</v>
      </c>
      <c r="E394" s="1" t="n">
        <v>46319</v>
      </c>
      <c r="F394" t="inlineStr">
        <is>
          <t>JÖNKÖPINGS LÄN</t>
        </is>
      </c>
      <c r="G394" t="inlineStr">
        <is>
          <t>SÄVSJÖ</t>
        </is>
      </c>
      <c r="I394" t="n">
        <v>1.2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910-2024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45301</v>
      </c>
      <c r="E395" s="1" t="n">
        <v>46319</v>
      </c>
      <c r="F395" t="inlineStr">
        <is>
          <t>JÖNKÖPINGS LÄN</t>
        </is>
      </c>
      <c r="G395" t="inlineStr">
        <is>
          <t>SÄVSJÖ</t>
        </is>
      </c>
      <c r="I395" t="n">
        <v>2.5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63679-2023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45275</v>
      </c>
      <c r="E396" s="1" t="n">
        <v>46319</v>
      </c>
      <c r="F396" t="inlineStr">
        <is>
          <t>JÖNKÖPINGS LÄN</t>
        </is>
      </c>
      <c r="G396" t="inlineStr">
        <is>
          <t>SÄVSJÖ</t>
        </is>
      </c>
      <c r="I396" t="n">
        <v>0.7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3599-2024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45320</v>
      </c>
      <c r="E397" s="1" t="n">
        <v>46319</v>
      </c>
      <c r="F397" t="inlineStr">
        <is>
          <t>JÖNKÖPINGS LÄN</t>
        </is>
      </c>
      <c r="G397" t="inlineStr">
        <is>
          <t>SÄVSJÖ</t>
        </is>
      </c>
      <c r="I397" t="n">
        <v>0.5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59054-2023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45252</v>
      </c>
      <c r="E398" s="1" t="n">
        <v>46319</v>
      </c>
      <c r="F398" t="inlineStr">
        <is>
          <t>JÖNKÖPINGS LÄN</t>
        </is>
      </c>
      <c r="G398" t="inlineStr">
        <is>
          <t>SÄVSJÖ</t>
        </is>
      </c>
      <c r="I398" t="n">
        <v>5.9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38914-2024</t>
        </is>
      </c>
      <c r="B399" t="inlineStr">
        <is>
          <t>avverkningsanmälan</t>
        </is>
      </c>
      <c r="C399" t="inlineStr">
        <is>
          <t>Avverkning för annat ändamål</t>
        </is>
      </c>
      <c r="D399" s="1" t="n">
        <v>45547</v>
      </c>
      <c r="E399" s="1" t="n">
        <v>46319</v>
      </c>
      <c r="F399" t="inlineStr">
        <is>
          <t>JÖNKÖPINGS LÄN</t>
        </is>
      </c>
      <c r="G399" t="inlineStr">
        <is>
          <t>SÄVSJÖ</t>
        </is>
      </c>
      <c r="I399" t="n">
        <v>1.8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43976-2022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44838</v>
      </c>
      <c r="E400" s="1" t="n">
        <v>46319</v>
      </c>
      <c r="F400" t="inlineStr">
        <is>
          <t>JÖNKÖPINGS LÄN</t>
        </is>
      </c>
      <c r="G400" t="inlineStr">
        <is>
          <t>SÄVSJÖ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55909-2024</t>
        </is>
      </c>
      <c r="B401" t="inlineStr">
        <is>
          <t>avverkningsanmälan</t>
        </is>
      </c>
      <c r="C401" t="inlineStr">
        <is>
          <t>Avverkning för annat ändamål</t>
        </is>
      </c>
      <c r="D401" s="1" t="n">
        <v>45623</v>
      </c>
      <c r="E401" s="1" t="n">
        <v>46319</v>
      </c>
      <c r="F401" t="inlineStr">
        <is>
          <t>JÖNKÖPINGS LÄN</t>
        </is>
      </c>
      <c r="G401" t="inlineStr">
        <is>
          <t>SÄVSJÖ</t>
        </is>
      </c>
      <c r="H401" t="inlineStr">
        <is>
          <t>Kommuner</t>
        </is>
      </c>
      <c r="I401" t="n">
        <v>0.2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36393-2024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45534</v>
      </c>
      <c r="E402" s="1" t="n">
        <v>46319</v>
      </c>
      <c r="F402" t="inlineStr">
        <is>
          <t>JÖNKÖPINGS LÄN</t>
        </is>
      </c>
      <c r="G402" t="inlineStr">
        <is>
          <t>SÄVSJÖ</t>
        </is>
      </c>
      <c r="I402" t="n">
        <v>1.3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14045-2023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45008</v>
      </c>
      <c r="E403" s="1" t="n">
        <v>46319</v>
      </c>
      <c r="F403" t="inlineStr">
        <is>
          <t>JÖNKÖPINGS LÄN</t>
        </is>
      </c>
      <c r="G403" t="inlineStr">
        <is>
          <t>SÄVSJÖ</t>
        </is>
      </c>
      <c r="H403" t="inlineStr">
        <is>
          <t>Kommuner</t>
        </is>
      </c>
      <c r="I403" t="n">
        <v>1.7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4030-2023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44952</v>
      </c>
      <c r="E404" s="1" t="n">
        <v>46319</v>
      </c>
      <c r="F404" t="inlineStr">
        <is>
          <t>JÖNKÖPINGS LÄN</t>
        </is>
      </c>
      <c r="G404" t="inlineStr">
        <is>
          <t>SÄVSJÖ</t>
        </is>
      </c>
      <c r="I404" t="n">
        <v>1.9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S 10445-2021</t>
        </is>
      </c>
      <c r="B405" t="inlineStr">
        <is>
          <t>samrådsanmälan</t>
        </is>
      </c>
      <c r="C405" t="inlineStr">
        <is>
          <t>Skogsbilväg</t>
        </is>
      </c>
      <c r="D405" s="1" t="n">
        <v>44558</v>
      </c>
      <c r="E405" s="1" t="n">
        <v>46319</v>
      </c>
      <c r="F405" t="inlineStr">
        <is>
          <t>JÖNKÖPINGS LÄN</t>
        </is>
      </c>
      <c r="G405" t="inlineStr">
        <is>
          <t>SÄVSJÖ</t>
        </is>
      </c>
      <c r="I405" t="n">
        <v>0.8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S 6558-2022</t>
        </is>
      </c>
      <c r="B406" t="inlineStr">
        <is>
          <t>samrådsanmälan</t>
        </is>
      </c>
      <c r="C406" t="inlineStr">
        <is>
          <t>Annan skogsbruksåtgärd</t>
        </is>
      </c>
      <c r="D406" s="1" t="n">
        <v>44882</v>
      </c>
      <c r="E406" s="1" t="n">
        <v>46319</v>
      </c>
      <c r="F406" t="inlineStr">
        <is>
          <t>JÖNKÖPINGS LÄN</t>
        </is>
      </c>
      <c r="G406" t="inlineStr">
        <is>
          <t>SÄVSJÖ</t>
        </is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S 2542-2023</t>
        </is>
      </c>
      <c r="B407" t="inlineStr">
        <is>
          <t>samrådsanmälan</t>
        </is>
      </c>
      <c r="C407" t="inlineStr">
        <is>
          <t>Annan skogsbruksåtgärd</t>
        </is>
      </c>
      <c r="D407" s="1" t="n">
        <v>45139</v>
      </c>
      <c r="E407" s="1" t="n">
        <v>46319</v>
      </c>
      <c r="F407" t="inlineStr">
        <is>
          <t>JÖNKÖPINGS LÄN</t>
        </is>
      </c>
      <c r="G407" t="inlineStr">
        <is>
          <t>SÄVSJÖ</t>
        </is>
      </c>
      <c r="I407" t="n">
        <v>5.8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S 1675-2023</t>
        </is>
      </c>
      <c r="B408" t="inlineStr">
        <is>
          <t>samrådsanmälan</t>
        </is>
      </c>
      <c r="C408" t="inlineStr">
        <is>
          <t>Askåterföring</t>
        </is>
      </c>
      <c r="D408" s="1" t="n">
        <v>45063</v>
      </c>
      <c r="E408" s="1" t="n">
        <v>46319</v>
      </c>
      <c r="F408" t="inlineStr">
        <is>
          <t>JÖNKÖPINGS LÄN</t>
        </is>
      </c>
      <c r="G408" t="inlineStr">
        <is>
          <t>SÄVSJÖ</t>
        </is>
      </c>
      <c r="I408" t="n">
        <v>8.1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S 1674-2023</t>
        </is>
      </c>
      <c r="B409" t="inlineStr">
        <is>
          <t>samrådsanmälan</t>
        </is>
      </c>
      <c r="C409" t="inlineStr">
        <is>
          <t>Askåterföring</t>
        </is>
      </c>
      <c r="D409" s="1" t="n">
        <v>45063</v>
      </c>
      <c r="E409" s="1" t="n">
        <v>46319</v>
      </c>
      <c r="F409" t="inlineStr">
        <is>
          <t>JÖNKÖPINGS LÄN</t>
        </is>
      </c>
      <c r="G409" t="inlineStr">
        <is>
          <t>SÄVSJÖ</t>
        </is>
      </c>
      <c r="I409" t="n">
        <v>10.4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S 2964-2023</t>
        </is>
      </c>
      <c r="B410" t="inlineStr">
        <is>
          <t>samrådsanmälan</t>
        </is>
      </c>
      <c r="C410" t="inlineStr">
        <is>
          <t>Askåterföring</t>
        </is>
      </c>
      <c r="D410" s="1" t="n">
        <v>45173</v>
      </c>
      <c r="E410" s="1" t="n">
        <v>46319</v>
      </c>
      <c r="F410" t="inlineStr">
        <is>
          <t>JÖNKÖPINGS LÄN</t>
        </is>
      </c>
      <c r="G410" t="inlineStr">
        <is>
          <t>SÄVSJÖ</t>
        </is>
      </c>
      <c r="I410" t="n">
        <v>54.6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S 2661-2023</t>
        </is>
      </c>
      <c r="B411" t="inlineStr">
        <is>
          <t>samrådsanmälan</t>
        </is>
      </c>
      <c r="C411" t="inlineStr">
        <is>
          <t>Askåterföring</t>
        </is>
      </c>
      <c r="D411" s="1" t="n">
        <v>45152</v>
      </c>
      <c r="E411" s="1" t="n">
        <v>46319</v>
      </c>
      <c r="F411" t="inlineStr">
        <is>
          <t>JÖNKÖPINGS LÄN</t>
        </is>
      </c>
      <c r="G411" t="inlineStr">
        <is>
          <t>SÄVSJÖ</t>
        </is>
      </c>
      <c r="I411" t="n">
        <v>21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S 2660-2023</t>
        </is>
      </c>
      <c r="B412" t="inlineStr">
        <is>
          <t>samrådsanmälan</t>
        </is>
      </c>
      <c r="C412" t="inlineStr">
        <is>
          <t>Askåterföring</t>
        </is>
      </c>
      <c r="D412" s="1" t="n">
        <v>45152</v>
      </c>
      <c r="E412" s="1" t="n">
        <v>46319</v>
      </c>
      <c r="F412" t="inlineStr">
        <is>
          <t>JÖNKÖPINGS LÄN</t>
        </is>
      </c>
      <c r="G412" t="inlineStr">
        <is>
          <t>SÄVSJÖ</t>
        </is>
      </c>
      <c r="I412" t="n">
        <v>14.2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S 4880-2024</t>
        </is>
      </c>
      <c r="B413" t="inlineStr">
        <is>
          <t>samrådsanmälan</t>
        </is>
      </c>
      <c r="C413" t="inlineStr">
        <is>
          <t>Annan skogsbruksåtgärd</t>
        </is>
      </c>
      <c r="D413" s="1" t="n">
        <v>45620</v>
      </c>
      <c r="E413" s="1" t="n">
        <v>46319</v>
      </c>
      <c r="F413" t="inlineStr">
        <is>
          <t>JÖNKÖPINGS LÄN</t>
        </is>
      </c>
      <c r="G413" t="inlineStr">
        <is>
          <t>SÄVSJÖ</t>
        </is>
      </c>
      <c r="I413" t="n">
        <v>0.8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S 4563-2024</t>
        </is>
      </c>
      <c r="B414" t="inlineStr">
        <is>
          <t>samrådsanmälan</t>
        </is>
      </c>
      <c r="C414" t="inlineStr">
        <is>
          <t>Askåterföring</t>
        </is>
      </c>
      <c r="D414" s="1" t="n">
        <v>45600</v>
      </c>
      <c r="E414" s="1" t="n">
        <v>46319</v>
      </c>
      <c r="F414" t="inlineStr">
        <is>
          <t>JÖNKÖPINGS LÄN</t>
        </is>
      </c>
      <c r="G414" t="inlineStr">
        <is>
          <t>SÄVSJÖ</t>
        </is>
      </c>
      <c r="I414" t="n">
        <v>7.4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S 2576-2023</t>
        </is>
      </c>
      <c r="B415" t="inlineStr">
        <is>
          <t>samrådsanmälan</t>
        </is>
      </c>
      <c r="C415" t="inlineStr">
        <is>
          <t>Stubbskörd</t>
        </is>
      </c>
      <c r="D415" s="1" t="n">
        <v>45141</v>
      </c>
      <c r="E415" s="1" t="n">
        <v>46319</v>
      </c>
      <c r="F415" t="inlineStr">
        <is>
          <t>JÖNKÖPINGS LÄN</t>
        </is>
      </c>
      <c r="G415" t="inlineStr">
        <is>
          <t>SÄVSJÖ</t>
        </is>
      </c>
      <c r="I415" t="n">
        <v>4.3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S 1237-2025</t>
        </is>
      </c>
      <c r="B416" t="inlineStr">
        <is>
          <t>samrådsanmälan</t>
        </is>
      </c>
      <c r="C416" t="inlineStr">
        <is>
          <t>Askåterföring</t>
        </is>
      </c>
      <c r="D416" s="1" t="n">
        <v>45762</v>
      </c>
      <c r="E416" s="1" t="n">
        <v>46319</v>
      </c>
      <c r="F416" t="inlineStr">
        <is>
          <t>JÖNKÖPINGS LÄN</t>
        </is>
      </c>
      <c r="G416" t="inlineStr">
        <is>
          <t>SÄVSJÖ</t>
        </is>
      </c>
      <c r="I416" t="n">
        <v>28.5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S 1374-2025</t>
        </is>
      </c>
      <c r="B417" t="inlineStr">
        <is>
          <t>samrådsanmälan</t>
        </is>
      </c>
      <c r="C417" t="inlineStr">
        <is>
          <t>Annan skogsbruksåtgärd</t>
        </is>
      </c>
      <c r="D417" s="1" t="n">
        <v>45776</v>
      </c>
      <c r="E417" s="1" t="n">
        <v>46319</v>
      </c>
      <c r="F417" t="inlineStr">
        <is>
          <t>JÖNKÖPINGS LÄN</t>
        </is>
      </c>
      <c r="G417" t="inlineStr">
        <is>
          <t>SÄVSJÖ</t>
        </is>
      </c>
      <c r="H417" t="inlineStr">
        <is>
          <t>Sveaskog</t>
        </is>
      </c>
      <c r="I417" t="n">
        <v>63.1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S 1459-2025</t>
        </is>
      </c>
      <c r="B418" t="inlineStr">
        <is>
          <t>samrådsanmälan</t>
        </is>
      </c>
      <c r="C418" t="inlineStr">
        <is>
          <t>Annan skogsbruksåtgärd</t>
        </is>
      </c>
      <c r="D418" s="1" t="n">
        <v>45786</v>
      </c>
      <c r="E418" s="1" t="n">
        <v>46319</v>
      </c>
      <c r="F418" t="inlineStr">
        <is>
          <t>JÖNKÖPINGS LÄN</t>
        </is>
      </c>
      <c r="G418" t="inlineStr">
        <is>
          <t>SÄVSJÖ</t>
        </is>
      </c>
      <c r="I418" t="n">
        <v>2.5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S 1457-2025</t>
        </is>
      </c>
      <c r="B419" t="inlineStr">
        <is>
          <t>samrådsanmälan</t>
        </is>
      </c>
      <c r="C419" t="inlineStr">
        <is>
          <t>Annan skogsbruksåtgärd</t>
        </is>
      </c>
      <c r="D419" s="1" t="n">
        <v>45785</v>
      </c>
      <c r="E419" s="1" t="n">
        <v>46319</v>
      </c>
      <c r="F419" t="inlineStr">
        <is>
          <t>JÖNKÖPINGS LÄN</t>
        </is>
      </c>
      <c r="G419" t="inlineStr">
        <is>
          <t>SÄVSJÖ</t>
        </is>
      </c>
      <c r="I419" t="n">
        <v>0.9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S 1570-2025</t>
        </is>
      </c>
      <c r="B420" t="inlineStr">
        <is>
          <t>samrådsanmälan</t>
        </is>
      </c>
      <c r="C420" t="inlineStr">
        <is>
          <t>Askåterföring</t>
        </is>
      </c>
      <c r="D420" s="1" t="n">
        <v>45794</v>
      </c>
      <c r="E420" s="1" t="n">
        <v>46319</v>
      </c>
      <c r="F420" t="inlineStr">
        <is>
          <t>JÖNKÖPINGS LÄN</t>
        </is>
      </c>
      <c r="G420" t="inlineStr">
        <is>
          <t>SÄVSJÖ</t>
        </is>
      </c>
      <c r="H420" t="inlineStr">
        <is>
          <t>Kyrkan</t>
        </is>
      </c>
      <c r="I420" t="n">
        <v>57.8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S 1571-2025</t>
        </is>
      </c>
      <c r="B421" t="inlineStr">
        <is>
          <t>samrådsanmälan</t>
        </is>
      </c>
      <c r="C421" t="inlineStr">
        <is>
          <t>Askåterföring</t>
        </is>
      </c>
      <c r="D421" s="1" t="n">
        <v>45794</v>
      </c>
      <c r="E421" s="1" t="n">
        <v>46319</v>
      </c>
      <c r="F421" t="inlineStr">
        <is>
          <t>JÖNKÖPINGS LÄN</t>
        </is>
      </c>
      <c r="G421" t="inlineStr">
        <is>
          <t>SÄVSJÖ</t>
        </is>
      </c>
      <c r="H421" t="inlineStr">
        <is>
          <t>Kyrkan</t>
        </is>
      </c>
      <c r="I421" t="n">
        <v>153.1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S 573-2025</t>
        </is>
      </c>
      <c r="B422" t="inlineStr">
        <is>
          <t>samrådsanmälan</t>
        </is>
      </c>
      <c r="C422" t="inlineStr">
        <is>
          <t>Askåterföring</t>
        </is>
      </c>
      <c r="D422" s="1" t="n">
        <v>45712</v>
      </c>
      <c r="E422" s="1" t="n">
        <v>46319</v>
      </c>
      <c r="F422" t="inlineStr">
        <is>
          <t>JÖNKÖPINGS LÄN</t>
        </is>
      </c>
      <c r="G422" t="inlineStr">
        <is>
          <t>SÄVSJÖ</t>
        </is>
      </c>
      <c r="I422" t="n">
        <v>34.5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S 578-2025</t>
        </is>
      </c>
      <c r="B423" t="inlineStr">
        <is>
          <t>samrådsanmälan</t>
        </is>
      </c>
      <c r="C423" t="inlineStr">
        <is>
          <t>Askåterföring</t>
        </is>
      </c>
      <c r="D423" s="1" t="n">
        <v>45712</v>
      </c>
      <c r="E423" s="1" t="n">
        <v>46319</v>
      </c>
      <c r="F423" t="inlineStr">
        <is>
          <t>JÖNKÖPINGS LÄN</t>
        </is>
      </c>
      <c r="G423" t="inlineStr">
        <is>
          <t>SÄVSJÖ</t>
        </is>
      </c>
      <c r="I423" t="n">
        <v>29.5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S 1812-2025</t>
        </is>
      </c>
      <c r="B424" t="inlineStr">
        <is>
          <t>samrådsanmälan</t>
        </is>
      </c>
      <c r="C424" t="inlineStr">
        <is>
          <t>Annan skogsbruksåtgärd</t>
        </is>
      </c>
      <c r="D424" s="1" t="n">
        <v>45818</v>
      </c>
      <c r="E424" s="1" t="n">
        <v>46319</v>
      </c>
      <c r="F424" t="inlineStr">
        <is>
          <t>JÖNKÖPINGS LÄN</t>
        </is>
      </c>
      <c r="G424" t="inlineStr">
        <is>
          <t>SÄVSJÖ</t>
        </is>
      </c>
      <c r="I424" t="n">
        <v>0.5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S 2071-2025</t>
        </is>
      </c>
      <c r="B425" t="inlineStr">
        <is>
          <t>samrådsanmälan</t>
        </is>
      </c>
      <c r="C425" t="inlineStr">
        <is>
          <t>Askåterföring</t>
        </is>
      </c>
      <c r="D425" s="1" t="n">
        <v>45840</v>
      </c>
      <c r="E425" s="1" t="n">
        <v>46319</v>
      </c>
      <c r="F425" t="inlineStr">
        <is>
          <t>JÖNKÖPINGS LÄN</t>
        </is>
      </c>
      <c r="G425" t="inlineStr">
        <is>
          <t>SÄVSJÖ</t>
        </is>
      </c>
      <c r="I425" t="n">
        <v>10.4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S 3270-2025</t>
        </is>
      </c>
      <c r="B426" t="inlineStr">
        <is>
          <t>samrådsanmälan</t>
        </is>
      </c>
      <c r="C426" t="inlineStr">
        <is>
          <t>Askåterföring</t>
        </is>
      </c>
      <c r="D426" s="1" t="n">
        <v>45985</v>
      </c>
      <c r="E426" s="1" t="n">
        <v>46319</v>
      </c>
      <c r="F426" t="inlineStr">
        <is>
          <t>JÖNKÖPINGS LÄN</t>
        </is>
      </c>
      <c r="G426" t="inlineStr">
        <is>
          <t>SÄVSJÖ</t>
        </is>
      </c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S 3271-2025</t>
        </is>
      </c>
      <c r="B427" t="inlineStr">
        <is>
          <t>samrådsanmälan</t>
        </is>
      </c>
      <c r="C427" t="inlineStr">
        <is>
          <t>Askåterföring</t>
        </is>
      </c>
      <c r="D427" s="1" t="n">
        <v>45985</v>
      </c>
      <c r="E427" s="1" t="n">
        <v>46319</v>
      </c>
      <c r="F427" t="inlineStr">
        <is>
          <t>JÖNKÖPINGS LÄN</t>
        </is>
      </c>
      <c r="G427" t="inlineStr">
        <is>
          <t>SÄVSJÖ</t>
        </is>
      </c>
      <c r="I427" t="n">
        <v>4.3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S 3268-2025</t>
        </is>
      </c>
      <c r="B428" t="inlineStr">
        <is>
          <t>samrådsanmälan</t>
        </is>
      </c>
      <c r="C428" t="inlineStr">
        <is>
          <t>Askåterföring</t>
        </is>
      </c>
      <c r="D428" s="1" t="n">
        <v>45985</v>
      </c>
      <c r="E428" s="1" t="n">
        <v>46319</v>
      </c>
      <c r="F428" t="inlineStr">
        <is>
          <t>JÖNKÖPINGS LÄN</t>
        </is>
      </c>
      <c r="G428" t="inlineStr">
        <is>
          <t>SÄVSJÖ</t>
        </is>
      </c>
      <c r="I428" t="n">
        <v>17.7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S 460-2026</t>
        </is>
      </c>
      <c r="B429" t="inlineStr">
        <is>
          <t>samrådsanmälan</t>
        </is>
      </c>
      <c r="C429" t="inlineStr">
        <is>
          <t>Askåterföring</t>
        </is>
      </c>
      <c r="D429" s="1" t="n">
        <v>46073</v>
      </c>
      <c r="E429" s="1" t="n">
        <v>46319</v>
      </c>
      <c r="F429" t="inlineStr">
        <is>
          <t>JÖNKÖPINGS LÄN</t>
        </is>
      </c>
      <c r="G429" t="inlineStr">
        <is>
          <t>SÄVSJÖ</t>
        </is>
      </c>
      <c r="I429" t="n">
        <v>36.7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S 687-2026</t>
        </is>
      </c>
      <c r="B430" t="inlineStr">
        <is>
          <t>samrådsanmälan</t>
        </is>
      </c>
      <c r="C430" t="inlineStr">
        <is>
          <t>Askåterföring</t>
        </is>
      </c>
      <c r="D430" s="1" t="n">
        <v>46091</v>
      </c>
      <c r="E430" s="1" t="n">
        <v>46319</v>
      </c>
      <c r="F430" t="inlineStr">
        <is>
          <t>JÖNKÖPINGS LÄN</t>
        </is>
      </c>
      <c r="G430" t="inlineStr">
        <is>
          <t>SÄVSJÖ</t>
        </is>
      </c>
      <c r="I430" t="n">
        <v>46.2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S 690-2026</t>
        </is>
      </c>
      <c r="B431" t="inlineStr">
        <is>
          <t>samrådsanmälan</t>
        </is>
      </c>
      <c r="C431" t="inlineStr">
        <is>
          <t>Askåterföring</t>
        </is>
      </c>
      <c r="D431" s="1" t="n">
        <v>46091</v>
      </c>
      <c r="E431" s="1" t="n">
        <v>46319</v>
      </c>
      <c r="F431" t="inlineStr">
        <is>
          <t>JÖNKÖPINGS LÄN</t>
        </is>
      </c>
      <c r="G431" t="inlineStr">
        <is>
          <t>SÄVSJÖ</t>
        </is>
      </c>
      <c r="I431" t="n">
        <v>47.4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S 873-2026</t>
        </is>
      </c>
      <c r="B432" t="inlineStr">
        <is>
          <t>samrådsanmälan</t>
        </is>
      </c>
      <c r="C432" t="inlineStr">
        <is>
          <t>Askåterföring</t>
        </is>
      </c>
      <c r="D432" s="1" t="n">
        <v>46106</v>
      </c>
      <c r="E432" s="1" t="n">
        <v>46319</v>
      </c>
      <c r="F432" t="inlineStr">
        <is>
          <t>JÖNKÖPINGS LÄN</t>
        </is>
      </c>
      <c r="G432" t="inlineStr">
        <is>
          <t>SÄVSJÖ</t>
        </is>
      </c>
      <c r="I432" t="n">
        <v>79.8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S 992-2026</t>
        </is>
      </c>
      <c r="B433" t="inlineStr">
        <is>
          <t>samrådsanmälan</t>
        </is>
      </c>
      <c r="C433" t="inlineStr">
        <is>
          <t>Annan skogsbruksåtgärd</t>
        </is>
      </c>
      <c r="D433" s="1" t="n">
        <v>46119</v>
      </c>
      <c r="E433" s="1" t="n">
        <v>46319</v>
      </c>
      <c r="F433" t="inlineStr">
        <is>
          <t>JÖNKÖPINGS LÄN</t>
        </is>
      </c>
      <c r="G433" t="inlineStr">
        <is>
          <t>SÄVSJÖ</t>
        </is>
      </c>
      <c r="I433" t="n">
        <v>0.3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>
      <c r="A434" t="inlineStr">
        <is>
          <t>S 1048-2026</t>
        </is>
      </c>
      <c r="B434" t="inlineStr">
        <is>
          <t>samrådsanmälan</t>
        </is>
      </c>
      <c r="C434" t="inlineStr">
        <is>
          <t>Askåterföring</t>
        </is>
      </c>
      <c r="D434" s="1" t="n">
        <v>46125</v>
      </c>
      <c r="E434" s="1" t="n">
        <v>46319</v>
      </c>
      <c r="F434" t="inlineStr">
        <is>
          <t>JÖNKÖPINGS LÄN</t>
        </is>
      </c>
      <c r="G434" t="inlineStr">
        <is>
          <t>SÄVSJÖ</t>
        </is>
      </c>
      <c r="I434" t="n">
        <v>35.8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2026-10-24T01:58:24Z</dcterms:created>
  <dcterms:modified xmlns:dcterms="http://purl.org/dc/terms/" xmlns:xsi="http://www.w3.org/2001/XMLSchema-instance" xsi:type="dcterms:W3CDTF">2026-10-24T01:58:24Z</dcterms:modified>
</cp:coreProperties>
</file>