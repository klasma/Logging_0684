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46320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46320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46320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46320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46320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46320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46320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46320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46320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17722-2023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45037</v>
      </c>
      <c r="E11" s="1" t="n">
        <v>46320</v>
      </c>
      <c r="F11" t="inlineStr">
        <is>
          <t>JÖNKÖPINGS LÄN</t>
        </is>
      </c>
      <c r="G11" t="inlineStr">
        <is>
          <t>SÄVSJÖ</t>
        </is>
      </c>
      <c r="I11" t="n">
        <v>11.8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Staketflamlav
Sotlav</t>
        </is>
      </c>
      <c r="W11">
        <f>HYPERLINK("https://klasma.github.io/Logging_0684/artfynd/A 17722-2023 artfynd.xlsx", "A 17722-2023")</f>
        <v/>
      </c>
      <c r="X11">
        <f>HYPERLINK("https://klasma.github.io/Logging_0684/kartor/A 17722-2023 karta.png", "A 17722-2023")</f>
        <v/>
      </c>
      <c r="Y11">
        <f>HYPERLINK("https://klasma.github.io/Logging_0684/kartor_geotiff/A 17722-2023 georefererad karta.tif", "A 17722-2023")</f>
        <v/>
      </c>
      <c r="AA11">
        <f>HYPERLINK("https://klasma.github.io/Logging_0684/klagomål/A 17722-2023 FSC-klagomål.docx", "A 17722-2023")</f>
        <v/>
      </c>
      <c r="AB11">
        <f>HYPERLINK("https://klasma.github.io/Logging_0684/klagomålsmail/A 17722-2023 FSC-klagomål mail.docx", "A 17722-2023")</f>
        <v/>
      </c>
      <c r="AC11">
        <f>HYPERLINK("https://klasma.github.io/Logging_0684/tillsyn/A 17722-2023 tillsynsbegäran.docx", "A 17722-2023")</f>
        <v/>
      </c>
      <c r="AD11">
        <f>HYPERLINK("https://klasma.github.io/Logging_0684/tillsynsmail/A 17722-2023 tillsynsbegäran mail.docx", "A 17722-2023")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46320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35136-2024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45530</v>
      </c>
      <c r="E13" s="1" t="n">
        <v>46320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35136-2024 artfynd.xlsx", "A 35136-2024")</f>
        <v/>
      </c>
      <c r="X13">
        <f>HYPERLINK("https://klasma.github.io/Logging_0684/kartor/A 35136-2024 karta.png", "A 35136-2024")</f>
        <v/>
      </c>
      <c r="Y13">
        <f>HYPERLINK("https://klasma.github.io/Logging_0684/kartor_geotiff/A 35136-2024 georefererad karta.tif", "A 35136-2024")</f>
        <v/>
      </c>
      <c r="AA13">
        <f>HYPERLINK("https://klasma.github.io/Logging_0684/klagomål/A 35136-2024 FSC-klagomål.docx", "A 35136-2024")</f>
        <v/>
      </c>
      <c r="AB13">
        <f>HYPERLINK("https://klasma.github.io/Logging_0684/klagomålsmail/A 35136-2024 FSC-klagomål mail.docx", "A 35136-2024")</f>
        <v/>
      </c>
      <c r="AC13">
        <f>HYPERLINK("https://klasma.github.io/Logging_0684/tillsyn/A 35136-2024 tillsynsbegäran.docx", "A 35136-2024")</f>
        <v/>
      </c>
      <c r="AD13">
        <f>HYPERLINK("https://klasma.github.io/Logging_0684/tillsynsmail/A 35136-2024 tillsynsbegäran mail.docx", "A 35136-2024")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46320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46320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10775-2025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45722</v>
      </c>
      <c r="E16" s="1" t="n">
        <v>46320</v>
      </c>
      <c r="F16" t="inlineStr">
        <is>
          <t>JÖNKÖPINGS LÄN</t>
        </is>
      </c>
      <c r="G16" t="inlineStr">
        <is>
          <t>SÄVSJÖ</t>
        </is>
      </c>
      <c r="I16" t="n">
        <v>10.1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10775-2025 artfynd.xlsx", "A 10775-2025")</f>
        <v/>
      </c>
      <c r="X16">
        <f>HYPERLINK("https://klasma.github.io/Logging_0684/kartor/A 10775-2025 karta.png", "A 10775-2025")</f>
        <v/>
      </c>
      <c r="Y16">
        <f>HYPERLINK("https://klasma.github.io/Logging_0684/kartor_geotiff/A 10775-2025 georefererad karta.tif", "A 10775-2025")</f>
        <v/>
      </c>
      <c r="AA16">
        <f>HYPERLINK("https://klasma.github.io/Logging_0684/klagomål/A 10775-2025 FSC-klagomål.docx", "A 10775-2025")</f>
        <v/>
      </c>
      <c r="AB16">
        <f>HYPERLINK("https://klasma.github.io/Logging_0684/klagomålsmail/A 10775-2025 FSC-klagomål mail.docx", "A 10775-2025")</f>
        <v/>
      </c>
      <c r="AC16">
        <f>HYPERLINK("https://klasma.github.io/Logging_0684/tillsyn/A 10775-2025 tillsynsbegäran.docx", "A 10775-2025")</f>
        <v/>
      </c>
      <c r="AD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45719</v>
      </c>
      <c r="E17" s="1" t="n">
        <v>46320</v>
      </c>
      <c r="F17" t="inlineStr">
        <is>
          <t>JÖNKÖPINGS LÄN</t>
        </is>
      </c>
      <c r="G17" t="inlineStr">
        <is>
          <t>SÄVSJÖ</t>
        </is>
      </c>
      <c r="I17" t="n">
        <v>8.6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Blåsippa</t>
        </is>
      </c>
      <c r="W17">
        <f>HYPERLINK("https://klasma.github.io/Logging_0684/artfynd/A 10046-2025 artfynd.xlsx", "A 10046-2025")</f>
        <v/>
      </c>
      <c r="X17">
        <f>HYPERLINK("https://klasma.github.io/Logging_0684/kartor/A 10046-2025 karta.png", "A 10046-2025")</f>
        <v/>
      </c>
      <c r="Y17">
        <f>HYPERLINK("https://klasma.github.io/Logging_0684/kartor_geotiff/A 10046-2025 georefererad karta.tif", "A 10046-2025")</f>
        <v/>
      </c>
      <c r="AA17">
        <f>HYPERLINK("https://klasma.github.io/Logging_0684/klagomål/A 10046-2025 FSC-klagomål.docx", "A 10046-2025")</f>
        <v/>
      </c>
      <c r="AB17">
        <f>HYPERLINK("https://klasma.github.io/Logging_0684/klagomålsmail/A 10046-2025 FSC-klagomål mail.docx", "A 10046-2025")</f>
        <v/>
      </c>
      <c r="AC17">
        <f>HYPERLINK("https://klasma.github.io/Logging_0684/tillsyn/A 10046-2025 tillsynsbegäran.docx", "A 10046-2025")</f>
        <v/>
      </c>
      <c r="AD17">
        <f>HYPERLINK("https://klasma.github.io/Logging_0684/tillsynsmail/A 10046-2025 tillsynsbegäran mail.docx", "A 10046-2025")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46320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41170-2026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46300</v>
      </c>
      <c r="E19" s="1" t="n">
        <v>46320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41170-2026 artfynd.xlsx", "A 41170-2026")</f>
        <v/>
      </c>
      <c r="X19">
        <f>HYPERLINK("https://klasma.github.io/Logging_0684/kartor/A 41170-2026 karta.png", "A 41170-2026")</f>
        <v/>
      </c>
      <c r="Y19">
        <f>HYPERLINK("https://klasma.github.io/Logging_0684/kartor_geotiff/A 41170-2026 georefererad karta.tif", "A 41170-2026")</f>
        <v/>
      </c>
      <c r="AA19">
        <f>HYPERLINK("https://klasma.github.io/Logging_0684/klagomål/A 41170-2026 FSC-klagomål.docx", "A 41170-2026")</f>
        <v/>
      </c>
      <c r="AB19">
        <f>HYPERLINK("https://klasma.github.io/Logging_0684/klagomålsmail/A 41170-2026 FSC-klagomål mail.docx", "A 41170-2026")</f>
        <v/>
      </c>
      <c r="AC19">
        <f>HYPERLINK("https://klasma.github.io/Logging_0684/tillsyn/A 41170-2026 tillsynsbegäran.docx", "A 41170-2026")</f>
        <v/>
      </c>
      <c r="AD19">
        <f>HYPERLINK("https://klasma.github.io/Logging_0684/tillsynsmail/A 41170-2026 tillsynsbegäran mail.docx", "A 41170-2026")</f>
        <v/>
      </c>
    </row>
    <row r="20" ht="15" customHeight="1">
      <c r="A20" t="inlineStr">
        <is>
          <t>A 41179-2026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46300</v>
      </c>
      <c r="E20" s="1" t="n">
        <v>46320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41179-2026 artfynd.xlsx", "A 41179-2026")</f>
        <v/>
      </c>
      <c r="X20">
        <f>HYPERLINK("https://klasma.github.io/Logging_0684/kartor/A 41179-2026 karta.png", "A 41179-2026")</f>
        <v/>
      </c>
      <c r="Y20">
        <f>HYPERLINK("https://klasma.github.io/Logging_0684/kartor_geotiff/A 41179-2026 georefererad karta.tif", "A 41179-2026")</f>
        <v/>
      </c>
      <c r="AA20">
        <f>HYPERLINK("https://klasma.github.io/Logging_0684/klagomål/A 41179-2026 FSC-klagomål.docx", "A 41179-2026")</f>
        <v/>
      </c>
      <c r="AB20">
        <f>HYPERLINK("https://klasma.github.io/Logging_0684/klagomålsmail/A 41179-2026 FSC-klagomål mail.docx", "A 41179-2026")</f>
        <v/>
      </c>
      <c r="AC20">
        <f>HYPERLINK("https://klasma.github.io/Logging_0684/tillsyn/A 41179-2026 tillsynsbegäran.docx", "A 41179-2026")</f>
        <v/>
      </c>
      <c r="AD20">
        <f>HYPERLINK("https://klasma.github.io/Logging_0684/tillsynsmail/A 41179-2026 tillsynsbegäran mail.docx", "A 41179-2026")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46320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34214-2025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45845</v>
      </c>
      <c r="E22" s="1" t="n">
        <v>46320</v>
      </c>
      <c r="F22" t="inlineStr">
        <is>
          <t>JÖNKÖPINGS LÄN</t>
        </is>
      </c>
      <c r="G22" t="inlineStr">
        <is>
          <t>SÄVSJÖ</t>
        </is>
      </c>
      <c r="I22" t="n">
        <v>1.2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Lungrot</t>
        </is>
      </c>
      <c r="W22">
        <f>HYPERLINK("https://klasma.github.io/Logging_0684/artfynd/A 34214-2025 artfynd.xlsx", "A 34214-2025")</f>
        <v/>
      </c>
      <c r="X22">
        <f>HYPERLINK("https://klasma.github.io/Logging_0684/kartor/A 34214-2025 karta.png", "A 34214-2025")</f>
        <v/>
      </c>
      <c r="Y22">
        <f>HYPERLINK("https://klasma.github.io/Logging_0684/kartor_geotiff/A 34214-2025 georefererad karta.tif", "A 34214-2025")</f>
        <v/>
      </c>
      <c r="AA22">
        <f>HYPERLINK("https://klasma.github.io/Logging_0684/klagomål/A 34214-2025 FSC-klagomål.docx", "A 34214-2025")</f>
        <v/>
      </c>
      <c r="AB22">
        <f>HYPERLINK("https://klasma.github.io/Logging_0684/klagomålsmail/A 34214-2025 FSC-klagomål mail.docx", "A 34214-2025")</f>
        <v/>
      </c>
      <c r="AC22">
        <f>HYPERLINK("https://klasma.github.io/Logging_0684/tillsyn/A 34214-2025 tillsynsbegäran.docx", "A 34214-2025")</f>
        <v/>
      </c>
      <c r="AD22">
        <f>HYPERLINK("https://klasma.github.io/Logging_0684/tillsynsmail/A 34214-2025 tillsynsbegäran mail.docx", "A 34214-2025")</f>
        <v/>
      </c>
    </row>
    <row r="23" ht="15" customHeight="1">
      <c r="A23" t="inlineStr">
        <is>
          <t>A 61556-2025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46001</v>
      </c>
      <c r="E23" s="1" t="n">
        <v>46320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Törnskata</t>
        </is>
      </c>
      <c r="W23">
        <f>HYPERLINK("https://klasma.github.io/Logging_0684/artfynd/A 61556-2025 artfynd.xlsx", "A 61556-2025")</f>
        <v/>
      </c>
      <c r="X23">
        <f>HYPERLINK("https://klasma.github.io/Logging_0684/kartor/A 61556-2025 karta.png", "A 61556-2025")</f>
        <v/>
      </c>
      <c r="Y23">
        <f>HYPERLINK("https://klasma.github.io/Logging_0684/kartor_geotiff/A 61556-2025 georefererad karta.tif", "A 61556-2025")</f>
        <v/>
      </c>
      <c r="AA23">
        <f>HYPERLINK("https://klasma.github.io/Logging_0684/klagomål/A 61556-2025 FSC-klagomål.docx", "A 61556-2025")</f>
        <v/>
      </c>
      <c r="AB23">
        <f>HYPERLINK("https://klasma.github.io/Logging_0684/klagomålsmail/A 61556-2025 FSC-klagomål mail.docx", "A 61556-2025")</f>
        <v/>
      </c>
      <c r="AC23">
        <f>HYPERLINK("https://klasma.github.io/Logging_0684/tillsyn/A 61556-2025 tillsynsbegäran.docx", "A 61556-2025")</f>
        <v/>
      </c>
      <c r="AD23">
        <f>HYPERLINK("https://klasma.github.io/Logging_0684/tillsynsmail/A 61556-2025 tillsynsbegäran mail.docx", "A 61556-2025")</f>
        <v/>
      </c>
      <c r="AE23">
        <f>HYPERLINK("https://klasma.github.io/Logging_0684/fåglar/A 61556-2025 prioriterade fågelarter.docx", "A 61556-2025")</f>
        <v/>
      </c>
    </row>
    <row r="24" ht="15" customHeight="1">
      <c r="A24" t="inlineStr">
        <is>
          <t>A 43351-2026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46314</v>
      </c>
      <c r="E24" s="1" t="n">
        <v>46320</v>
      </c>
      <c r="F24" t="inlineStr">
        <is>
          <t>JÖNKÖPINGS LÄN</t>
        </is>
      </c>
      <c r="G24" t="inlineStr">
        <is>
          <t>SÄVSJÖ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22</v>
      </c>
      <c r="U24" t="n">
        <v>0</v>
      </c>
      <c r="V24" s="2" t="inlineStr">
        <is>
          <t>Ask</t>
        </is>
      </c>
      <c r="W24">
        <f>HYPERLINK("https://klasma.github.io/Logging_0684/artfynd/A 43351-2026 artfynd.xlsx", "A 43351-2026")</f>
        <v/>
      </c>
      <c r="X24">
        <f>HYPERLINK("https://klasma.github.io/Logging_0684/kartor/A 43351-2026 karta.png", "A 43351-2026")</f>
        <v/>
      </c>
      <c r="Y24">
        <f>HYPERLINK("https://klasma.github.io/Logging_0684/kartor_geotiff/A 43351-2026 georefererad karta.tif", "A 43351-2026")</f>
        <v/>
      </c>
      <c r="AA24">
        <f>HYPERLINK("https://klasma.github.io/Logging_0684/klagomål/A 43351-2026 FSC-klagomål.docx", "A 43351-2026")</f>
        <v/>
      </c>
      <c r="AB24">
        <f>HYPERLINK("https://klasma.github.io/Logging_0684/klagomålsmail/A 43351-2026 FSC-klagomål mail.docx", "A 43351-2026")</f>
        <v/>
      </c>
      <c r="AC24">
        <f>HYPERLINK("https://klasma.github.io/Logging_0684/tillsyn/A 43351-2026 tillsynsbegäran.docx", "A 43351-2026")</f>
        <v/>
      </c>
      <c r="AD24">
        <f>HYPERLINK("https://klasma.github.io/Logging_0684/tillsynsmail/A 43351-2026 tillsynsbegäran mail.docx", "A 43351-2026")</f>
        <v/>
      </c>
    </row>
    <row r="25" ht="15" customHeight="1">
      <c r="A25" t="inlineStr">
        <is>
          <t>A 18174-2026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46320</v>
      </c>
      <c r="F25" t="inlineStr">
        <is>
          <t>JÖNKÖPINGS LÄN</t>
        </is>
      </c>
      <c r="G25" t="inlineStr">
        <is>
          <t>SÄVSJÖ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HYPERLINK("https://klasma.github.io/Logging_0684/artfynd/A 18174-2026 artfynd.xlsx", "A 18174-2026")</f>
        <v/>
      </c>
      <c r="X25">
        <f>HYPERLINK("https://klasma.github.io/Logging_0684/kartor/A 18174-2026 karta.png", "A 18174-2026")</f>
        <v/>
      </c>
      <c r="Y25">
        <f>HYPERLINK("https://klasma.github.io/Logging_0684/kartor_geotiff/A 18174-2026 georefererad karta.tif", "A 18174-2026")</f>
        <v/>
      </c>
      <c r="AA25">
        <f>HYPERLINK("https://klasma.github.io/Logging_0684/klagomål/A 18174-2026 FSC-klagomål.docx", "A 18174-2026")</f>
        <v/>
      </c>
      <c r="AB25">
        <f>HYPERLINK("https://klasma.github.io/Logging_0684/klagomålsmail/A 18174-2026 FSC-klagomål mail.docx", "A 18174-2026")</f>
        <v/>
      </c>
      <c r="AC25">
        <f>HYPERLINK("https://klasma.github.io/Logging_0684/tillsyn/A 18174-2026 tillsynsbegäran.docx", "A 18174-2026")</f>
        <v/>
      </c>
      <c r="AD25">
        <f>HYPERLINK("https://klasma.github.io/Logging_0684/tillsynsmail/A 18174-2026 tillsynsbegäran mail.docx", "A 18174-2026")</f>
        <v/>
      </c>
      <c r="AE25">
        <f>HYPERLINK("https://klasma.github.io/Logging_0684/fåglar/A 18174-2026 prioriterade fågelarter.docx", "A 18174-2026")</f>
        <v/>
      </c>
    </row>
    <row r="26" ht="15" customHeight="1">
      <c r="A26" t="inlineStr">
        <is>
          <t>A 40075-2023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45168</v>
      </c>
      <c r="E26" s="1" t="n">
        <v>46320</v>
      </c>
      <c r="F26" t="inlineStr">
        <is>
          <t>JÖNKÖPINGS LÄN</t>
        </is>
      </c>
      <c r="G26" t="inlineStr">
        <is>
          <t>SÄVSJÖ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HYPERLINK("https://klasma.github.io/Logging_0684/artfynd/A 40075-2023 artfynd.xlsx", "A 40075-2023")</f>
        <v/>
      </c>
      <c r="X26">
        <f>HYPERLINK("https://klasma.github.io/Logging_0684/kartor/A 40075-2023 karta.png", "A 40075-2023")</f>
        <v/>
      </c>
      <c r="Y26">
        <f>HYPERLINK("https://klasma.github.io/Logging_0684/kartor_geotiff/A 40075-2023 georefererad karta.tif", "A 40075-2023")</f>
        <v/>
      </c>
      <c r="AA26">
        <f>HYPERLINK("https://klasma.github.io/Logging_0684/klagomål/A 40075-2023 FSC-klagomål.docx", "A 40075-2023")</f>
        <v/>
      </c>
      <c r="AB26">
        <f>HYPERLINK("https://klasma.github.io/Logging_0684/klagomålsmail/A 40075-2023 FSC-klagomål mail.docx", "A 40075-2023")</f>
        <v/>
      </c>
      <c r="AC26">
        <f>HYPERLINK("https://klasma.github.io/Logging_0684/tillsyn/A 40075-2023 tillsynsbegäran.docx", "A 40075-2023")</f>
        <v/>
      </c>
      <c r="AD26">
        <f>HYPERLINK("https://klasma.github.io/Logging_0684/tillsynsmail/A 40075-2023 tillsynsbegäran mail.docx", "A 40075-2023")</f>
        <v/>
      </c>
    </row>
    <row r="27" ht="15" customHeight="1">
      <c r="A27" t="inlineStr">
        <is>
          <t>A 19123-2025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45768</v>
      </c>
      <c r="E27" s="1" t="n">
        <v>46320</v>
      </c>
      <c r="F27" t="inlineStr">
        <is>
          <t>JÖNKÖPINGS LÄN</t>
        </is>
      </c>
      <c r="G27" t="inlineStr">
        <is>
          <t>SÄVSJÖ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HYPERLINK("https://klasma.github.io/Logging_0684/artfynd/A 19123-2025 artfynd.xlsx", "A 19123-2025")</f>
        <v/>
      </c>
      <c r="X27">
        <f>HYPERLINK("https://klasma.github.io/Logging_0684/kartor/A 19123-2025 karta.png", "A 19123-2025")</f>
        <v/>
      </c>
      <c r="Y27">
        <f>HYPERLINK("https://klasma.github.io/Logging_0684/kartor_geotiff/A 19123-2025 georefererad karta.tif", "A 19123-2025")</f>
        <v/>
      </c>
      <c r="AA27">
        <f>HYPERLINK("https://klasma.github.io/Logging_0684/klagomål/A 19123-2025 FSC-klagomål.docx", "A 19123-2025")</f>
        <v/>
      </c>
      <c r="AB27">
        <f>HYPERLINK("https://klasma.github.io/Logging_0684/klagomålsmail/A 19123-2025 FSC-klagomål mail.docx", "A 19123-2025")</f>
        <v/>
      </c>
      <c r="AC27">
        <f>HYPERLINK("https://klasma.github.io/Logging_0684/tillsyn/A 19123-2025 tillsynsbegäran.docx", "A 19123-2025")</f>
        <v/>
      </c>
      <c r="AD27">
        <f>HYPERLINK("https://klasma.github.io/Logging_0684/tillsynsmail/A 19123-2025 tillsynsbegäran mail.docx", "A 19123-2025")</f>
        <v/>
      </c>
      <c r="AE27">
        <f>HYPERLINK("https://klasma.github.io/Logging_0684/fåglar/A 19123-2025 prioriterade fågelarter.docx", "A 19123-2025")</f>
        <v/>
      </c>
    </row>
    <row r="28" ht="15" customHeight="1">
      <c r="A28" t="inlineStr">
        <is>
          <t>A 40543-2023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45170</v>
      </c>
      <c r="E28" s="1" t="n">
        <v>46320</v>
      </c>
      <c r="F28" t="inlineStr">
        <is>
          <t>JÖNKÖPINGS LÄN</t>
        </is>
      </c>
      <c r="G28" t="inlineStr">
        <is>
          <t>SÄVSJÖ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HYPERLINK("https://klasma.github.io/Logging_0684/artfynd/A 40543-2023 artfynd.xlsx", "A 40543-2023")</f>
        <v/>
      </c>
      <c r="X28">
        <f>HYPERLINK("https://klasma.github.io/Logging_0684/kartor/A 40543-2023 karta.png", "A 40543-2023")</f>
        <v/>
      </c>
      <c r="Y28">
        <f>HYPERLINK("https://klasma.github.io/Logging_0684/kartor_geotiff/A 40543-2023 georefererad karta.tif", "A 40543-2023")</f>
        <v/>
      </c>
      <c r="AA28">
        <f>HYPERLINK("https://klasma.github.io/Logging_0684/klagomål/A 40543-2023 FSC-klagomål.docx", "A 40543-2023")</f>
        <v/>
      </c>
      <c r="AB28">
        <f>HYPERLINK("https://klasma.github.io/Logging_0684/klagomålsmail/A 40543-2023 FSC-klagomål mail.docx", "A 40543-2023")</f>
        <v/>
      </c>
      <c r="AC28">
        <f>HYPERLINK("https://klasma.github.io/Logging_0684/tillsyn/A 40543-2023 tillsynsbegäran.docx", "A 40543-2023")</f>
        <v/>
      </c>
      <c r="AD28">
        <f>HYPERLINK("https://klasma.github.io/Logging_0684/tillsynsmail/A 40543-2023 tillsynsbegäran mail.docx", "A 40543-2023")</f>
        <v/>
      </c>
    </row>
    <row r="29" ht="15" customHeight="1">
      <c r="A29" t="inlineStr">
        <is>
          <t>A 51095-2023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45218</v>
      </c>
      <c r="E29" s="1" t="n">
        <v>46320</v>
      </c>
      <c r="F29" t="inlineStr">
        <is>
          <t>JÖNKÖPINGS LÄN</t>
        </is>
      </c>
      <c r="G29" t="inlineStr">
        <is>
          <t>SÄVSJÖ</t>
        </is>
      </c>
      <c r="I29" t="n">
        <v>3.6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Korallrot</t>
        </is>
      </c>
      <c r="W29">
        <f>HYPERLINK("https://klasma.github.io/Logging_0684/artfynd/A 51095-2023 artfynd.xlsx", "A 51095-2023")</f>
        <v/>
      </c>
      <c r="X29">
        <f>HYPERLINK("https://klasma.github.io/Logging_0684/kartor/A 51095-2023 karta.png", "A 51095-2023")</f>
        <v/>
      </c>
      <c r="Y29">
        <f>HYPERLINK("https://klasma.github.io/Logging_0684/kartor_geotiff/A 51095-2023 georefererad karta.tif", "A 51095-2023")</f>
        <v/>
      </c>
      <c r="AA29">
        <f>HYPERLINK("https://klasma.github.io/Logging_0684/klagomål/A 51095-2023 FSC-klagomål.docx", "A 51095-2023")</f>
        <v/>
      </c>
      <c r="AB29">
        <f>HYPERLINK("https://klasma.github.io/Logging_0684/klagomålsmail/A 51095-2023 FSC-klagomål mail.docx", "A 51095-2023")</f>
        <v/>
      </c>
      <c r="AC29">
        <f>HYPERLINK("https://klasma.github.io/Logging_0684/tillsyn/A 51095-2023 tillsynsbegäran.docx", "A 51095-2023")</f>
        <v/>
      </c>
      <c r="AD29">
        <f>HYPERLINK("https://klasma.github.io/Logging_0684/tillsynsmail/A 51095-2023 tillsynsbegäran mail.docx", "A 51095-2023")</f>
        <v/>
      </c>
    </row>
    <row r="30" ht="15" customHeight="1">
      <c r="A30" t="inlineStr">
        <is>
          <t>A 8198-2024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45351</v>
      </c>
      <c r="E30" s="1" t="n">
        <v>46320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Småfruktigt blågryn</t>
        </is>
      </c>
      <c r="W30">
        <f>HYPERLINK("https://klasma.github.io/Logging_0684/artfynd/A 8198-2024 artfynd.xlsx", "A 8198-2024")</f>
        <v/>
      </c>
      <c r="X30">
        <f>HYPERLINK("https://klasma.github.io/Logging_0684/kartor/A 8198-2024 karta.png", "A 8198-2024")</f>
        <v/>
      </c>
      <c r="Y30">
        <f>HYPERLINK("https://klasma.github.io/Logging_0684/kartor_geotiff/A 8198-2024 georefererad karta.tif", "A 8198-2024")</f>
        <v/>
      </c>
      <c r="AA30">
        <f>HYPERLINK("https://klasma.github.io/Logging_0684/klagomål/A 8198-2024 FSC-klagomål.docx", "A 8198-2024")</f>
        <v/>
      </c>
      <c r="AB30">
        <f>HYPERLINK("https://klasma.github.io/Logging_0684/klagomålsmail/A 8198-2024 FSC-klagomål mail.docx", "A 8198-2024")</f>
        <v/>
      </c>
      <c r="AC30">
        <f>HYPERLINK("https://klasma.github.io/Logging_0684/tillsyn/A 8198-2024 tillsynsbegäran.docx", "A 8198-2024")</f>
        <v/>
      </c>
      <c r="AD30">
        <f>HYPERLINK("https://klasma.github.io/Logging_0684/tillsynsmail/A 8198-2024 tillsynsbegäran mail.docx", "A 8198-2024")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46320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46320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46320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46320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46320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46320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46320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46320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46320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46320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46320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46320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46320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46320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46320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46320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46320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46320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46320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46320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46320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46320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46320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46320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46320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46320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46320</v>
      </c>
      <c r="F57" t="inlineStr">
        <is>
          <t>JÖNKÖPINGS LÄN</t>
        </is>
      </c>
      <c r="G57" t="inlineStr">
        <is>
          <t>SÄVSJÖ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46320</v>
      </c>
      <c r="F58" t="inlineStr">
        <is>
          <t>JÖNKÖPINGS LÄN</t>
        </is>
      </c>
      <c r="G58" t="inlineStr">
        <is>
          <t>SÄVSJÖ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46320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46320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46320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44791</v>
      </c>
      <c r="E62" s="1" t="n">
        <v>46320</v>
      </c>
      <c r="F62" t="inlineStr">
        <is>
          <t>JÖNKÖPINGS LÄN</t>
        </is>
      </c>
      <c r="G62" t="inlineStr">
        <is>
          <t>SÄVSJÖ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44853</v>
      </c>
      <c r="E63" s="1" t="n">
        <v>46320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46320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46320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46320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46320</v>
      </c>
      <c r="F67" t="inlineStr">
        <is>
          <t>JÖNKÖPINGS LÄN</t>
        </is>
      </c>
      <c r="G67" t="inlineStr">
        <is>
          <t>SÄVSJÖ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44664</v>
      </c>
      <c r="E68" s="1" t="n">
        <v>46320</v>
      </c>
      <c r="F68" t="inlineStr">
        <is>
          <t>JÖNKÖPINGS LÄN</t>
        </is>
      </c>
      <c r="G68" t="inlineStr">
        <is>
          <t>SÄVSJÖ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46320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46320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46320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46320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46320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46320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30162-2023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45110</v>
      </c>
      <c r="E75" s="1" t="n">
        <v>46320</v>
      </c>
      <c r="F75" t="inlineStr">
        <is>
          <t>JÖNKÖPINGS LÄN</t>
        </is>
      </c>
      <c r="G75" t="inlineStr">
        <is>
          <t>SÄVSJÖ</t>
        </is>
      </c>
      <c r="H75" t="inlineStr">
        <is>
          <t>Kommuner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46320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46320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45726</v>
      </c>
      <c r="E78" s="1" t="n">
        <v>46320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45460</v>
      </c>
      <c r="E79" s="1" t="n">
        <v>46320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46320</v>
      </c>
      <c r="F80" t="inlineStr">
        <is>
          <t>JÖNKÖPINGS LÄN</t>
        </is>
      </c>
      <c r="G80" t="inlineStr">
        <is>
          <t>SÄVSJÖ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45669</v>
      </c>
      <c r="E81" s="1" t="n">
        <v>46320</v>
      </c>
      <c r="F81" t="inlineStr">
        <is>
          <t>JÖNKÖPINGS LÄN</t>
        </is>
      </c>
      <c r="G81" t="inlineStr">
        <is>
          <t>SÄVSJÖ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46320</v>
      </c>
      <c r="F82" t="inlineStr">
        <is>
          <t>JÖNKÖPINGS LÄN</t>
        </is>
      </c>
      <c r="G82" t="inlineStr">
        <is>
          <t>SÄVSJÖ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46320</v>
      </c>
      <c r="F83" t="inlineStr">
        <is>
          <t>JÖNKÖPINGS LÄN</t>
        </is>
      </c>
      <c r="G83" t="inlineStr">
        <is>
          <t>SÄVSJÖ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46320</v>
      </c>
      <c r="F84" t="inlineStr">
        <is>
          <t>JÖNKÖPINGS LÄN</t>
        </is>
      </c>
      <c r="G84" t="inlineStr">
        <is>
          <t>SÄVSJÖ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45881</v>
      </c>
      <c r="E85" s="1" t="n">
        <v>46320</v>
      </c>
      <c r="F85" t="inlineStr">
        <is>
          <t>JÖNKÖPINGS LÄN</t>
        </is>
      </c>
      <c r="G85" t="inlineStr">
        <is>
          <t>SÄVSJÖ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45338</v>
      </c>
      <c r="E86" s="1" t="n">
        <v>46320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44781</v>
      </c>
      <c r="E87" s="1" t="n">
        <v>46320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46320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46320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46320</v>
      </c>
      <c r="F90" t="inlineStr">
        <is>
          <t>JÖNKÖPINGS LÄN</t>
        </is>
      </c>
      <c r="G90" t="inlineStr">
        <is>
          <t>SÄVSJÖ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46320</v>
      </c>
      <c r="F91" t="inlineStr">
        <is>
          <t>JÖNKÖPINGS LÄN</t>
        </is>
      </c>
      <c r="G91" t="inlineStr">
        <is>
          <t>SÄVSJÖ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46320</v>
      </c>
      <c r="F92" t="inlineStr">
        <is>
          <t>JÖNKÖPINGS LÄN</t>
        </is>
      </c>
      <c r="G92" t="inlineStr">
        <is>
          <t>SÄVSJÖ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46320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46320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46320</v>
      </c>
      <c r="F95" t="inlineStr">
        <is>
          <t>JÖNKÖPINGS LÄN</t>
        </is>
      </c>
      <c r="G95" t="inlineStr">
        <is>
          <t>SÄVSJÖ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46320</v>
      </c>
      <c r="F96" t="inlineStr">
        <is>
          <t>JÖNKÖPINGS LÄN</t>
        </is>
      </c>
      <c r="G96" t="inlineStr">
        <is>
          <t>SÄVSJÖ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23776-2026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46320</v>
      </c>
      <c r="F97" t="inlineStr">
        <is>
          <t>JÖNKÖPINGS LÄN</t>
        </is>
      </c>
      <c r="G97" t="inlineStr">
        <is>
          <t>SÄVSJÖ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45607</v>
      </c>
      <c r="E98" s="1" t="n">
        <v>46320</v>
      </c>
      <c r="F98" t="inlineStr">
        <is>
          <t>JÖNKÖPINGS LÄN</t>
        </is>
      </c>
      <c r="G98" t="inlineStr">
        <is>
          <t>SÄVSJÖ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24232-2026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46168</v>
      </c>
      <c r="E99" s="1" t="n">
        <v>46320</v>
      </c>
      <c r="F99" t="inlineStr">
        <is>
          <t>JÖNKÖPINGS LÄN</t>
        </is>
      </c>
      <c r="G99" t="inlineStr">
        <is>
          <t>SÄVSJÖ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23816-2026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46165</v>
      </c>
      <c r="E100" s="1" t="n">
        <v>46320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62421-2023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45268</v>
      </c>
      <c r="E101" s="1" t="n">
        <v>46320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49292-2023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45210</v>
      </c>
      <c r="E102" s="1" t="n">
        <v>46320</v>
      </c>
      <c r="F102" t="inlineStr">
        <is>
          <t>JÖNKÖPINGS LÄN</t>
        </is>
      </c>
      <c r="G102" t="inlineStr">
        <is>
          <t>SÄVSJÖ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46320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46320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46320</v>
      </c>
      <c r="F105" t="inlineStr">
        <is>
          <t>JÖNKÖPINGS LÄN</t>
        </is>
      </c>
      <c r="G105" t="inlineStr">
        <is>
          <t>SÄVSJÖ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46320</v>
      </c>
      <c r="F106" t="inlineStr">
        <is>
          <t>JÖNKÖPINGS LÄN</t>
        </is>
      </c>
      <c r="G106" t="inlineStr">
        <is>
          <t>SÄVSJÖ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44995</v>
      </c>
      <c r="E107" s="1" t="n">
        <v>46320</v>
      </c>
      <c r="F107" t="inlineStr">
        <is>
          <t>JÖNKÖPINGS LÄN</t>
        </is>
      </c>
      <c r="G107" t="inlineStr">
        <is>
          <t>SÄVSJÖ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46320</v>
      </c>
      <c r="F108" t="inlineStr">
        <is>
          <t>JÖNKÖPINGS LÄN</t>
        </is>
      </c>
      <c r="G108" t="inlineStr">
        <is>
          <t>SÄVSJÖ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46320</v>
      </c>
      <c r="F109" t="inlineStr">
        <is>
          <t>JÖNKÖPINGS LÄN</t>
        </is>
      </c>
      <c r="G109" t="inlineStr">
        <is>
          <t>SÄVSJÖ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45053</v>
      </c>
      <c r="E110" s="1" t="n">
        <v>46320</v>
      </c>
      <c r="F110" t="inlineStr">
        <is>
          <t>JÖNKÖPINGS LÄN</t>
        </is>
      </c>
      <c r="G110" t="inlineStr">
        <is>
          <t>SÄVSJÖ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45317</v>
      </c>
      <c r="E111" s="1" t="n">
        <v>46320</v>
      </c>
      <c r="F111" t="inlineStr">
        <is>
          <t>JÖNKÖPINGS LÄN</t>
        </is>
      </c>
      <c r="G111" t="inlineStr">
        <is>
          <t>SÄVSJÖ</t>
        </is>
      </c>
      <c r="I111" t="n">
        <v>19.9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45371</v>
      </c>
      <c r="E112" s="1" t="n">
        <v>46320</v>
      </c>
      <c r="F112" t="inlineStr">
        <is>
          <t>JÖNKÖPINGS LÄN</t>
        </is>
      </c>
      <c r="G112" t="inlineStr">
        <is>
          <t>SÄVSJÖ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46320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46320</v>
      </c>
      <c r="F114" t="inlineStr">
        <is>
          <t>JÖNKÖPINGS LÄN</t>
        </is>
      </c>
      <c r="G114" t="inlineStr">
        <is>
          <t>SÄVSJÖ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46320</v>
      </c>
      <c r="F115" t="inlineStr">
        <is>
          <t>JÖNKÖPINGS LÄN</t>
        </is>
      </c>
      <c r="G115" t="inlineStr">
        <is>
          <t>SÄVSJÖ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46320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46320</v>
      </c>
      <c r="F117" t="inlineStr">
        <is>
          <t>JÖNKÖPINGS LÄN</t>
        </is>
      </c>
      <c r="G117" t="inlineStr">
        <is>
          <t>SÄVSJÖ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46320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46320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52363-2025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45953</v>
      </c>
      <c r="E120" s="1" t="n">
        <v>46320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46320</v>
      </c>
      <c r="F121" t="inlineStr">
        <is>
          <t>JÖNKÖPINGS LÄN</t>
        </is>
      </c>
      <c r="G121" t="inlineStr">
        <is>
          <t>SÄVSJÖ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46320</v>
      </c>
      <c r="F122" t="inlineStr">
        <is>
          <t>JÖNKÖPINGS LÄN</t>
        </is>
      </c>
      <c r="G122" t="inlineStr">
        <is>
          <t>SÄVSJÖ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46320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46320</v>
      </c>
      <c r="F124" t="inlineStr">
        <is>
          <t>JÖNKÖPINGS LÄN</t>
        </is>
      </c>
      <c r="G124" t="inlineStr">
        <is>
          <t>SÄVSJÖ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46320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46320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46320</v>
      </c>
      <c r="F127" t="inlineStr">
        <is>
          <t>JÖNKÖPINGS LÄN</t>
        </is>
      </c>
      <c r="G127" t="inlineStr">
        <is>
          <t>SÄVSJÖ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45959</v>
      </c>
      <c r="E128" s="1" t="n">
        <v>46320</v>
      </c>
      <c r="F128" t="inlineStr">
        <is>
          <t>JÖNKÖPINGS LÄN</t>
        </is>
      </c>
      <c r="G128" t="inlineStr">
        <is>
          <t>SÄVSJÖ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46320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46320</v>
      </c>
      <c r="F130" t="inlineStr">
        <is>
          <t>JÖNKÖPINGS LÄN</t>
        </is>
      </c>
      <c r="G130" t="inlineStr">
        <is>
          <t>SÄVSJÖ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46320</v>
      </c>
      <c r="F131" t="inlineStr">
        <is>
          <t>JÖNKÖPINGS LÄN</t>
        </is>
      </c>
      <c r="G131" t="inlineStr">
        <is>
          <t>SÄVSJÖ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54275-2025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46320</v>
      </c>
      <c r="F132" t="inlineStr">
        <is>
          <t>JÖNKÖPINGS LÄN</t>
        </is>
      </c>
      <c r="G132" t="inlineStr">
        <is>
          <t>SÄVSJÖ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45102</v>
      </c>
      <c r="E133" s="1" t="n">
        <v>46320</v>
      </c>
      <c r="F133" t="inlineStr">
        <is>
          <t>JÖNKÖPINGS LÄN</t>
        </is>
      </c>
      <c r="G133" t="inlineStr">
        <is>
          <t>SÄVSJÖ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50629-2022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44866</v>
      </c>
      <c r="E134" s="1" t="n">
        <v>46320</v>
      </c>
      <c r="F134" t="inlineStr">
        <is>
          <t>JÖNKÖPINGS LÄN</t>
        </is>
      </c>
      <c r="G134" t="inlineStr">
        <is>
          <t>SÄVSJÖ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46320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46320</v>
      </c>
      <c r="F136" t="inlineStr">
        <is>
          <t>JÖNKÖPINGS LÄN</t>
        </is>
      </c>
      <c r="G136" t="inlineStr">
        <is>
          <t>SÄVSJÖ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27897-2026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46320</v>
      </c>
      <c r="F137" t="inlineStr">
        <is>
          <t>JÖNKÖPINGS LÄN</t>
        </is>
      </c>
      <c r="G137" t="inlineStr">
        <is>
          <t>SÄVSJÖ</t>
        </is>
      </c>
      <c r="H137" t="inlineStr">
        <is>
          <t>Kommuner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45228</v>
      </c>
      <c r="E138" s="1" t="n">
        <v>46320</v>
      </c>
      <c r="F138" t="inlineStr">
        <is>
          <t>JÖNKÖPINGS LÄN</t>
        </is>
      </c>
      <c r="G138" t="inlineStr">
        <is>
          <t>SÄVSJÖ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46320</v>
      </c>
      <c r="F139" t="inlineStr">
        <is>
          <t>JÖNKÖPINGS LÄN</t>
        </is>
      </c>
      <c r="G139" t="inlineStr">
        <is>
          <t>SÄVSJÖ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46191</v>
      </c>
      <c r="E140" s="1" t="n">
        <v>46320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46320</v>
      </c>
      <c r="F141" t="inlineStr">
        <is>
          <t>JÖNKÖPINGS LÄN</t>
        </is>
      </c>
      <c r="G141" t="inlineStr">
        <is>
          <t>SÄVSJÖ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46320</v>
      </c>
      <c r="F142" t="inlineStr">
        <is>
          <t>JÖNKÖPINGS LÄN</t>
        </is>
      </c>
      <c r="G142" t="inlineStr">
        <is>
          <t>SÄVSJÖ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46320</v>
      </c>
      <c r="F143" t="inlineStr">
        <is>
          <t>JÖNKÖPINGS LÄN</t>
        </is>
      </c>
      <c r="G143" t="inlineStr">
        <is>
          <t>SÄVSJÖ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46320</v>
      </c>
      <c r="F144" t="inlineStr">
        <is>
          <t>JÖNKÖPINGS LÄN</t>
        </is>
      </c>
      <c r="G144" t="inlineStr">
        <is>
          <t>SÄVSJÖ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45015</v>
      </c>
      <c r="E145" s="1" t="n">
        <v>46320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45978</v>
      </c>
      <c r="E146" s="1" t="n">
        <v>46320</v>
      </c>
      <c r="F146" t="inlineStr">
        <is>
          <t>JÖNKÖPINGS LÄN</t>
        </is>
      </c>
      <c r="G146" t="inlineStr">
        <is>
          <t>SÄVSJÖ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45094</v>
      </c>
      <c r="E147" s="1" t="n">
        <v>46320</v>
      </c>
      <c r="F147" t="inlineStr">
        <is>
          <t>JÖNKÖPINGS LÄN</t>
        </is>
      </c>
      <c r="G147" t="inlineStr">
        <is>
          <t>SÄVSJÖ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45611</v>
      </c>
      <c r="E148" s="1" t="n">
        <v>46320</v>
      </c>
      <c r="F148" t="inlineStr">
        <is>
          <t>JÖNKÖPINGS LÄN</t>
        </is>
      </c>
      <c r="G148" t="inlineStr">
        <is>
          <t>SÄVSJÖ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46320</v>
      </c>
      <c r="F149" t="inlineStr">
        <is>
          <t>JÖNKÖPINGS LÄN</t>
        </is>
      </c>
      <c r="G149" t="inlineStr">
        <is>
          <t>SÄVSJÖ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46320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46320</v>
      </c>
      <c r="F151" t="inlineStr">
        <is>
          <t>JÖNKÖPINGS LÄN</t>
        </is>
      </c>
      <c r="G151" t="inlineStr">
        <is>
          <t>SÄVSJÖ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46320</v>
      </c>
      <c r="F152" t="inlineStr">
        <is>
          <t>JÖNKÖPINGS LÄN</t>
        </is>
      </c>
      <c r="G152" t="inlineStr">
        <is>
          <t>SÄVSJÖ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46320</v>
      </c>
      <c r="F153" t="inlineStr">
        <is>
          <t>JÖNKÖPINGS LÄN</t>
        </is>
      </c>
      <c r="G153" t="inlineStr">
        <is>
          <t>SÄVSJÖ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46320</v>
      </c>
      <c r="F154" t="inlineStr">
        <is>
          <t>JÖNKÖPINGS LÄN</t>
        </is>
      </c>
      <c r="G154" t="inlineStr">
        <is>
          <t>SÄVSJÖ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45334</v>
      </c>
      <c r="E155" s="1" t="n">
        <v>46320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46320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46320</v>
      </c>
      <c r="F157" t="inlineStr">
        <is>
          <t>JÖNKÖPINGS LÄN</t>
        </is>
      </c>
      <c r="G157" t="inlineStr">
        <is>
          <t>SÄVSJÖ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46320</v>
      </c>
      <c r="F158" t="inlineStr">
        <is>
          <t>JÖNKÖPINGS LÄN</t>
        </is>
      </c>
      <c r="G158" t="inlineStr">
        <is>
          <t>SÄVSJÖ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46320</v>
      </c>
      <c r="F159" t="inlineStr">
        <is>
          <t>JÖNKÖPINGS LÄN</t>
        </is>
      </c>
      <c r="G159" t="inlineStr">
        <is>
          <t>SÄVSJÖ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46320</v>
      </c>
      <c r="F160" t="inlineStr">
        <is>
          <t>JÖNKÖPINGS LÄN</t>
        </is>
      </c>
      <c r="G160" t="inlineStr">
        <is>
          <t>SÄVSJÖ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46320</v>
      </c>
      <c r="F161" t="inlineStr">
        <is>
          <t>JÖNKÖPINGS LÄN</t>
        </is>
      </c>
      <c r="G161" t="inlineStr">
        <is>
          <t>SÄVSJÖ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46320</v>
      </c>
      <c r="F162" t="inlineStr">
        <is>
          <t>JÖNKÖPINGS LÄN</t>
        </is>
      </c>
      <c r="G162" t="inlineStr">
        <is>
          <t>SÄVSJÖ</t>
        </is>
      </c>
      <c r="H162" t="inlineStr">
        <is>
          <t>Kyrkan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46320</v>
      </c>
      <c r="F163" t="inlineStr">
        <is>
          <t>JÖNKÖPINGS LÄN</t>
        </is>
      </c>
      <c r="G163" t="inlineStr">
        <is>
          <t>SÄVSJÖ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45253</v>
      </c>
      <c r="E164" s="1" t="n">
        <v>46320</v>
      </c>
      <c r="F164" t="inlineStr">
        <is>
          <t>JÖNKÖPINGS LÄN</t>
        </is>
      </c>
      <c r="G164" t="inlineStr">
        <is>
          <t>SÄVSJÖ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46320</v>
      </c>
      <c r="F165" t="inlineStr">
        <is>
          <t>JÖNKÖPINGS LÄN</t>
        </is>
      </c>
      <c r="G165" t="inlineStr">
        <is>
          <t>SÄVSJÖ</t>
        </is>
      </c>
      <c r="H165" t="inlineStr">
        <is>
          <t>Kyrkan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46320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7917-2024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45350</v>
      </c>
      <c r="E167" s="1" t="n">
        <v>46320</v>
      </c>
      <c r="F167" t="inlineStr">
        <is>
          <t>JÖNKÖPINGS LÄN</t>
        </is>
      </c>
      <c r="G167" t="inlineStr">
        <is>
          <t>SÄVSJÖ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46320</v>
      </c>
      <c r="F168" t="inlineStr">
        <is>
          <t>JÖNKÖPINGS LÄN</t>
        </is>
      </c>
      <c r="G168" t="inlineStr">
        <is>
          <t>SÄVSJÖ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46320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46320</v>
      </c>
      <c r="F170" t="inlineStr">
        <is>
          <t>JÖNKÖPINGS LÄN</t>
        </is>
      </c>
      <c r="G170" t="inlineStr">
        <is>
          <t>SÄVSJÖ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60331-2025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45993</v>
      </c>
      <c r="E171" s="1" t="n">
        <v>46320</v>
      </c>
      <c r="F171" t="inlineStr">
        <is>
          <t>JÖNKÖPINGS LÄN</t>
        </is>
      </c>
      <c r="G171" t="inlineStr">
        <is>
          <t>SÄVSJÖ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46320</v>
      </c>
      <c r="F172" t="inlineStr">
        <is>
          <t>JÖNKÖPINGS LÄN</t>
        </is>
      </c>
      <c r="G172" t="inlineStr">
        <is>
          <t>SÄVSJÖ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46099</v>
      </c>
      <c r="E173" s="1" t="n">
        <v>46320</v>
      </c>
      <c r="F173" t="inlineStr">
        <is>
          <t>JÖNKÖPINGS LÄN</t>
        </is>
      </c>
      <c r="G173" t="inlineStr">
        <is>
          <t>SÄVSJÖ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46320</v>
      </c>
      <c r="F174" t="inlineStr">
        <is>
          <t>JÖNKÖPINGS LÄN</t>
        </is>
      </c>
      <c r="G174" t="inlineStr">
        <is>
          <t>SÄVSJÖ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31721-2026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46226</v>
      </c>
      <c r="E175" s="1" t="n">
        <v>46320</v>
      </c>
      <c r="F175" t="inlineStr">
        <is>
          <t>JÖNKÖPINGS LÄN</t>
        </is>
      </c>
      <c r="G175" t="inlineStr">
        <is>
          <t>SÄVSJÖ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46320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62870-2025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46008</v>
      </c>
      <c r="E177" s="1" t="n">
        <v>46320</v>
      </c>
      <c r="F177" t="inlineStr">
        <is>
          <t>JÖNKÖPINGS LÄN</t>
        </is>
      </c>
      <c r="G177" t="inlineStr">
        <is>
          <t>SÄVSJÖ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45412</v>
      </c>
      <c r="E178" s="1" t="n">
        <v>46320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46320</v>
      </c>
      <c r="F179" t="inlineStr">
        <is>
          <t>JÖNKÖPINGS LÄN</t>
        </is>
      </c>
      <c r="G179" t="inlineStr">
        <is>
          <t>SÄVSJÖ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46320</v>
      </c>
      <c r="F180" t="inlineStr">
        <is>
          <t>JÖNKÖPINGS LÄN</t>
        </is>
      </c>
      <c r="G180" t="inlineStr">
        <is>
          <t>SÄVSJÖ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45725</v>
      </c>
      <c r="E181" s="1" t="n">
        <v>46320</v>
      </c>
      <c r="F181" t="inlineStr">
        <is>
          <t>JÖNKÖPINGS LÄN</t>
        </is>
      </c>
      <c r="G181" t="inlineStr">
        <is>
          <t>SÄVSJÖ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46320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46320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45573</v>
      </c>
      <c r="E184" s="1" t="n">
        <v>46320</v>
      </c>
      <c r="F184" t="inlineStr">
        <is>
          <t>JÖNKÖPINGS LÄN</t>
        </is>
      </c>
      <c r="G184" t="inlineStr">
        <is>
          <t>SÄVSJÖ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63599-2025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46014</v>
      </c>
      <c r="E185" s="1" t="n">
        <v>46320</v>
      </c>
      <c r="F185" t="inlineStr">
        <is>
          <t>JÖNKÖPINGS LÄN</t>
        </is>
      </c>
      <c r="G185" t="inlineStr">
        <is>
          <t>SÄVSJÖ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46320</v>
      </c>
      <c r="F186" t="inlineStr">
        <is>
          <t>JÖNKÖPINGS LÄN</t>
        </is>
      </c>
      <c r="G186" t="inlineStr">
        <is>
          <t>SÄVSJÖ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46014</v>
      </c>
      <c r="E187" s="1" t="n">
        <v>46320</v>
      </c>
      <c r="F187" t="inlineStr">
        <is>
          <t>JÖNKÖPINGS LÄN</t>
        </is>
      </c>
      <c r="G187" t="inlineStr">
        <is>
          <t>SÄVSJÖ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46320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60805-2024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45644</v>
      </c>
      <c r="E189" s="1" t="n">
        <v>46320</v>
      </c>
      <c r="F189" t="inlineStr">
        <is>
          <t>JÖNKÖPINGS LÄN</t>
        </is>
      </c>
      <c r="G189" t="inlineStr">
        <is>
          <t>SÄVSJÖ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17308-2024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45414</v>
      </c>
      <c r="E190" s="1" t="n">
        <v>46320</v>
      </c>
      <c r="F190" t="inlineStr">
        <is>
          <t>JÖNKÖPINGS LÄN</t>
        </is>
      </c>
      <c r="G190" t="inlineStr">
        <is>
          <t>SÄVSJÖ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46017</v>
      </c>
      <c r="E191" s="1" t="n">
        <v>46320</v>
      </c>
      <c r="F191" t="inlineStr">
        <is>
          <t>JÖNKÖPINGS LÄN</t>
        </is>
      </c>
      <c r="G191" t="inlineStr">
        <is>
          <t>SÄVSJÖ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46320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46320</v>
      </c>
      <c r="F193" t="inlineStr">
        <is>
          <t>JÖNKÖPINGS LÄN</t>
        </is>
      </c>
      <c r="G193" t="inlineStr">
        <is>
          <t>SÄVSJÖ</t>
        </is>
      </c>
      <c r="H193" t="inlineStr">
        <is>
          <t>Kyrkan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46320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46320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46320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46320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38771-2026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46286</v>
      </c>
      <c r="E198" s="1" t="n">
        <v>46320</v>
      </c>
      <c r="F198" t="inlineStr">
        <is>
          <t>JÖNKÖPINGS LÄN</t>
        </is>
      </c>
      <c r="G198" t="inlineStr">
        <is>
          <t>SÄVSJÖ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45733</v>
      </c>
      <c r="E199" s="1" t="n">
        <v>46320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45733</v>
      </c>
      <c r="E200" s="1" t="n">
        <v>46320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46320</v>
      </c>
      <c r="F201" t="inlineStr">
        <is>
          <t>JÖNKÖPINGS LÄN</t>
        </is>
      </c>
      <c r="G201" t="inlineStr">
        <is>
          <t>SÄVSJÖ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46320</v>
      </c>
      <c r="F202" t="inlineStr">
        <is>
          <t>JÖNKÖPINGS LÄN</t>
        </is>
      </c>
      <c r="G202" t="inlineStr">
        <is>
          <t>SÄVSJÖ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46320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46320</v>
      </c>
      <c r="F204" t="inlineStr">
        <is>
          <t>JÖNKÖPINGS LÄN</t>
        </is>
      </c>
      <c r="G204" t="inlineStr">
        <is>
          <t>SÄVSJÖ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45548</v>
      </c>
      <c r="E205" s="1" t="n">
        <v>46320</v>
      </c>
      <c r="F205" t="inlineStr">
        <is>
          <t>JÖNKÖPINGS LÄN</t>
        </is>
      </c>
      <c r="G205" t="inlineStr">
        <is>
          <t>SÄVSJÖ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46320</v>
      </c>
      <c r="F206" t="inlineStr">
        <is>
          <t>JÖNKÖPINGS LÄN</t>
        </is>
      </c>
      <c r="G206" t="inlineStr">
        <is>
          <t>SÄVSJÖ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46320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46293</v>
      </c>
      <c r="E208" s="1" t="n">
        <v>46320</v>
      </c>
      <c r="F208" t="inlineStr">
        <is>
          <t>JÖNKÖPINGS LÄN</t>
        </is>
      </c>
      <c r="G208" t="inlineStr">
        <is>
          <t>SÄVSJÖ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46320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46320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46320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46320</v>
      </c>
      <c r="F212" t="inlineStr">
        <is>
          <t>JÖNKÖPINGS LÄN</t>
        </is>
      </c>
      <c r="G212" t="inlineStr">
        <is>
          <t>SÄVSJÖ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46320</v>
      </c>
      <c r="F213" t="inlineStr">
        <is>
          <t>JÖNKÖPINGS LÄN</t>
        </is>
      </c>
      <c r="G213" t="inlineStr">
        <is>
          <t>SÄVSJÖ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46320</v>
      </c>
      <c r="F214" t="inlineStr">
        <is>
          <t>JÖNKÖPINGS LÄN</t>
        </is>
      </c>
      <c r="G214" t="inlineStr">
        <is>
          <t>SÄVSJÖ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46320</v>
      </c>
      <c r="F215" t="inlineStr">
        <is>
          <t>JÖNKÖPINGS LÄN</t>
        </is>
      </c>
      <c r="G215" t="inlineStr">
        <is>
          <t>SÄVSJÖ</t>
        </is>
      </c>
      <c r="H215" t="inlineStr">
        <is>
          <t>Kyrkan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46295</v>
      </c>
      <c r="E216" s="1" t="n">
        <v>46320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46320</v>
      </c>
      <c r="F217" t="inlineStr">
        <is>
          <t>JÖNKÖPINGS LÄN</t>
        </is>
      </c>
      <c r="G217" t="inlineStr">
        <is>
          <t>SÄVSJÖ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46296</v>
      </c>
      <c r="E218" s="1" t="n">
        <v>46320</v>
      </c>
      <c r="F218" t="inlineStr">
        <is>
          <t>JÖNKÖPINGS LÄN</t>
        </is>
      </c>
      <c r="G218" t="inlineStr">
        <is>
          <t>SÄVSJÖ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46320</v>
      </c>
      <c r="F219" t="inlineStr">
        <is>
          <t>JÖNKÖPINGS LÄN</t>
        </is>
      </c>
      <c r="G219" t="inlineStr">
        <is>
          <t>SÄVSJÖ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46320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46320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46320</v>
      </c>
      <c r="F222" t="inlineStr">
        <is>
          <t>JÖNKÖPINGS LÄN</t>
        </is>
      </c>
      <c r="G222" t="inlineStr">
        <is>
          <t>SÄVSJÖ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46320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31492-2025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46320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46320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46320</v>
      </c>
      <c r="F226" t="inlineStr">
        <is>
          <t>JÖNKÖPINGS LÄN</t>
        </is>
      </c>
      <c r="G226" t="inlineStr">
        <is>
          <t>SÄVSJÖ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46320</v>
      </c>
      <c r="F227" t="inlineStr">
        <is>
          <t>JÖNKÖPINGS LÄN</t>
        </is>
      </c>
      <c r="G227" t="inlineStr">
        <is>
          <t>SÄVSJÖ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45546</v>
      </c>
      <c r="E228" s="1" t="n">
        <v>46320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46320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44951</v>
      </c>
      <c r="E230" s="1" t="n">
        <v>46320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46320</v>
      </c>
      <c r="F231" t="inlineStr">
        <is>
          <t>JÖNKÖPINGS LÄN</t>
        </is>
      </c>
      <c r="G231" t="inlineStr">
        <is>
          <t>SÄVSJÖ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46320</v>
      </c>
      <c r="F232" t="inlineStr">
        <is>
          <t>JÖNKÖPINGS LÄN</t>
        </is>
      </c>
      <c r="G232" t="inlineStr">
        <is>
          <t>SÄVSJÖ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14778-2026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46320</v>
      </c>
      <c r="F233" t="inlineStr">
        <is>
          <t>JÖNKÖPINGS LÄN</t>
        </is>
      </c>
      <c r="G233" t="inlineStr">
        <is>
          <t>SÄVSJÖ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46320</v>
      </c>
      <c r="F234" t="inlineStr">
        <is>
          <t>JÖNKÖPINGS LÄN</t>
        </is>
      </c>
      <c r="G234" t="inlineStr">
        <is>
          <t>SÄVSJÖ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46320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46320</v>
      </c>
      <c r="F236" t="inlineStr">
        <is>
          <t>JÖNKÖPINGS LÄN</t>
        </is>
      </c>
      <c r="G236" t="inlineStr">
        <is>
          <t>SÄVSJÖ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46301</v>
      </c>
      <c r="E237" s="1" t="n">
        <v>46320</v>
      </c>
      <c r="F237" t="inlineStr">
        <is>
          <t>JÖNKÖPINGS LÄN</t>
        </is>
      </c>
      <c r="G237" t="inlineStr">
        <is>
          <t>SÄVSJÖ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46320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46320</v>
      </c>
      <c r="F239" t="inlineStr">
        <is>
          <t>JÖNKÖPINGS LÄN</t>
        </is>
      </c>
      <c r="G239" t="inlineStr">
        <is>
          <t>SÄVSJÖ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46320</v>
      </c>
      <c r="F240" t="inlineStr">
        <is>
          <t>JÖNKÖPINGS LÄN</t>
        </is>
      </c>
      <c r="G240" t="inlineStr">
        <is>
          <t>SÄVSJÖ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30162-2023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45110</v>
      </c>
      <c r="E241" s="1" t="n">
        <v>46320</v>
      </c>
      <c r="F241" t="inlineStr">
        <is>
          <t>JÖNKÖPINGS LÄN</t>
        </is>
      </c>
      <c r="G241" t="inlineStr">
        <is>
          <t>SÄVSJÖ</t>
        </is>
      </c>
      <c r="H241" t="inlineStr">
        <is>
          <t>Kommuner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46320</v>
      </c>
      <c r="F242" t="inlineStr">
        <is>
          <t>JÖNKÖPINGS LÄN</t>
        </is>
      </c>
      <c r="G242" t="inlineStr">
        <is>
          <t>SÄVSJÖ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46289</v>
      </c>
      <c r="E243" s="1" t="n">
        <v>46320</v>
      </c>
      <c r="F243" t="inlineStr">
        <is>
          <t>JÖNKÖPINGS LÄN</t>
        </is>
      </c>
      <c r="G243" t="inlineStr">
        <is>
          <t>SÄVSJÖ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46303</v>
      </c>
      <c r="E244" s="1" t="n">
        <v>46320</v>
      </c>
      <c r="F244" t="inlineStr">
        <is>
          <t>JÖNKÖPINGS LÄN</t>
        </is>
      </c>
      <c r="G244" t="inlineStr">
        <is>
          <t>SÄVSJÖ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46320</v>
      </c>
      <c r="F245" t="inlineStr">
        <is>
          <t>JÖNKÖPINGS LÄN</t>
        </is>
      </c>
      <c r="G245" t="inlineStr">
        <is>
          <t>SÄVSJÖ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46320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46320</v>
      </c>
      <c r="F247" t="inlineStr">
        <is>
          <t>JÖNKÖPINGS LÄN</t>
        </is>
      </c>
      <c r="G247" t="inlineStr">
        <is>
          <t>SÄVSJÖ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46320</v>
      </c>
      <c r="F248" t="inlineStr">
        <is>
          <t>JÖNKÖPINGS LÄN</t>
        </is>
      </c>
      <c r="G248" t="inlineStr">
        <is>
          <t>SÄVSJÖ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46320</v>
      </c>
      <c r="F249" t="inlineStr">
        <is>
          <t>JÖNKÖPINGS LÄN</t>
        </is>
      </c>
      <c r="G249" t="inlineStr">
        <is>
          <t>SÄVSJÖ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42579-2026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46308</v>
      </c>
      <c r="E250" s="1" t="n">
        <v>46320</v>
      </c>
      <c r="F250" t="inlineStr">
        <is>
          <t>JÖNKÖPINGS LÄN</t>
        </is>
      </c>
      <c r="G250" t="inlineStr">
        <is>
          <t>SÄVSJÖ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46320</v>
      </c>
      <c r="F251" t="inlineStr">
        <is>
          <t>JÖNKÖPINGS LÄN</t>
        </is>
      </c>
      <c r="G251" t="inlineStr">
        <is>
          <t>SÄVSJÖ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46248</v>
      </c>
      <c r="E252" s="1" t="n">
        <v>46320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42578-2026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46308</v>
      </c>
      <c r="E253" s="1" t="n">
        <v>46320</v>
      </c>
      <c r="F253" t="inlineStr">
        <is>
          <t>JÖNKÖPINGS LÄN</t>
        </is>
      </c>
      <c r="G253" t="inlineStr">
        <is>
          <t>SÄVSJÖ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46308</v>
      </c>
      <c r="E254" s="1" t="n">
        <v>46320</v>
      </c>
      <c r="F254" t="inlineStr">
        <is>
          <t>JÖNKÖPINGS LÄN</t>
        </is>
      </c>
      <c r="G254" t="inlineStr">
        <is>
          <t>SÄVSJÖ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45660</v>
      </c>
      <c r="E255" s="1" t="n">
        <v>46320</v>
      </c>
      <c r="F255" t="inlineStr">
        <is>
          <t>JÖNKÖPINGS LÄN</t>
        </is>
      </c>
      <c r="G255" t="inlineStr">
        <is>
          <t>SÄVSJÖ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45879</v>
      </c>
      <c r="E256" s="1" t="n">
        <v>46320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44896</v>
      </c>
      <c r="E257" s="1" t="n">
        <v>46320</v>
      </c>
      <c r="F257" t="inlineStr">
        <is>
          <t>JÖNKÖPINGS LÄN</t>
        </is>
      </c>
      <c r="G257" t="inlineStr">
        <is>
          <t>SÄVSJÖ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46320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45247</v>
      </c>
      <c r="E259" s="1" t="n">
        <v>46320</v>
      </c>
      <c r="F259" t="inlineStr">
        <is>
          <t>JÖNKÖPINGS LÄN</t>
        </is>
      </c>
      <c r="G259" t="inlineStr">
        <is>
          <t>SÄVSJÖ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46320</v>
      </c>
      <c r="F260" t="inlineStr">
        <is>
          <t>JÖNKÖPINGS LÄN</t>
        </is>
      </c>
      <c r="G260" t="inlineStr">
        <is>
          <t>SÄVSJÖ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46266</v>
      </c>
      <c r="E261" s="1" t="n">
        <v>46320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46266</v>
      </c>
      <c r="E262" s="1" t="n">
        <v>46320</v>
      </c>
      <c r="F262" t="inlineStr">
        <is>
          <t>JÖNKÖPINGS LÄN</t>
        </is>
      </c>
      <c r="G262" t="inlineStr">
        <is>
          <t>SÄVSJÖ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46282</v>
      </c>
      <c r="E263" s="1" t="n">
        <v>46320</v>
      </c>
      <c r="F263" t="inlineStr">
        <is>
          <t>JÖNKÖPINGS LÄN</t>
        </is>
      </c>
      <c r="G263" t="inlineStr">
        <is>
          <t>SÄVSJÖ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46266</v>
      </c>
      <c r="E264" s="1" t="n">
        <v>46320</v>
      </c>
      <c r="F264" t="inlineStr">
        <is>
          <t>JÖNKÖPINGS LÄN</t>
        </is>
      </c>
      <c r="G264" t="inlineStr">
        <is>
          <t>SÄVSJÖ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45001</v>
      </c>
      <c r="E265" s="1" t="n">
        <v>46320</v>
      </c>
      <c r="F265" t="inlineStr">
        <is>
          <t>JÖNKÖPINGS LÄN</t>
        </is>
      </c>
      <c r="G265" t="inlineStr">
        <is>
          <t>SÄVSJÖ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46320</v>
      </c>
      <c r="F266" t="inlineStr">
        <is>
          <t>JÖNKÖPINGS LÄN</t>
        </is>
      </c>
      <c r="G266" t="inlineStr">
        <is>
          <t>SÄVSJÖ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46320</v>
      </c>
      <c r="F267" t="inlineStr">
        <is>
          <t>JÖNKÖPINGS LÄN</t>
        </is>
      </c>
      <c r="G267" t="inlineStr">
        <is>
          <t>SÄVSJÖ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46320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44590</v>
      </c>
      <c r="E269" s="1" t="n">
        <v>46320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46272</v>
      </c>
      <c r="E270" s="1" t="n">
        <v>46320</v>
      </c>
      <c r="F270" t="inlineStr">
        <is>
          <t>JÖNKÖPINGS LÄN</t>
        </is>
      </c>
      <c r="G270" t="inlineStr">
        <is>
          <t>SÄVSJÖ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46316</v>
      </c>
      <c r="E271" s="1" t="n">
        <v>46320</v>
      </c>
      <c r="F271" t="inlineStr">
        <is>
          <t>JÖNKÖPINGS LÄN</t>
        </is>
      </c>
      <c r="G271" t="inlineStr">
        <is>
          <t>SÄVSJÖ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45785</v>
      </c>
      <c r="E272" s="1" t="n">
        <v>46320</v>
      </c>
      <c r="F272" t="inlineStr">
        <is>
          <t>JÖNKÖPINGS LÄN</t>
        </is>
      </c>
      <c r="G272" t="inlineStr">
        <is>
          <t>SÄVSJÖ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37079-2026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46273</v>
      </c>
      <c r="E273" s="1" t="n">
        <v>46320</v>
      </c>
      <c r="F273" t="inlineStr">
        <is>
          <t>JÖNKÖPINGS LÄN</t>
        </is>
      </c>
      <c r="G273" t="inlineStr">
        <is>
          <t>SÄVSJÖ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43772-2026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46316</v>
      </c>
      <c r="E274" s="1" t="n">
        <v>46320</v>
      </c>
      <c r="F274" t="inlineStr">
        <is>
          <t>JÖNKÖPINGS LÄN</t>
        </is>
      </c>
      <c r="G274" t="inlineStr">
        <is>
          <t>SÄVSJÖ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44957</v>
      </c>
      <c r="E275" s="1" t="n">
        <v>46320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46316</v>
      </c>
      <c r="E276" s="1" t="n">
        <v>46320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43641-2026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46316</v>
      </c>
      <c r="E277" s="1" t="n">
        <v>46320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46316</v>
      </c>
      <c r="E278" s="1" t="n">
        <v>46320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46316</v>
      </c>
      <c r="E279" s="1" t="n">
        <v>46320</v>
      </c>
      <c r="F279" t="inlineStr">
        <is>
          <t>JÖNKÖPINGS LÄN</t>
        </is>
      </c>
      <c r="G279" t="inlineStr">
        <is>
          <t>SÄVSJÖ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46320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46320</v>
      </c>
      <c r="F281" t="inlineStr">
        <is>
          <t>JÖNKÖPINGS LÄN</t>
        </is>
      </c>
      <c r="G281" t="inlineStr">
        <is>
          <t>SÄVSJÖ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46316</v>
      </c>
      <c r="E282" s="1" t="n">
        <v>46320</v>
      </c>
      <c r="F282" t="inlineStr">
        <is>
          <t>JÖNKÖPINGS LÄN</t>
        </is>
      </c>
      <c r="G282" t="inlineStr">
        <is>
          <t>SÄVSJÖ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46320</v>
      </c>
      <c r="F283" t="inlineStr">
        <is>
          <t>JÖNKÖPINGS LÄN</t>
        </is>
      </c>
      <c r="G283" t="inlineStr">
        <is>
          <t>SÄVSJÖ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46320</v>
      </c>
      <c r="F284" t="inlineStr">
        <is>
          <t>JÖNKÖPINGS LÄN</t>
        </is>
      </c>
      <c r="G284" t="inlineStr">
        <is>
          <t>SÄVSJÖ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46318</v>
      </c>
      <c r="E285" s="1" t="n">
        <v>46320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44944</v>
      </c>
      <c r="E286" s="1" t="n">
        <v>46320</v>
      </c>
      <c r="F286" t="inlineStr">
        <is>
          <t>JÖNKÖPINGS LÄN</t>
        </is>
      </c>
      <c r="G286" t="inlineStr">
        <is>
          <t>SÄVSJÖ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37611-2024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46320</v>
      </c>
      <c r="F287" t="inlineStr">
        <is>
          <t>JÖNKÖPINGS LÄN</t>
        </is>
      </c>
      <c r="G287" t="inlineStr">
        <is>
          <t>SÄVSJÖ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46317</v>
      </c>
      <c r="E288" s="1" t="n">
        <v>46320</v>
      </c>
      <c r="F288" t="inlineStr">
        <is>
          <t>JÖNKÖPINGS LÄN</t>
        </is>
      </c>
      <c r="G288" t="inlineStr">
        <is>
          <t>SÄVSJÖ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46320</v>
      </c>
      <c r="F289" t="inlineStr">
        <is>
          <t>JÖNKÖPINGS LÄN</t>
        </is>
      </c>
      <c r="G289" t="inlineStr">
        <is>
          <t>SÄVSJÖ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45037</v>
      </c>
      <c r="E290" s="1" t="n">
        <v>46320</v>
      </c>
      <c r="F290" t="inlineStr">
        <is>
          <t>JÖNKÖPINGS LÄN</t>
        </is>
      </c>
      <c r="G290" t="inlineStr">
        <is>
          <t>SÄVSJÖ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44076-2026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46317</v>
      </c>
      <c r="E291" s="1" t="n">
        <v>46320</v>
      </c>
      <c r="F291" t="inlineStr">
        <is>
          <t>JÖNKÖPINGS LÄN</t>
        </is>
      </c>
      <c r="G291" t="inlineStr">
        <is>
          <t>SÄVSJÖ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46274</v>
      </c>
      <c r="E292" s="1" t="n">
        <v>46320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45601</v>
      </c>
      <c r="E293" s="1" t="n">
        <v>46320</v>
      </c>
      <c r="F293" t="inlineStr">
        <is>
          <t>JÖNKÖPINGS LÄN</t>
        </is>
      </c>
      <c r="G293" t="inlineStr">
        <is>
          <t>SÄVSJÖ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46318</v>
      </c>
      <c r="E294" s="1" t="n">
        <v>46320</v>
      </c>
      <c r="F294" t="inlineStr">
        <is>
          <t>JÖNKÖPINGS LÄN</t>
        </is>
      </c>
      <c r="G294" t="inlineStr">
        <is>
          <t>SÄVSJÖ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46320</v>
      </c>
      <c r="F295" t="inlineStr">
        <is>
          <t>JÖNKÖPINGS LÄN</t>
        </is>
      </c>
      <c r="G295" t="inlineStr">
        <is>
          <t>SÄVSJÖ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46320</v>
      </c>
      <c r="F296" t="inlineStr">
        <is>
          <t>JÖNKÖPINGS LÄN</t>
        </is>
      </c>
      <c r="G296" t="inlineStr">
        <is>
          <t>SÄVSJÖ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45593</v>
      </c>
      <c r="E297" s="1" t="n">
        <v>46320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46320</v>
      </c>
      <c r="F298" t="inlineStr">
        <is>
          <t>JÖNKÖPINGS LÄN</t>
        </is>
      </c>
      <c r="G298" t="inlineStr">
        <is>
          <t>SÄVSJÖ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46320</v>
      </c>
      <c r="F299" t="inlineStr">
        <is>
          <t>JÖNKÖPINGS LÄN</t>
        </is>
      </c>
      <c r="G299" t="inlineStr">
        <is>
          <t>SÄVSJÖ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63920-2021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44509</v>
      </c>
      <c r="E300" s="1" t="n">
        <v>46320</v>
      </c>
      <c r="F300" t="inlineStr">
        <is>
          <t>JÖNKÖPINGS LÄN</t>
        </is>
      </c>
      <c r="G300" t="inlineStr">
        <is>
          <t>SÄVSJÖ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44991</v>
      </c>
      <c r="E301" s="1" t="n">
        <v>46320</v>
      </c>
      <c r="F301" t="inlineStr">
        <is>
          <t>JÖNKÖPINGS LÄN</t>
        </is>
      </c>
      <c r="G301" t="inlineStr">
        <is>
          <t>SÄVSJÖ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45671</v>
      </c>
      <c r="E302" s="1" t="n">
        <v>46320</v>
      </c>
      <c r="F302" t="inlineStr">
        <is>
          <t>JÖNKÖPINGS LÄN</t>
        </is>
      </c>
      <c r="G302" t="inlineStr">
        <is>
          <t>SÄVSJÖ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7285-2023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44970</v>
      </c>
      <c r="E303" s="1" t="n">
        <v>46320</v>
      </c>
      <c r="F303" t="inlineStr">
        <is>
          <t>JÖNKÖPINGS LÄN</t>
        </is>
      </c>
      <c r="G303" t="inlineStr">
        <is>
          <t>SÄVSJÖ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45679</v>
      </c>
      <c r="E304" s="1" t="n">
        <v>46320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46320</v>
      </c>
      <c r="F305" t="inlineStr">
        <is>
          <t>JÖNKÖPINGS LÄN</t>
        </is>
      </c>
      <c r="G305" t="inlineStr">
        <is>
          <t>SÄVSJÖ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46320</v>
      </c>
      <c r="F306" t="inlineStr">
        <is>
          <t>JÖNKÖPINGS LÄN</t>
        </is>
      </c>
      <c r="G306" t="inlineStr">
        <is>
          <t>SÄVSJÖ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45634</v>
      </c>
      <c r="E307" s="1" t="n">
        <v>46320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10865-2023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44991</v>
      </c>
      <c r="E308" s="1" t="n">
        <v>46320</v>
      </c>
      <c r="F308" t="inlineStr">
        <is>
          <t>JÖNKÖPINGS LÄN</t>
        </is>
      </c>
      <c r="G308" t="inlineStr">
        <is>
          <t>SÄVSJÖ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44820</v>
      </c>
      <c r="E309" s="1" t="n">
        <v>46320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45067</v>
      </c>
      <c r="E310" s="1" t="n">
        <v>46320</v>
      </c>
      <c r="F310" t="inlineStr">
        <is>
          <t>JÖNKÖPINGS LÄN</t>
        </is>
      </c>
      <c r="G310" t="inlineStr">
        <is>
          <t>SÄVSJÖ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61545-2021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44501</v>
      </c>
      <c r="E311" s="1" t="n">
        <v>46320</v>
      </c>
      <c r="F311" t="inlineStr">
        <is>
          <t>JÖNKÖPINGS LÄN</t>
        </is>
      </c>
      <c r="G311" t="inlineStr">
        <is>
          <t>SÄVSJÖ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45748</v>
      </c>
      <c r="E312" s="1" t="n">
        <v>46320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46320</v>
      </c>
      <c r="F313" t="inlineStr">
        <is>
          <t>JÖNKÖPINGS LÄN</t>
        </is>
      </c>
      <c r="G313" t="inlineStr">
        <is>
          <t>SÄVSJÖ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45274</v>
      </c>
      <c r="E314" s="1" t="n">
        <v>46320</v>
      </c>
      <c r="F314" t="inlineStr">
        <is>
          <t>JÖNKÖPINGS LÄN</t>
        </is>
      </c>
      <c r="G314" t="inlineStr">
        <is>
          <t>SÄVSJÖ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46320</v>
      </c>
      <c r="F315" t="inlineStr">
        <is>
          <t>JÖNKÖPINGS LÄN</t>
        </is>
      </c>
      <c r="G315" t="inlineStr">
        <is>
          <t>SÄVSJÖ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46320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45079</v>
      </c>
      <c r="E317" s="1" t="n">
        <v>46320</v>
      </c>
      <c r="F317" t="inlineStr">
        <is>
          <t>JÖNKÖPINGS LÄN</t>
        </is>
      </c>
      <c r="G317" t="inlineStr">
        <is>
          <t>SÄVSJÖ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50627-2022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44866</v>
      </c>
      <c r="E318" s="1" t="n">
        <v>46320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46320</v>
      </c>
      <c r="F319" t="inlineStr">
        <is>
          <t>JÖNKÖPINGS LÄN</t>
        </is>
      </c>
      <c r="G319" t="inlineStr">
        <is>
          <t>SÄVSJÖ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46320</v>
      </c>
      <c r="F320" t="inlineStr">
        <is>
          <t>JÖNKÖPINGS LÄN</t>
        </is>
      </c>
      <c r="G320" t="inlineStr">
        <is>
          <t>SÄVSJÖ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46320</v>
      </c>
      <c r="F321" t="inlineStr">
        <is>
          <t>JÖNKÖPINGS LÄN</t>
        </is>
      </c>
      <c r="G321" t="inlineStr">
        <is>
          <t>SÄVSJÖ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21788-2023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45066</v>
      </c>
      <c r="E322" s="1" t="n">
        <v>46320</v>
      </c>
      <c r="F322" t="inlineStr">
        <is>
          <t>JÖNKÖPINGS LÄN</t>
        </is>
      </c>
      <c r="G322" t="inlineStr">
        <is>
          <t>SÄVSJÖ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45427</v>
      </c>
      <c r="E323" s="1" t="n">
        <v>46320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45252</v>
      </c>
      <c r="E324" s="1" t="n">
        <v>46320</v>
      </c>
      <c r="F324" t="inlineStr">
        <is>
          <t>JÖNKÖPINGS LÄN</t>
        </is>
      </c>
      <c r="G324" t="inlineStr">
        <is>
          <t>SÄVSJÖ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45086</v>
      </c>
      <c r="E325" s="1" t="n">
        <v>46320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44839</v>
      </c>
      <c r="E326" s="1" t="n">
        <v>46320</v>
      </c>
      <c r="F326" t="inlineStr">
        <is>
          <t>JÖNKÖPINGS LÄN</t>
        </is>
      </c>
      <c r="G326" t="inlineStr">
        <is>
          <t>SÄVSJÖ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45094</v>
      </c>
      <c r="E327" s="1" t="n">
        <v>46320</v>
      </c>
      <c r="F327" t="inlineStr">
        <is>
          <t>JÖNKÖPINGS LÄN</t>
        </is>
      </c>
      <c r="G327" t="inlineStr">
        <is>
          <t>SÄVSJÖ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46320</v>
      </c>
      <c r="F328" t="inlineStr">
        <is>
          <t>JÖNKÖPINGS LÄN</t>
        </is>
      </c>
      <c r="G328" t="inlineStr">
        <is>
          <t>SÄVSJÖ</t>
        </is>
      </c>
      <c r="H328" t="inlineStr">
        <is>
          <t>Sveaskog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45094</v>
      </c>
      <c r="E329" s="1" t="n">
        <v>46320</v>
      </c>
      <c r="F329" t="inlineStr">
        <is>
          <t>JÖNKÖPINGS LÄN</t>
        </is>
      </c>
      <c r="G329" t="inlineStr">
        <is>
          <t>SÄVSJÖ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46320</v>
      </c>
      <c r="F330" t="inlineStr">
        <is>
          <t>JÖNKÖPINGS LÄN</t>
        </is>
      </c>
      <c r="G330" t="inlineStr">
        <is>
          <t>SÄVSJÖ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44510</v>
      </c>
      <c r="E331" s="1" t="n">
        <v>46320</v>
      </c>
      <c r="F331" t="inlineStr">
        <is>
          <t>JÖNKÖPINGS LÄN</t>
        </is>
      </c>
      <c r="G331" t="inlineStr">
        <is>
          <t>SÄVSJÖ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45118</v>
      </c>
      <c r="E332" s="1" t="n">
        <v>46320</v>
      </c>
      <c r="F332" t="inlineStr">
        <is>
          <t>JÖNKÖPINGS LÄN</t>
        </is>
      </c>
      <c r="G332" t="inlineStr">
        <is>
          <t>SÄVSJÖ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62961-2021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44505</v>
      </c>
      <c r="E333" s="1" t="n">
        <v>46320</v>
      </c>
      <c r="F333" t="inlineStr">
        <is>
          <t>JÖNKÖPINGS LÄN</t>
        </is>
      </c>
      <c r="G333" t="inlineStr">
        <is>
          <t>SÄVSJÖ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46320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45267</v>
      </c>
      <c r="E335" s="1" t="n">
        <v>46320</v>
      </c>
      <c r="F335" t="inlineStr">
        <is>
          <t>JÖNKÖPINGS LÄN</t>
        </is>
      </c>
      <c r="G335" t="inlineStr">
        <is>
          <t>SÄVSJÖ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45146</v>
      </c>
      <c r="E336" s="1" t="n">
        <v>46320</v>
      </c>
      <c r="F336" t="inlineStr">
        <is>
          <t>JÖNKÖPINGS LÄN</t>
        </is>
      </c>
      <c r="G336" t="inlineStr">
        <is>
          <t>SÄVSJÖ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45148</v>
      </c>
      <c r="E337" s="1" t="n">
        <v>46320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46320</v>
      </c>
      <c r="F338" t="inlineStr">
        <is>
          <t>JÖNKÖPINGS LÄN</t>
        </is>
      </c>
      <c r="G338" t="inlineStr">
        <is>
          <t>SÄVSJÖ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46320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46320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46320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46320</v>
      </c>
      <c r="F342" t="inlineStr">
        <is>
          <t>JÖNKÖPINGS LÄN</t>
        </is>
      </c>
      <c r="G342" t="inlineStr">
        <is>
          <t>SÄVSJÖ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46320</v>
      </c>
      <c r="F343" t="inlineStr">
        <is>
          <t>JÖNKÖPINGS LÄN</t>
        </is>
      </c>
      <c r="G343" t="inlineStr">
        <is>
          <t>SÄVSJÖ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45634</v>
      </c>
      <c r="E344" s="1" t="n">
        <v>46320</v>
      </c>
      <c r="F344" t="inlineStr">
        <is>
          <t>JÖNKÖPINGS LÄN</t>
        </is>
      </c>
      <c r="G344" t="inlineStr">
        <is>
          <t>SÄVSJÖ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45634</v>
      </c>
      <c r="E345" s="1" t="n">
        <v>46320</v>
      </c>
      <c r="F345" t="inlineStr">
        <is>
          <t>JÖNKÖPINGS LÄN</t>
        </is>
      </c>
      <c r="G345" t="inlineStr">
        <is>
          <t>SÄVSJÖ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46320</v>
      </c>
      <c r="F346" t="inlineStr">
        <is>
          <t>JÖNKÖPINGS LÄN</t>
        </is>
      </c>
      <c r="G346" t="inlineStr">
        <is>
          <t>SÄVSJÖ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46320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44988</v>
      </c>
      <c r="E348" s="1" t="n">
        <v>46320</v>
      </c>
      <c r="F348" t="inlineStr">
        <is>
          <t>JÖNKÖPINGS LÄN</t>
        </is>
      </c>
      <c r="G348" t="inlineStr">
        <is>
          <t>SÄVSJÖ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45518</v>
      </c>
      <c r="E349" s="1" t="n">
        <v>46320</v>
      </c>
      <c r="F349" t="inlineStr">
        <is>
          <t>JÖNKÖPINGS LÄN</t>
        </is>
      </c>
      <c r="G349" t="inlineStr">
        <is>
          <t>SÄVSJÖ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45170</v>
      </c>
      <c r="E350" s="1" t="n">
        <v>46320</v>
      </c>
      <c r="F350" t="inlineStr">
        <is>
          <t>JÖNKÖPINGS LÄN</t>
        </is>
      </c>
      <c r="G350" t="inlineStr">
        <is>
          <t>SÄVSJÖ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46320</v>
      </c>
      <c r="F351" t="inlineStr">
        <is>
          <t>JÖNKÖPINGS LÄN</t>
        </is>
      </c>
      <c r="G351" t="inlineStr">
        <is>
          <t>SÄVSJÖ</t>
        </is>
      </c>
      <c r="H351" t="inlineStr">
        <is>
          <t>Övriga Aktiebolag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45040</v>
      </c>
      <c r="E352" s="1" t="n">
        <v>46320</v>
      </c>
      <c r="F352" t="inlineStr">
        <is>
          <t>JÖNKÖPINGS LÄN</t>
        </is>
      </c>
      <c r="G352" t="inlineStr">
        <is>
          <t>SÄVSJÖ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45161</v>
      </c>
      <c r="E353" s="1" t="n">
        <v>46320</v>
      </c>
      <c r="F353" t="inlineStr">
        <is>
          <t>JÖNKÖPINGS LÄN</t>
        </is>
      </c>
      <c r="G353" t="inlineStr">
        <is>
          <t>SÄVSJÖ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46320</v>
      </c>
      <c r="F354" t="inlineStr">
        <is>
          <t>JÖNKÖPINGS LÄN</t>
        </is>
      </c>
      <c r="G354" t="inlineStr">
        <is>
          <t>SÄVSJÖ</t>
        </is>
      </c>
      <c r="H354" t="inlineStr">
        <is>
          <t>Kyrkan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46320</v>
      </c>
      <c r="F355" t="inlineStr">
        <is>
          <t>JÖNKÖPINGS LÄN</t>
        </is>
      </c>
      <c r="G355" t="inlineStr">
        <is>
          <t>SÄVSJÖ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46320</v>
      </c>
      <c r="F356" t="inlineStr">
        <is>
          <t>JÖNKÖPINGS LÄN</t>
        </is>
      </c>
      <c r="G356" t="inlineStr">
        <is>
          <t>SÄVSJÖ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46320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46320</v>
      </c>
      <c r="F358" t="inlineStr">
        <is>
          <t>JÖNKÖPINGS LÄN</t>
        </is>
      </c>
      <c r="G358" t="inlineStr">
        <is>
          <t>SÄVSJÖ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45632</v>
      </c>
      <c r="E359" s="1" t="n">
        <v>46320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19935-2023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45054</v>
      </c>
      <c r="E360" s="1" t="n">
        <v>46320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45067</v>
      </c>
      <c r="E361" s="1" t="n">
        <v>46320</v>
      </c>
      <c r="F361" t="inlineStr">
        <is>
          <t>JÖNKÖPINGS LÄN</t>
        </is>
      </c>
      <c r="G361" t="inlineStr">
        <is>
          <t>SÄVSJÖ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6620-2022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44601</v>
      </c>
      <c r="E362" s="1" t="n">
        <v>46320</v>
      </c>
      <c r="F362" t="inlineStr">
        <is>
          <t>JÖNKÖPINGS LÄN</t>
        </is>
      </c>
      <c r="G362" t="inlineStr">
        <is>
          <t>SÄVSJÖ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24798-2023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45084</v>
      </c>
      <c r="E363" s="1" t="n">
        <v>46320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8341-2022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44610</v>
      </c>
      <c r="E364" s="1" t="n">
        <v>46320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45601</v>
      </c>
      <c r="E365" s="1" t="n">
        <v>46320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46320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46320</v>
      </c>
      <c r="F367" t="inlineStr">
        <is>
          <t>JÖNKÖPINGS LÄN</t>
        </is>
      </c>
      <c r="G367" t="inlineStr">
        <is>
          <t>SÄVSJÖ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46320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46320</v>
      </c>
      <c r="F369" t="inlineStr">
        <is>
          <t>JÖNKÖPINGS LÄN</t>
        </is>
      </c>
      <c r="G369" t="inlineStr">
        <is>
          <t>SÄVSJÖ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46320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46320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46320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45197</v>
      </c>
      <c r="E373" s="1" t="n">
        <v>46320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46320</v>
      </c>
      <c r="F374" t="inlineStr">
        <is>
          <t>JÖNKÖPINGS LÄN</t>
        </is>
      </c>
      <c r="G374" t="inlineStr">
        <is>
          <t>SÄVSJÖ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44872</v>
      </c>
      <c r="E375" s="1" t="n">
        <v>46320</v>
      </c>
      <c r="F375" t="inlineStr">
        <is>
          <t>JÖNKÖPINGS LÄN</t>
        </is>
      </c>
      <c r="G375" t="inlineStr">
        <is>
          <t>SÄVSJÖ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46320</v>
      </c>
      <c r="F376" t="inlineStr">
        <is>
          <t>JÖNKÖPINGS LÄN</t>
        </is>
      </c>
      <c r="G376" t="inlineStr">
        <is>
          <t>SÄVSJÖ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39730-2023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45167</v>
      </c>
      <c r="E377" s="1" t="n">
        <v>46320</v>
      </c>
      <c r="F377" t="inlineStr">
        <is>
          <t>JÖNKÖPINGS LÄN</t>
        </is>
      </c>
      <c r="G377" t="inlineStr">
        <is>
          <t>SÄVSJÖ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45704</v>
      </c>
      <c r="E378" s="1" t="n">
        <v>46320</v>
      </c>
      <c r="F378" t="inlineStr">
        <is>
          <t>JÖNKÖPINGS LÄN</t>
        </is>
      </c>
      <c r="G378" t="inlineStr">
        <is>
          <t>SÄVSJÖ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14880-2022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44656</v>
      </c>
      <c r="E379" s="1" t="n">
        <v>46320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46320</v>
      </c>
      <c r="F380" t="inlineStr">
        <is>
          <t>JÖNKÖPINGS LÄN</t>
        </is>
      </c>
      <c r="G380" t="inlineStr">
        <is>
          <t>SÄVSJÖ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45694</v>
      </c>
      <c r="E381" s="1" t="n">
        <v>46320</v>
      </c>
      <c r="F381" t="inlineStr">
        <is>
          <t>JÖNKÖPINGS LÄN</t>
        </is>
      </c>
      <c r="G381" t="inlineStr">
        <is>
          <t>SÄVSJÖ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55482-2023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46320</v>
      </c>
      <c r="F382" t="inlineStr">
        <is>
          <t>JÖNKÖPINGS LÄN</t>
        </is>
      </c>
      <c r="G382" t="inlineStr">
        <is>
          <t>SÄVSJÖ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19856-2024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46320</v>
      </c>
      <c r="F383" t="inlineStr">
        <is>
          <t>JÖNKÖPINGS LÄN</t>
        </is>
      </c>
      <c r="G383" t="inlineStr">
        <is>
          <t>SÄVSJÖ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55012-2023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46320</v>
      </c>
      <c r="F384" t="inlineStr">
        <is>
          <t>JÖNKÖPINGS LÄN</t>
        </is>
      </c>
      <c r="G384" t="inlineStr">
        <is>
          <t>SÄVSJÖ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14159-2022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44651</v>
      </c>
      <c r="E385" s="1" t="n">
        <v>46320</v>
      </c>
      <c r="F385" t="inlineStr">
        <is>
          <t>JÖNKÖPINGS LÄN</t>
        </is>
      </c>
      <c r="G385" t="inlineStr">
        <is>
          <t>SÄVSJÖ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49406-2023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45211</v>
      </c>
      <c r="E386" s="1" t="n">
        <v>46320</v>
      </c>
      <c r="F386" t="inlineStr">
        <is>
          <t>JÖNKÖPINGS LÄN</t>
        </is>
      </c>
      <c r="G386" t="inlineStr">
        <is>
          <t>SÄVSJÖ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54547-2023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45226</v>
      </c>
      <c r="E387" s="1" t="n">
        <v>46320</v>
      </c>
      <c r="F387" t="inlineStr">
        <is>
          <t>JÖNKÖPINGS LÄN</t>
        </is>
      </c>
      <c r="G387" t="inlineStr">
        <is>
          <t>SÄVSJÖ</t>
        </is>
      </c>
      <c r="H387" t="inlineStr">
        <is>
          <t>Kyrkan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45775</v>
      </c>
      <c r="E388" s="1" t="n">
        <v>46320</v>
      </c>
      <c r="F388" t="inlineStr">
        <is>
          <t>JÖNKÖPINGS LÄN</t>
        </is>
      </c>
      <c r="G388" t="inlineStr">
        <is>
          <t>SÄVSJÖ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46320</v>
      </c>
      <c r="F389" t="inlineStr">
        <is>
          <t>JÖNKÖPINGS LÄN</t>
        </is>
      </c>
      <c r="G389" t="inlineStr">
        <is>
          <t>SÄVSJÖ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46320</v>
      </c>
      <c r="F390" t="inlineStr">
        <is>
          <t>JÖNKÖPINGS LÄN</t>
        </is>
      </c>
      <c r="G390" t="inlineStr">
        <is>
          <t>SÄVSJÖ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45302</v>
      </c>
      <c r="E391" s="1" t="n">
        <v>46320</v>
      </c>
      <c r="F391" t="inlineStr">
        <is>
          <t>JÖNKÖPINGS LÄN</t>
        </is>
      </c>
      <c r="G391" t="inlineStr">
        <is>
          <t>SÄVSJÖ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46320</v>
      </c>
      <c r="F392" t="inlineStr">
        <is>
          <t>JÖNKÖPINGS LÄN</t>
        </is>
      </c>
      <c r="G392" t="inlineStr">
        <is>
          <t>SÄVSJÖ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907-2024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45301</v>
      </c>
      <c r="E393" s="1" t="n">
        <v>46320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45532</v>
      </c>
      <c r="E394" s="1" t="n">
        <v>46320</v>
      </c>
      <c r="F394" t="inlineStr">
        <is>
          <t>JÖNKÖPINGS LÄN</t>
        </is>
      </c>
      <c r="G394" t="inlineStr">
        <is>
          <t>SÄVSJÖ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45301</v>
      </c>
      <c r="E395" s="1" t="n">
        <v>46320</v>
      </c>
      <c r="F395" t="inlineStr">
        <is>
          <t>JÖNKÖPINGS LÄN</t>
        </is>
      </c>
      <c r="G395" t="inlineStr">
        <is>
          <t>SÄVSJÖ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45275</v>
      </c>
      <c r="E396" s="1" t="n">
        <v>46320</v>
      </c>
      <c r="F396" t="inlineStr">
        <is>
          <t>JÖNKÖPINGS LÄN</t>
        </is>
      </c>
      <c r="G396" t="inlineStr">
        <is>
          <t>SÄVSJÖ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46320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46320</v>
      </c>
      <c r="F398" t="inlineStr">
        <is>
          <t>JÖNKÖPINGS LÄN</t>
        </is>
      </c>
      <c r="G398" t="inlineStr">
        <is>
          <t>SÄVSJÖ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38914-2024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45547</v>
      </c>
      <c r="E399" s="1" t="n">
        <v>46320</v>
      </c>
      <c r="F399" t="inlineStr">
        <is>
          <t>JÖNKÖPINGS LÄN</t>
        </is>
      </c>
      <c r="G399" t="inlineStr">
        <is>
          <t>SÄVSJÖ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44838</v>
      </c>
      <c r="E400" s="1" t="n">
        <v>46320</v>
      </c>
      <c r="F400" t="inlineStr">
        <is>
          <t>JÖNKÖPINGS LÄN</t>
        </is>
      </c>
      <c r="G400" t="inlineStr">
        <is>
          <t>SÄVSJÖ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55909-2024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45623</v>
      </c>
      <c r="E401" s="1" t="n">
        <v>46320</v>
      </c>
      <c r="F401" t="inlineStr">
        <is>
          <t>JÖNKÖPINGS LÄN</t>
        </is>
      </c>
      <c r="G401" t="inlineStr">
        <is>
          <t>SÄVSJÖ</t>
        </is>
      </c>
      <c r="H401" t="inlineStr">
        <is>
          <t>Kommuner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36393-2024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45534</v>
      </c>
      <c r="E402" s="1" t="n">
        <v>46320</v>
      </c>
      <c r="F402" t="inlineStr">
        <is>
          <t>JÖNKÖPINGS LÄN</t>
        </is>
      </c>
      <c r="G402" t="inlineStr">
        <is>
          <t>SÄVSJÖ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14045-2023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45008</v>
      </c>
      <c r="E403" s="1" t="n">
        <v>46320</v>
      </c>
      <c r="F403" t="inlineStr">
        <is>
          <t>JÖNKÖPINGS LÄN</t>
        </is>
      </c>
      <c r="G403" t="inlineStr">
        <is>
          <t>SÄVSJÖ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44952</v>
      </c>
      <c r="E404" s="1" t="n">
        <v>46320</v>
      </c>
      <c r="F404" t="inlineStr">
        <is>
          <t>JÖNKÖPINGS LÄN</t>
        </is>
      </c>
      <c r="G404" t="inlineStr">
        <is>
          <t>SÄVSJÖ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10445-2021</t>
        </is>
      </c>
      <c r="B405" t="inlineStr">
        <is>
          <t>samrådsanmälan</t>
        </is>
      </c>
      <c r="C405" t="inlineStr">
        <is>
          <t>Skogsbilväg</t>
        </is>
      </c>
      <c r="D405" s="1" t="n">
        <v>44558</v>
      </c>
      <c r="E405" s="1" t="n">
        <v>46320</v>
      </c>
      <c r="F405" t="inlineStr">
        <is>
          <t>JÖNKÖPINGS LÄN</t>
        </is>
      </c>
      <c r="G405" t="inlineStr">
        <is>
          <t>SÄVSJÖ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44882</v>
      </c>
      <c r="E406" s="1" t="n">
        <v>46320</v>
      </c>
      <c r="F406" t="inlineStr">
        <is>
          <t>JÖNKÖPINGS LÄN</t>
        </is>
      </c>
      <c r="G406" t="inlineStr">
        <is>
          <t>SÄVSJÖ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2542-2023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45139</v>
      </c>
      <c r="E407" s="1" t="n">
        <v>46320</v>
      </c>
      <c r="F407" t="inlineStr">
        <is>
          <t>JÖNKÖPINGS LÄN</t>
        </is>
      </c>
      <c r="G407" t="inlineStr">
        <is>
          <t>SÄVSJÖ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1675-2023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45063</v>
      </c>
      <c r="E408" s="1" t="n">
        <v>46320</v>
      </c>
      <c r="F408" t="inlineStr">
        <is>
          <t>JÖNKÖPINGS LÄN</t>
        </is>
      </c>
      <c r="G408" t="inlineStr">
        <is>
          <t>SÄVSJÖ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1674-2023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45063</v>
      </c>
      <c r="E409" s="1" t="n">
        <v>46320</v>
      </c>
      <c r="F409" t="inlineStr">
        <is>
          <t>JÖNKÖPINGS LÄN</t>
        </is>
      </c>
      <c r="G409" t="inlineStr">
        <is>
          <t>SÄVSJÖ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2964-2023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45173</v>
      </c>
      <c r="E410" s="1" t="n">
        <v>46320</v>
      </c>
      <c r="F410" t="inlineStr">
        <is>
          <t>JÖNKÖPINGS LÄN</t>
        </is>
      </c>
      <c r="G410" t="inlineStr">
        <is>
          <t>SÄVSJÖ</t>
        </is>
      </c>
      <c r="I410" t="n">
        <v>54.6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2661-2023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45152</v>
      </c>
      <c r="E411" s="1" t="n">
        <v>46320</v>
      </c>
      <c r="F411" t="inlineStr">
        <is>
          <t>JÖNKÖPINGS LÄN</t>
        </is>
      </c>
      <c r="G411" t="inlineStr">
        <is>
          <t>SÄVSJÖ</t>
        </is>
      </c>
      <c r="I411" t="n">
        <v>21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2660-2023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45152</v>
      </c>
      <c r="E412" s="1" t="n">
        <v>46320</v>
      </c>
      <c r="F412" t="inlineStr">
        <is>
          <t>JÖNKÖPINGS LÄN</t>
        </is>
      </c>
      <c r="G412" t="inlineStr">
        <is>
          <t>SÄVSJÖ</t>
        </is>
      </c>
      <c r="I412" t="n">
        <v>14.2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4880-2024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45620</v>
      </c>
      <c r="E413" s="1" t="n">
        <v>46320</v>
      </c>
      <c r="F413" t="inlineStr">
        <is>
          <t>JÖNKÖPINGS LÄN</t>
        </is>
      </c>
      <c r="G413" t="inlineStr">
        <is>
          <t>SÄVSJÖ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4563-2024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45600</v>
      </c>
      <c r="E414" s="1" t="n">
        <v>46320</v>
      </c>
      <c r="F414" t="inlineStr">
        <is>
          <t>JÖNKÖPINGS LÄN</t>
        </is>
      </c>
      <c r="G414" t="inlineStr">
        <is>
          <t>SÄVSJÖ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2576-2023</t>
        </is>
      </c>
      <c r="B415" t="inlineStr">
        <is>
          <t>samrådsanmälan</t>
        </is>
      </c>
      <c r="C415" t="inlineStr">
        <is>
          <t>Stubbskörd</t>
        </is>
      </c>
      <c r="D415" s="1" t="n">
        <v>45141</v>
      </c>
      <c r="E415" s="1" t="n">
        <v>46320</v>
      </c>
      <c r="F415" t="inlineStr">
        <is>
          <t>JÖNKÖPINGS LÄN</t>
        </is>
      </c>
      <c r="G415" t="inlineStr">
        <is>
          <t>SÄVSJÖ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1237-2025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45762</v>
      </c>
      <c r="E416" s="1" t="n">
        <v>46320</v>
      </c>
      <c r="F416" t="inlineStr">
        <is>
          <t>JÖNKÖPINGS LÄN</t>
        </is>
      </c>
      <c r="G416" t="inlineStr">
        <is>
          <t>SÄVSJÖ</t>
        </is>
      </c>
      <c r="I416" t="n">
        <v>28.5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1374-2025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45776</v>
      </c>
      <c r="E417" s="1" t="n">
        <v>46320</v>
      </c>
      <c r="F417" t="inlineStr">
        <is>
          <t>JÖNKÖPINGS LÄN</t>
        </is>
      </c>
      <c r="G417" t="inlineStr">
        <is>
          <t>SÄVSJÖ</t>
        </is>
      </c>
      <c r="H417" t="inlineStr">
        <is>
          <t>Sveaskog</t>
        </is>
      </c>
      <c r="I417" t="n">
        <v>63.1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1459-2025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45786</v>
      </c>
      <c r="E418" s="1" t="n">
        <v>46320</v>
      </c>
      <c r="F418" t="inlineStr">
        <is>
          <t>JÖNKÖPINGS LÄN</t>
        </is>
      </c>
      <c r="G418" t="inlineStr">
        <is>
          <t>SÄVSJÖ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1457-2025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45785</v>
      </c>
      <c r="E419" s="1" t="n">
        <v>46320</v>
      </c>
      <c r="F419" t="inlineStr">
        <is>
          <t>JÖNKÖPINGS LÄN</t>
        </is>
      </c>
      <c r="G419" t="inlineStr">
        <is>
          <t>SÄVSJÖ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1570-2025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45794</v>
      </c>
      <c r="E420" s="1" t="n">
        <v>46320</v>
      </c>
      <c r="F420" t="inlineStr">
        <is>
          <t>JÖNKÖPINGS LÄN</t>
        </is>
      </c>
      <c r="G420" t="inlineStr">
        <is>
          <t>SÄVSJÖ</t>
        </is>
      </c>
      <c r="H420" t="inlineStr">
        <is>
          <t>Kyrkan</t>
        </is>
      </c>
      <c r="I420" t="n">
        <v>57.8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1571-2025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45794</v>
      </c>
      <c r="E421" s="1" t="n">
        <v>46320</v>
      </c>
      <c r="F421" t="inlineStr">
        <is>
          <t>JÖNKÖPINGS LÄN</t>
        </is>
      </c>
      <c r="G421" t="inlineStr">
        <is>
          <t>SÄVSJÖ</t>
        </is>
      </c>
      <c r="H421" t="inlineStr">
        <is>
          <t>Kyrkan</t>
        </is>
      </c>
      <c r="I421" t="n">
        <v>153.1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573-2025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45712</v>
      </c>
      <c r="E422" s="1" t="n">
        <v>46320</v>
      </c>
      <c r="F422" t="inlineStr">
        <is>
          <t>JÖNKÖPINGS LÄN</t>
        </is>
      </c>
      <c r="G422" t="inlineStr">
        <is>
          <t>SÄVSJÖ</t>
        </is>
      </c>
      <c r="I422" t="n">
        <v>34.5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578-2025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45712</v>
      </c>
      <c r="E423" s="1" t="n">
        <v>46320</v>
      </c>
      <c r="F423" t="inlineStr">
        <is>
          <t>JÖNKÖPINGS LÄN</t>
        </is>
      </c>
      <c r="G423" t="inlineStr">
        <is>
          <t>SÄVSJÖ</t>
        </is>
      </c>
      <c r="I423" t="n">
        <v>29.5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1812-2025</t>
        </is>
      </c>
      <c r="B424" t="inlineStr">
        <is>
          <t>samrådsanmälan</t>
        </is>
      </c>
      <c r="C424" t="inlineStr">
        <is>
          <t>Annan skogsbruksåtgärd</t>
        </is>
      </c>
      <c r="D424" s="1" t="n">
        <v>45818</v>
      </c>
      <c r="E424" s="1" t="n">
        <v>46320</v>
      </c>
      <c r="F424" t="inlineStr">
        <is>
          <t>JÖNKÖPINGS LÄN</t>
        </is>
      </c>
      <c r="G424" t="inlineStr">
        <is>
          <t>SÄVSJÖ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2071-2025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45840</v>
      </c>
      <c r="E425" s="1" t="n">
        <v>46320</v>
      </c>
      <c r="F425" t="inlineStr">
        <is>
          <t>JÖNKÖPINGS LÄN</t>
        </is>
      </c>
      <c r="G425" t="inlineStr">
        <is>
          <t>SÄVSJÖ</t>
        </is>
      </c>
      <c r="I425" t="n">
        <v>10.4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3270-2025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45985</v>
      </c>
      <c r="E426" s="1" t="n">
        <v>46320</v>
      </c>
      <c r="F426" t="inlineStr">
        <is>
          <t>JÖNKÖPINGS LÄN</t>
        </is>
      </c>
      <c r="G426" t="inlineStr">
        <is>
          <t>SÄVSJÖ</t>
        </is>
      </c>
      <c r="I426" t="n">
        <v>10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3271-2025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45985</v>
      </c>
      <c r="E427" s="1" t="n">
        <v>46320</v>
      </c>
      <c r="F427" t="inlineStr">
        <is>
          <t>JÖNKÖPINGS LÄN</t>
        </is>
      </c>
      <c r="G427" t="inlineStr">
        <is>
          <t>SÄVSJÖ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3268-2025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45985</v>
      </c>
      <c r="E428" s="1" t="n">
        <v>46320</v>
      </c>
      <c r="F428" t="inlineStr">
        <is>
          <t>JÖNKÖPINGS LÄN</t>
        </is>
      </c>
      <c r="G428" t="inlineStr">
        <is>
          <t>SÄVSJÖ</t>
        </is>
      </c>
      <c r="I428" t="n">
        <v>17.7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460-2026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46073</v>
      </c>
      <c r="E429" s="1" t="n">
        <v>46320</v>
      </c>
      <c r="F429" t="inlineStr">
        <is>
          <t>JÖNKÖPINGS LÄN</t>
        </is>
      </c>
      <c r="G429" t="inlineStr">
        <is>
          <t>SÄVSJÖ</t>
        </is>
      </c>
      <c r="I429" t="n">
        <v>36.7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687-2026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46091</v>
      </c>
      <c r="E430" s="1" t="n">
        <v>46320</v>
      </c>
      <c r="F430" t="inlineStr">
        <is>
          <t>JÖNKÖPINGS LÄN</t>
        </is>
      </c>
      <c r="G430" t="inlineStr">
        <is>
          <t>SÄVSJÖ</t>
        </is>
      </c>
      <c r="I430" t="n">
        <v>46.2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690-2026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46091</v>
      </c>
      <c r="E431" s="1" t="n">
        <v>46320</v>
      </c>
      <c r="F431" t="inlineStr">
        <is>
          <t>JÖNKÖPINGS LÄN</t>
        </is>
      </c>
      <c r="G431" t="inlineStr">
        <is>
          <t>SÄVSJÖ</t>
        </is>
      </c>
      <c r="I431" t="n">
        <v>47.4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873-2026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46106</v>
      </c>
      <c r="E432" s="1" t="n">
        <v>46320</v>
      </c>
      <c r="F432" t="inlineStr">
        <is>
          <t>JÖNKÖPINGS LÄN</t>
        </is>
      </c>
      <c r="G432" t="inlineStr">
        <is>
          <t>SÄVSJÖ</t>
        </is>
      </c>
      <c r="I432" t="n">
        <v>79.8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992-2026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46119</v>
      </c>
      <c r="E433" s="1" t="n">
        <v>46320</v>
      </c>
      <c r="F433" t="inlineStr">
        <is>
          <t>JÖNKÖPINGS LÄN</t>
        </is>
      </c>
      <c r="G433" t="inlineStr">
        <is>
          <t>SÄVSJÖ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>
      <c r="A434" t="inlineStr">
        <is>
          <t>S 1048-2026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46125</v>
      </c>
      <c r="E434" s="1" t="n">
        <v>46320</v>
      </c>
      <c r="F434" t="inlineStr">
        <is>
          <t>JÖNKÖPINGS LÄN</t>
        </is>
      </c>
      <c r="G434" t="inlineStr">
        <is>
          <t>SÄVSJÖ</t>
        </is>
      </c>
      <c r="I434" t="n">
        <v>35.8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2026-10-25T02:03:43Z</dcterms:created>
  <dcterms:modified xmlns:dcterms="http://purl.org/dc/terms/" xmlns:xsi="http://www.w3.org/2001/XMLSchema-instance" xsi:type="dcterms:W3CDTF">2026-10-25T02:03:44Z</dcterms:modified>
</cp:coreProperties>
</file>