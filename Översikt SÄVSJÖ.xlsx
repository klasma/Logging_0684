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Y2">
        <f>HYPERLINK("https://klasma.github.io/Logging_0684/klagomål/A 2633-2023 FSC-klagomål.docx", "A 2633-2023")</f>
        <v/>
      </c>
      <c r="Z2">
        <f>HYPERLINK("https://klasma.github.io/Logging_0684/klagomålsmail/A 2633-2023 FSC-klagomål mail.docx", "A 2633-2023")</f>
        <v/>
      </c>
      <c r="AA2">
        <f>HYPERLINK("https://klasma.github.io/Logging_0684/tillsyn/A 2633-2023 tillsynsbegäran.docx", "A 2633-2023")</f>
        <v/>
      </c>
      <c r="AB2">
        <f>HYPERLINK("https://klasma.github.io/Logging_0684/tillsynsmail/A 2633-2023 tillsynsbegäran mail.docx", "A 2633-2023")</f>
        <v/>
      </c>
      <c r="AC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46221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Y3">
        <f>HYPERLINK("https://klasma.github.io/Logging_0684/klagomål/S 1469-2020 FSC-klagomål.docx", "S 1469-2020")</f>
        <v/>
      </c>
      <c r="Z3">
        <f>HYPERLINK("https://klasma.github.io/Logging_0684/klagomålsmail/S 1469-2020 FSC-klagomål mail.docx", "S 1469-2020")</f>
        <v/>
      </c>
      <c r="AA3">
        <f>HYPERLINK("https://klasma.github.io/Logging_0684/tillsyn/S 1469-2020 tillsynsbegäran.docx", "S 1469-2020")</f>
        <v/>
      </c>
      <c r="AB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46221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s="2" t="inlineStr">
        <is>
          <t>Mosippa
Slåttergubbe
Ladusvala</t>
        </is>
      </c>
      <c r="V4">
        <f>HYPERLINK("https://klasma.github.io/Logging_0684/artfynd/A 46272-2022 artfynd.xlsx", "A 46272-2022")</f>
        <v/>
      </c>
      <c r="W4">
        <f>HYPERLINK("https://klasma.github.io/Logging_0684/kartor/A 46272-2022 karta.png", "A 46272-2022")</f>
        <v/>
      </c>
      <c r="Y4">
        <f>HYPERLINK("https://klasma.github.io/Logging_0684/klagomål/A 46272-2022 FSC-klagomål.docx", "A 46272-2022")</f>
        <v/>
      </c>
      <c r="Z4">
        <f>HYPERLINK("https://klasma.github.io/Logging_0684/klagomålsmail/A 46272-2022 FSC-klagomål mail.docx", "A 46272-2022")</f>
        <v/>
      </c>
      <c r="AA4">
        <f>HYPERLINK("https://klasma.github.io/Logging_0684/tillsyn/A 46272-2022 tillsynsbegäran.docx", "A 46272-2022")</f>
        <v/>
      </c>
      <c r="AB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46221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s="2" t="inlineStr">
        <is>
          <t>Praktvaxing
Sommarfibbla
Hagfingersvamp</t>
        </is>
      </c>
      <c r="V5">
        <f>HYPERLINK("https://klasma.github.io/Logging_0684/artfynd/A 50816-2023 artfynd.xlsx", "A 50816-2023")</f>
        <v/>
      </c>
      <c r="W5">
        <f>HYPERLINK("https://klasma.github.io/Logging_0684/kartor/A 50816-2023 karta.png", "A 50816-2023")</f>
        <v/>
      </c>
      <c r="Y5">
        <f>HYPERLINK("https://klasma.github.io/Logging_0684/klagomål/A 50816-2023 FSC-klagomål.docx", "A 50816-2023")</f>
        <v/>
      </c>
      <c r="Z5">
        <f>HYPERLINK("https://klasma.github.io/Logging_0684/klagomålsmail/A 50816-2023 FSC-klagomål mail.docx", "A 50816-2023")</f>
        <v/>
      </c>
      <c r="AA5">
        <f>HYPERLINK("https://klasma.github.io/Logging_0684/tillsyn/A 50816-2023 tillsynsbegäran.docx", "A 50816-2023")</f>
        <v/>
      </c>
      <c r="AB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46221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Slåttergubbe
Korallrot
Lopplummer (aggregat)</t>
        </is>
      </c>
      <c r="V6">
        <f>HYPERLINK("https://klasma.github.io/Logging_0684/artfynd/A 61151-2025 artfynd.xlsx", "A 61151-2025")</f>
        <v/>
      </c>
      <c r="W6">
        <f>HYPERLINK("https://klasma.github.io/Logging_0684/kartor/A 61151-2025 karta.png", "A 61151-2025")</f>
        <v/>
      </c>
      <c r="Y6">
        <f>HYPERLINK("https://klasma.github.io/Logging_0684/klagomål/A 61151-2025 FSC-klagomål.docx", "A 61151-2025")</f>
        <v/>
      </c>
      <c r="Z6">
        <f>HYPERLINK("https://klasma.github.io/Logging_0684/klagomålsmail/A 61151-2025 FSC-klagomål mail.docx", "A 61151-2025")</f>
        <v/>
      </c>
      <c r="AA6">
        <f>HYPERLINK("https://klasma.github.io/Logging_0684/tillsyn/A 61151-2025 tillsynsbegäran.docx", "A 61151-2025")</f>
        <v/>
      </c>
      <c r="AB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46221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Gulpudrad spiklav
Sotlav</t>
        </is>
      </c>
      <c r="V7">
        <f>HYPERLINK("https://klasma.github.io/Logging_0684/artfynd/A 13575-2026 artfynd.xlsx", "A 13575-2026")</f>
        <v/>
      </c>
      <c r="W7">
        <f>HYPERLINK("https://klasma.github.io/Logging_0684/kartor/A 13575-2026 karta.png", "A 13575-2026")</f>
        <v/>
      </c>
      <c r="Y7">
        <f>HYPERLINK("https://klasma.github.io/Logging_0684/klagomål/A 13575-2026 FSC-klagomål.docx", "A 13575-2026")</f>
        <v/>
      </c>
      <c r="Z7">
        <f>HYPERLINK("https://klasma.github.io/Logging_0684/klagomålsmail/A 13575-2026 FSC-klagomål mail.docx", "A 13575-2026")</f>
        <v/>
      </c>
      <c r="AA7">
        <f>HYPERLINK("https://klasma.github.io/Logging_0684/tillsyn/A 13575-2026 tillsynsbegäran.docx", "A 13575-2026")</f>
        <v/>
      </c>
      <c r="AB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46221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Staketflamlav
Sotlav</t>
        </is>
      </c>
      <c r="V8">
        <f>HYPERLINK("https://klasma.github.io/Logging_0684/artfynd/A 17722-2023 artfynd.xlsx", "A 17722-2023")</f>
        <v/>
      </c>
      <c r="W8">
        <f>HYPERLINK("https://klasma.github.io/Logging_0684/kartor/A 17722-2023 karta.png", "A 17722-2023")</f>
        <v/>
      </c>
      <c r="Y8">
        <f>HYPERLINK("https://klasma.github.io/Logging_0684/klagomål/A 17722-2023 FSC-klagomål.docx", "A 17722-2023")</f>
        <v/>
      </c>
      <c r="Z8">
        <f>HYPERLINK("https://klasma.github.io/Logging_0684/klagomålsmail/A 17722-2023 FSC-klagomål mail.docx", "A 17722-2023")</f>
        <v/>
      </c>
      <c r="AA8">
        <f>HYPERLINK("https://klasma.github.io/Logging_0684/tillsyn/A 17722-2023 tillsynsbegäran.docx", "A 17722-2023")</f>
        <v/>
      </c>
      <c r="AB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46221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Y9">
        <f>HYPERLINK("https://klasma.github.io/Logging_0684/klagomål/A 38189-2021 FSC-klagomål.docx", "A 38189-2021")</f>
        <v/>
      </c>
      <c r="Z9">
        <f>HYPERLINK("https://klasma.github.io/Logging_0684/klagomålsmail/A 38189-2021 FSC-klagomål mail.docx", "A 38189-2021")</f>
        <v/>
      </c>
      <c r="AA9">
        <f>HYPERLINK("https://klasma.github.io/Logging_0684/tillsyn/A 38189-2021 tillsynsbegäran.docx", "A 38189-2021")</f>
        <v/>
      </c>
      <c r="AB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46221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Bredgentiana</t>
        </is>
      </c>
      <c r="V10">
        <f>HYPERLINK("https://klasma.github.io/Logging_0684/artfynd/A 39632-2025 artfynd.xlsx", "A 39632-2025")</f>
        <v/>
      </c>
      <c r="W10">
        <f>HYPERLINK("https://klasma.github.io/Logging_0684/kartor/A 39632-2025 karta.png", "A 39632-2025")</f>
        <v/>
      </c>
      <c r="Y10">
        <f>HYPERLINK("https://klasma.github.io/Logging_0684/klagomål/A 39632-2025 FSC-klagomål.docx", "A 39632-2025")</f>
        <v/>
      </c>
      <c r="Z10">
        <f>HYPERLINK("https://klasma.github.io/Logging_0684/klagomålsmail/A 39632-2025 FSC-klagomål mail.docx", "A 39632-2025")</f>
        <v/>
      </c>
      <c r="AA10">
        <f>HYPERLINK("https://klasma.github.io/Logging_0684/tillsyn/A 39632-2025 tillsynsbegäran.docx", "A 39632-2025")</f>
        <v/>
      </c>
      <c r="AB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46221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Solvända</t>
        </is>
      </c>
      <c r="V11">
        <f>HYPERLINK("https://klasma.github.io/Logging_0684/artfynd/A 40075-2023 artfynd.xlsx", "A 40075-2023")</f>
        <v/>
      </c>
      <c r="W11">
        <f>HYPERLINK("https://klasma.github.io/Logging_0684/kartor/A 40075-2023 karta.png", "A 40075-2023")</f>
        <v/>
      </c>
      <c r="Y11">
        <f>HYPERLINK("https://klasma.github.io/Logging_0684/klagomål/A 40075-2023 FSC-klagomål.docx", "A 40075-2023")</f>
        <v/>
      </c>
      <c r="Z11">
        <f>HYPERLINK("https://klasma.github.io/Logging_0684/klagomålsmail/A 40075-2023 FSC-klagomål mail.docx", "A 40075-2023")</f>
        <v/>
      </c>
      <c r="AA11">
        <f>HYPERLINK("https://klasma.github.io/Logging_0684/tillsyn/A 40075-2023 tillsynsbegäran.docx", "A 40075-2023")</f>
        <v/>
      </c>
      <c r="AB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46221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s="2" t="inlineStr">
        <is>
          <t>Ask</t>
        </is>
      </c>
      <c r="V12">
        <f>HYPERLINK("https://klasma.github.io/Logging_0684/artfynd/A 57846-2025 artfynd.xlsx", "A 57846-2025")</f>
        <v/>
      </c>
      <c r="W12">
        <f>HYPERLINK("https://klasma.github.io/Logging_0684/kartor/A 57846-2025 karta.png", "A 57846-2025")</f>
        <v/>
      </c>
      <c r="Y12">
        <f>HYPERLINK("https://klasma.github.io/Logging_0684/klagomål/A 57846-2025 FSC-klagomål.docx", "A 57846-2025")</f>
        <v/>
      </c>
      <c r="Z12">
        <f>HYPERLINK("https://klasma.github.io/Logging_0684/klagomålsmail/A 57846-2025 FSC-klagomål mail.docx", "A 57846-2025")</f>
        <v/>
      </c>
      <c r="AA12">
        <f>HYPERLINK("https://klasma.github.io/Logging_0684/tillsyn/A 57846-2025 tillsynsbegäran.docx", "A 57846-2025")</f>
        <v/>
      </c>
      <c r="AB12">
        <f>HYPERLINK("https://klasma.github.io/Logging_0684/tillsynsmail/A 57846-2025 tillsynsbegäran mail.docx", "A 57846-2025")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46221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HYPERLINK("https://klasma.github.io/Logging_0684/artfynd/A 11797-2026 artfynd.xlsx", "A 11797-2026")</f>
        <v/>
      </c>
      <c r="W13">
        <f>HYPERLINK("https://klasma.github.io/Logging_0684/kartor/A 11797-2026 karta.png", "A 11797-2026")</f>
        <v/>
      </c>
      <c r="Y13">
        <f>HYPERLINK("https://klasma.github.io/Logging_0684/klagomål/A 11797-2026 FSC-klagomål.docx", "A 11797-2026")</f>
        <v/>
      </c>
      <c r="Z13">
        <f>HYPERLINK("https://klasma.github.io/Logging_0684/klagomålsmail/A 11797-2026 FSC-klagomål mail.docx", "A 11797-2026")</f>
        <v/>
      </c>
      <c r="AA13">
        <f>HYPERLINK("https://klasma.github.io/Logging_0684/tillsyn/A 11797-2026 tillsynsbegäran.docx", "A 11797-2026")</f>
        <v/>
      </c>
      <c r="AB13">
        <f>HYPERLINK("https://klasma.github.io/Logging_0684/tillsynsmail/A 11797-2026 tillsynsbegäran mail.docx", "A 11797-2026")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46221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Lungrot</t>
        </is>
      </c>
      <c r="V14">
        <f>HYPERLINK("https://klasma.github.io/Logging_0684/artfynd/A 34214-2025 artfynd.xlsx", "A 34214-2025")</f>
        <v/>
      </c>
      <c r="W14">
        <f>HYPERLINK("https://klasma.github.io/Logging_0684/kartor/A 34214-2025 karta.png", "A 34214-2025")</f>
        <v/>
      </c>
      <c r="Y14">
        <f>HYPERLINK("https://klasma.github.io/Logging_0684/klagomål/A 34214-2025 FSC-klagomål.docx", "A 34214-2025")</f>
        <v/>
      </c>
      <c r="Z14">
        <f>HYPERLINK("https://klasma.github.io/Logging_0684/klagomålsmail/A 34214-2025 FSC-klagomål mail.docx", "A 34214-2025")</f>
        <v/>
      </c>
      <c r="AA14">
        <f>HYPERLINK("https://klasma.github.io/Logging_0684/tillsyn/A 34214-2025 tillsynsbegäran.docx", "A 34214-2025")</f>
        <v/>
      </c>
      <c r="AB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46221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Sommarfibbla</t>
        </is>
      </c>
      <c r="V15">
        <f>HYPERLINK("https://klasma.github.io/Logging_0684/artfynd/A 40543-2023 artfynd.xlsx", "A 40543-2023")</f>
        <v/>
      </c>
      <c r="W15">
        <f>HYPERLINK("https://klasma.github.io/Logging_0684/kartor/A 40543-2023 karta.png", "A 40543-2023")</f>
        <v/>
      </c>
      <c r="Y15">
        <f>HYPERLINK("https://klasma.github.io/Logging_0684/klagomål/A 40543-2023 FSC-klagomål.docx", "A 40543-2023")</f>
        <v/>
      </c>
      <c r="Z15">
        <f>HYPERLINK("https://klasma.github.io/Logging_0684/klagomålsmail/A 40543-2023 FSC-klagomål mail.docx", "A 40543-2023")</f>
        <v/>
      </c>
      <c r="AA15">
        <f>HYPERLINK("https://klasma.github.io/Logging_0684/tillsyn/A 40543-2023 tillsynsbegäran.docx", "A 40543-2023")</f>
        <v/>
      </c>
      <c r="AB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46221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Korallrot</t>
        </is>
      </c>
      <c r="V16">
        <f>HYPERLINK("https://klasma.github.io/Logging_0684/artfynd/A 51095-2023 artfynd.xlsx", "A 51095-2023")</f>
        <v/>
      </c>
      <c r="W16">
        <f>HYPERLINK("https://klasma.github.io/Logging_0684/kartor/A 51095-2023 karta.png", "A 51095-2023")</f>
        <v/>
      </c>
      <c r="Y16">
        <f>HYPERLINK("https://klasma.github.io/Logging_0684/klagomål/A 51095-2023 FSC-klagomål.docx", "A 51095-2023")</f>
        <v/>
      </c>
      <c r="Z16">
        <f>HYPERLINK("https://klasma.github.io/Logging_0684/klagomålsmail/A 51095-2023 FSC-klagomål mail.docx", "A 51095-2023")</f>
        <v/>
      </c>
      <c r="AA16">
        <f>HYPERLINK("https://klasma.github.io/Logging_0684/tillsyn/A 51095-2023 tillsynsbegäran.docx", "A 51095-2023")</f>
        <v/>
      </c>
      <c r="AB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46221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Småfruktigt blågryn</t>
        </is>
      </c>
      <c r="V17">
        <f>HYPERLINK("https://klasma.github.io/Logging_0684/artfynd/A 8198-2024 artfynd.xlsx", "A 8198-2024")</f>
        <v/>
      </c>
      <c r="W17">
        <f>HYPERLINK("https://klasma.github.io/Logging_0684/kartor/A 8198-2024 karta.png", "A 8198-2024")</f>
        <v/>
      </c>
      <c r="Y17">
        <f>HYPERLINK("https://klasma.github.io/Logging_0684/klagomål/A 8198-2024 FSC-klagomål.docx", "A 8198-2024")</f>
        <v/>
      </c>
      <c r="Z17">
        <f>HYPERLINK("https://klasma.github.io/Logging_0684/klagomålsmail/A 8198-2024 FSC-klagomål mail.docx", "A 8198-2024")</f>
        <v/>
      </c>
      <c r="AA17">
        <f>HYPERLINK("https://klasma.github.io/Logging_0684/tillsyn/A 8198-2024 tillsynsbegäran.docx", "A 8198-2024")</f>
        <v/>
      </c>
      <c r="AB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46221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HYPERLINK("https://klasma.github.io/Logging_0684/artfynd/A 35136-2024 artfynd.xlsx", "A 35136-2024")</f>
        <v/>
      </c>
      <c r="W18">
        <f>HYPERLINK("https://klasma.github.io/Logging_0684/kartor/A 35136-2024 karta.png", "A 35136-2024")</f>
        <v/>
      </c>
      <c r="Y18">
        <f>HYPERLINK("https://klasma.github.io/Logging_0684/klagomål/A 35136-2024 FSC-klagomål.docx", "A 35136-2024")</f>
        <v/>
      </c>
      <c r="Z18">
        <f>HYPERLINK("https://klasma.github.io/Logging_0684/klagomålsmail/A 35136-2024 FSC-klagomål mail.docx", "A 35136-2024")</f>
        <v/>
      </c>
      <c r="AA18">
        <f>HYPERLINK("https://klasma.github.io/Logging_0684/tillsyn/A 35136-2024 tillsynsbegäran.docx", "A 35136-2024")</f>
        <v/>
      </c>
      <c r="AB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46221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HYPERLINK("https://klasma.github.io/Logging_0684/artfynd/A 61482-2024 artfynd.xlsx", "A 61482-2024")</f>
        <v/>
      </c>
      <c r="W19">
        <f>HYPERLINK("https://klasma.github.io/Logging_0684/kartor/A 61482-2024 karta.png", "A 61482-2024")</f>
        <v/>
      </c>
      <c r="Y19">
        <f>HYPERLINK("https://klasma.github.io/Logging_0684/klagomål/A 61482-2024 FSC-klagomål.docx", "A 61482-2024")</f>
        <v/>
      </c>
      <c r="Z19">
        <f>HYPERLINK("https://klasma.github.io/Logging_0684/klagomålsmail/A 61482-2024 FSC-klagomål mail.docx", "A 61482-2024")</f>
        <v/>
      </c>
      <c r="AA19">
        <f>HYPERLINK("https://klasma.github.io/Logging_0684/tillsyn/A 61482-2024 tillsynsbegäran.docx", "A 61482-2024")</f>
        <v/>
      </c>
      <c r="AB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46221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Solvända</t>
        </is>
      </c>
      <c r="V20">
        <f>HYPERLINK("https://klasma.github.io/Logging_0684/artfynd/A 10775-2025 artfynd.xlsx", "A 10775-2025")</f>
        <v/>
      </c>
      <c r="W20">
        <f>HYPERLINK("https://klasma.github.io/Logging_0684/kartor/A 10775-2025 karta.png", "A 10775-2025")</f>
        <v/>
      </c>
      <c r="Y20">
        <f>HYPERLINK("https://klasma.github.io/Logging_0684/klagomål/A 10775-2025 FSC-klagomål.docx", "A 10775-2025")</f>
        <v/>
      </c>
      <c r="Z20">
        <f>HYPERLINK("https://klasma.github.io/Logging_0684/klagomålsmail/A 10775-2025 FSC-klagomål mail.docx", "A 10775-2025")</f>
        <v/>
      </c>
      <c r="AA20">
        <f>HYPERLINK("https://klasma.github.io/Logging_0684/tillsyn/A 10775-2025 tillsynsbegäran.docx", "A 10775-2025")</f>
        <v/>
      </c>
      <c r="AB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46221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Blåsippa</t>
        </is>
      </c>
      <c r="V21">
        <f>HYPERLINK("https://klasma.github.io/Logging_0684/artfynd/A 10046-2025 artfynd.xlsx", "A 10046-2025")</f>
        <v/>
      </c>
      <c r="W21">
        <f>HYPERLINK("https://klasma.github.io/Logging_0684/kartor/A 10046-2025 karta.png", "A 10046-2025")</f>
        <v/>
      </c>
      <c r="Y21">
        <f>HYPERLINK("https://klasma.github.io/Logging_0684/klagomål/A 10046-2025 FSC-klagomål.docx", "A 10046-2025")</f>
        <v/>
      </c>
      <c r="Z21">
        <f>HYPERLINK("https://klasma.github.io/Logging_0684/klagomålsmail/A 10046-2025 FSC-klagomål mail.docx", "A 10046-2025")</f>
        <v/>
      </c>
      <c r="AA21">
        <f>HYPERLINK("https://klasma.github.io/Logging_0684/tillsyn/A 10046-2025 tillsynsbegäran.docx", "A 10046-2025")</f>
        <v/>
      </c>
      <c r="AB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46221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Y22">
        <f>HYPERLINK("https://klasma.github.io/Logging_0684/klagomål/S 689-2026 FSC-klagomål.docx", "S 689-2026")</f>
        <v/>
      </c>
      <c r="Z22">
        <f>HYPERLINK("https://klasma.github.io/Logging_0684/klagomålsmail/S 689-2026 FSC-klagomål mail.docx", "S 689-2026")</f>
        <v/>
      </c>
      <c r="AA22">
        <f>HYPERLINK("https://klasma.github.io/Logging_0684/tillsyn/S 689-2026 tillsynsbegäran.docx", "S 689-2026")</f>
        <v/>
      </c>
      <c r="AB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46221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46221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46221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46221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46221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46221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46221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46221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46221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46221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46221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46221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46221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46221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46221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46221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46221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46221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46221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46221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46221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46221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46221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43604-2021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46221</v>
      </c>
      <c r="F46" t="inlineStr">
        <is>
          <t>JÖNKÖPINGS LÄN</t>
        </is>
      </c>
      <c r="G46" t="inlineStr">
        <is>
          <t>SÄVSJÖ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46221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46221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46221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46221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46221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46221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43566-2021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44433</v>
      </c>
      <c r="E53" s="1" t="n">
        <v>46221</v>
      </c>
      <c r="F53" t="inlineStr">
        <is>
          <t>JÖNKÖPINGS LÄN</t>
        </is>
      </c>
      <c r="G53" t="inlineStr">
        <is>
          <t>SÄVSJÖ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46221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46221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46221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46221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46221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46221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46221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53364-2021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46221</v>
      </c>
      <c r="F61" t="inlineStr">
        <is>
          <t>JÖNKÖPINGS LÄN</t>
        </is>
      </c>
      <c r="G61" t="inlineStr">
        <is>
          <t>SÄVSJÖ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46221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39150-2021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44412</v>
      </c>
      <c r="E63" s="1" t="n">
        <v>46221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46221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46221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46221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46221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61944-2021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46221</v>
      </c>
      <c r="F68" t="inlineStr">
        <is>
          <t>JÖNKÖPINGS LÄN</t>
        </is>
      </c>
      <c r="G68" t="inlineStr">
        <is>
          <t>SÄVSJÖ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71610-2021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44541</v>
      </c>
      <c r="E69" s="1" t="n">
        <v>46221</v>
      </c>
      <c r="F69" t="inlineStr">
        <is>
          <t>JÖNKÖPINGS LÄN</t>
        </is>
      </c>
      <c r="G69" t="inlineStr">
        <is>
          <t>SÄVSJÖ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10592-2022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46221</v>
      </c>
      <c r="F70" t="inlineStr">
        <is>
          <t>JÖNKÖPINGS LÄN</t>
        </is>
      </c>
      <c r="G70" t="inlineStr">
        <is>
          <t>SÄVSJÖ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46221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46221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46221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46221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46221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46221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46221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46221</v>
      </c>
      <c r="F78" t="inlineStr">
        <is>
          <t>JÖNKÖPINGS LÄN</t>
        </is>
      </c>
      <c r="G78" t="inlineStr">
        <is>
          <t>SÄVSJÖ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46221</v>
      </c>
      <c r="F79" t="inlineStr">
        <is>
          <t>JÖNKÖPINGS LÄN</t>
        </is>
      </c>
      <c r="G79" t="inlineStr">
        <is>
          <t>SÄVSJÖ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46609-2023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46221</v>
      </c>
      <c r="F80" t="inlineStr">
        <is>
          <t>JÖNKÖPINGS LÄN</t>
        </is>
      </c>
      <c r="G80" t="inlineStr">
        <is>
          <t>SÄVSJÖ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46221</v>
      </c>
      <c r="F81" t="inlineStr">
        <is>
          <t>JÖNKÖPINGS LÄN</t>
        </is>
      </c>
      <c r="G81" t="inlineStr">
        <is>
          <t>SÄVSJÖ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32177-2022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44781</v>
      </c>
      <c r="E82" s="1" t="n">
        <v>46221</v>
      </c>
      <c r="F82" t="inlineStr">
        <is>
          <t>JÖNKÖPINGS LÄN</t>
        </is>
      </c>
      <c r="G82" t="inlineStr">
        <is>
          <t>SÄVSJÖ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42400-2022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46221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55254-2021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46221</v>
      </c>
      <c r="F84" t="inlineStr">
        <is>
          <t>JÖNKÖPINGS LÄN</t>
        </is>
      </c>
      <c r="G84" t="inlineStr">
        <is>
          <t>SÄVSJÖ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37108-2022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44806</v>
      </c>
      <c r="E85" s="1" t="n">
        <v>46221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49449-2023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46221</v>
      </c>
      <c r="F86" t="inlineStr">
        <is>
          <t>JÖNKÖPINGS LÄN</t>
        </is>
      </c>
      <c r="G86" t="inlineStr">
        <is>
          <t>SÄVSJÖ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46221</v>
      </c>
      <c r="F87" t="inlineStr">
        <is>
          <t>JÖNKÖPINGS LÄN</t>
        </is>
      </c>
      <c r="G87" t="inlineStr">
        <is>
          <t>SÄVSJÖ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22222-2024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46221</v>
      </c>
      <c r="F88" t="inlineStr">
        <is>
          <t>JÖNKÖPINGS LÄN</t>
        </is>
      </c>
      <c r="G88" t="inlineStr">
        <is>
          <t>SÄVSJÖ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23637-2024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45454</v>
      </c>
      <c r="E89" s="1" t="n">
        <v>46221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46221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10284-2024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46221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54600-2022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46221</v>
      </c>
      <c r="F92" t="inlineStr">
        <is>
          <t>JÖNKÖPINGS LÄN</t>
        </is>
      </c>
      <c r="G92" t="inlineStr">
        <is>
          <t>SÄVSJÖ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45226</v>
      </c>
      <c r="E93" s="1" t="n">
        <v>46221</v>
      </c>
      <c r="F93" t="inlineStr">
        <is>
          <t>JÖNKÖPINGS LÄN</t>
        </is>
      </c>
      <c r="G93" t="inlineStr">
        <is>
          <t>SÄVSJÖ</t>
        </is>
      </c>
      <c r="H93" t="inlineStr">
        <is>
          <t>Kyrkan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46221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46221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44475</v>
      </c>
      <c r="E96" s="1" t="n">
        <v>46221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44951</v>
      </c>
      <c r="E97" s="1" t="n">
        <v>46221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46221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38390-2024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46221</v>
      </c>
      <c r="F99" t="inlineStr">
        <is>
          <t>JÖNKÖPINGS LÄN</t>
        </is>
      </c>
      <c r="G99" t="inlineStr">
        <is>
          <t>SÄVSJÖ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8748-2023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46221</v>
      </c>
      <c r="F100" t="inlineStr">
        <is>
          <t>JÖNKÖPINGS LÄN</t>
        </is>
      </c>
      <c r="G100" t="inlineStr">
        <is>
          <t>SÄVSJÖ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46221</v>
      </c>
      <c r="F101" t="inlineStr">
        <is>
          <t>JÖNKÖPINGS LÄN</t>
        </is>
      </c>
      <c r="G101" t="inlineStr">
        <is>
          <t>SÄVSJÖ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45660</v>
      </c>
      <c r="E102" s="1" t="n">
        <v>46221</v>
      </c>
      <c r="F102" t="inlineStr">
        <is>
          <t>JÖNKÖPINGS LÄN</t>
        </is>
      </c>
      <c r="G102" t="inlineStr">
        <is>
          <t>SÄVSJÖ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57471-2022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46221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16403-2023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45029</v>
      </c>
      <c r="E104" s="1" t="n">
        <v>46221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38505-2025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46221</v>
      </c>
      <c r="F105" t="inlineStr">
        <is>
          <t>JÖNKÖPINGS LÄN</t>
        </is>
      </c>
      <c r="G105" t="inlineStr">
        <is>
          <t>SÄVSJÖ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12959-2023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45001</v>
      </c>
      <c r="E106" s="1" t="n">
        <v>46221</v>
      </c>
      <c r="F106" t="inlineStr">
        <is>
          <t>JÖNKÖPINGS LÄN</t>
        </is>
      </c>
      <c r="G106" t="inlineStr">
        <is>
          <t>SÄVSJÖ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30162-2023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45110</v>
      </c>
      <c r="E107" s="1" t="n">
        <v>46221</v>
      </c>
      <c r="F107" t="inlineStr">
        <is>
          <t>JÖNKÖPINGS LÄN</t>
        </is>
      </c>
      <c r="G107" t="inlineStr">
        <is>
          <t>SÄVSJÖ</t>
        </is>
      </c>
      <c r="H107" t="inlineStr">
        <is>
          <t>Kommuner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33220-2023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46221</v>
      </c>
      <c r="F108" t="inlineStr">
        <is>
          <t>JÖNKÖPINGS LÄN</t>
        </is>
      </c>
      <c r="G108" t="inlineStr">
        <is>
          <t>SÄVSJÖ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46221</v>
      </c>
      <c r="F109" t="inlineStr">
        <is>
          <t>JÖNKÖPINGS LÄN</t>
        </is>
      </c>
      <c r="G109" t="inlineStr">
        <is>
          <t>SÄVSJÖ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4530-2022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44590</v>
      </c>
      <c r="E110" s="1" t="n">
        <v>46221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46221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46221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29386-2025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46221</v>
      </c>
      <c r="F113" t="inlineStr">
        <is>
          <t>JÖNKÖPINGS LÄN</t>
        </is>
      </c>
      <c r="G113" t="inlineStr">
        <is>
          <t>SÄVSJÖ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45320</v>
      </c>
      <c r="E114" s="1" t="n">
        <v>46221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46221</v>
      </c>
      <c r="F115" t="inlineStr">
        <is>
          <t>JÖNKÖPINGS LÄN</t>
        </is>
      </c>
      <c r="G115" t="inlineStr">
        <is>
          <t>SÄVSJÖ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46221</v>
      </c>
      <c r="F116" t="inlineStr">
        <is>
          <t>JÖNKÖPINGS LÄN</t>
        </is>
      </c>
      <c r="G116" t="inlineStr">
        <is>
          <t>SÄVSJÖ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46221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45209</v>
      </c>
      <c r="E118" s="1" t="n">
        <v>46221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44944</v>
      </c>
      <c r="E119" s="1" t="n">
        <v>46221</v>
      </c>
      <c r="F119" t="inlineStr">
        <is>
          <t>JÖNKÖPINGS LÄN</t>
        </is>
      </c>
      <c r="G119" t="inlineStr">
        <is>
          <t>SÄVSJÖ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47405-2021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44447</v>
      </c>
      <c r="E120" s="1" t="n">
        <v>46221</v>
      </c>
      <c r="F120" t="inlineStr">
        <is>
          <t>JÖNKÖPINGS LÄN</t>
        </is>
      </c>
      <c r="G120" t="inlineStr">
        <is>
          <t>SÄVSJÖ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37611-2024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46221</v>
      </c>
      <c r="F121" t="inlineStr">
        <is>
          <t>JÖNKÖPINGS LÄN</t>
        </is>
      </c>
      <c r="G121" t="inlineStr">
        <is>
          <t>SÄVSJÖ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20915-2023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46221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17766-2023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45037</v>
      </c>
      <c r="E123" s="1" t="n">
        <v>46221</v>
      </c>
      <c r="F123" t="inlineStr">
        <is>
          <t>JÖNKÖPINGS LÄN</t>
        </is>
      </c>
      <c r="G123" t="inlineStr">
        <is>
          <t>SÄVSJÖ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46221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46221</v>
      </c>
      <c r="F125" t="inlineStr">
        <is>
          <t>JÖNKÖPINGS LÄN</t>
        </is>
      </c>
      <c r="G125" t="inlineStr">
        <is>
          <t>SÄVSJÖ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50493-2024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46221</v>
      </c>
      <c r="F126" t="inlineStr">
        <is>
          <t>JÖNKÖPINGS LÄN</t>
        </is>
      </c>
      <c r="G126" t="inlineStr">
        <is>
          <t>SÄVSJÖ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41914-2025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46221</v>
      </c>
      <c r="F127" t="inlineStr">
        <is>
          <t>JÖNKÖPINGS LÄN</t>
        </is>
      </c>
      <c r="G127" t="inlineStr">
        <is>
          <t>SÄVSJÖ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31492-2025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46221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46221</v>
      </c>
      <c r="F129" t="inlineStr">
        <is>
          <t>JÖNKÖPINGS LÄN</t>
        </is>
      </c>
      <c r="G129" t="inlineStr">
        <is>
          <t>SÄVSJÖ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42384-2025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46221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43303-2025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46221</v>
      </c>
      <c r="F131" t="inlineStr">
        <is>
          <t>JÖNKÖPINGS LÄN</t>
        </is>
      </c>
      <c r="G131" t="inlineStr">
        <is>
          <t>SÄVSJÖ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19019-2025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46221</v>
      </c>
      <c r="F132" t="inlineStr">
        <is>
          <t>JÖNKÖPINGS LÄN</t>
        </is>
      </c>
      <c r="G132" t="inlineStr">
        <is>
          <t>SÄVSJÖ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46221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46221</v>
      </c>
      <c r="F134" t="inlineStr">
        <is>
          <t>JÖNKÖPINGS LÄN</t>
        </is>
      </c>
      <c r="G134" t="inlineStr">
        <is>
          <t>SÄVSJÖ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46221</v>
      </c>
      <c r="F135" t="inlineStr">
        <is>
          <t>JÖNKÖPINGS LÄN</t>
        </is>
      </c>
      <c r="G135" t="inlineStr">
        <is>
          <t>SÄVSJÖ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32765-2025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46221</v>
      </c>
      <c r="F136" t="inlineStr">
        <is>
          <t>JÖNKÖPINGS LÄN</t>
        </is>
      </c>
      <c r="G136" t="inlineStr">
        <is>
          <t>SÄVSJÖ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17679-2024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46221</v>
      </c>
      <c r="F137" t="inlineStr">
        <is>
          <t>JÖNKÖPINGS LÄN</t>
        </is>
      </c>
      <c r="G137" t="inlineStr">
        <is>
          <t>SÄVSJÖ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46221</v>
      </c>
      <c r="F138" t="inlineStr">
        <is>
          <t>JÖNKÖPINGS LÄN</t>
        </is>
      </c>
      <c r="G138" t="inlineStr">
        <is>
          <t>SÄVSJÖ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54827-2021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44474</v>
      </c>
      <c r="E139" s="1" t="n">
        <v>46221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30162-2023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45110</v>
      </c>
      <c r="E140" s="1" t="n">
        <v>46221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43015-2022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44833</v>
      </c>
      <c r="E141" s="1" t="n">
        <v>46221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46221</v>
      </c>
      <c r="F142" t="inlineStr">
        <is>
          <t>JÖNKÖPINGS LÄN</t>
        </is>
      </c>
      <c r="G142" t="inlineStr">
        <is>
          <t>SÄVSJÖ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29558-2023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46221</v>
      </c>
      <c r="F143" t="inlineStr">
        <is>
          <t>JÖNKÖPINGS LÄN</t>
        </is>
      </c>
      <c r="G143" t="inlineStr">
        <is>
          <t>SÄVSJÖ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55881-2024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45623</v>
      </c>
      <c r="E144" s="1" t="n">
        <v>46221</v>
      </c>
      <c r="F144" t="inlineStr">
        <is>
          <t>JÖNKÖPINGS LÄN</t>
        </is>
      </c>
      <c r="G144" t="inlineStr">
        <is>
          <t>SÄVSJÖ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46221</v>
      </c>
      <c r="F145" t="inlineStr">
        <is>
          <t>JÖNKÖPINGS LÄN</t>
        </is>
      </c>
      <c r="G145" t="inlineStr">
        <is>
          <t>SÄVSJÖ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10887-2023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46221</v>
      </c>
      <c r="F146" t="inlineStr">
        <is>
          <t>JÖNKÖPINGS LÄN</t>
        </is>
      </c>
      <c r="G146" t="inlineStr">
        <is>
          <t>SÄVSJÖ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45671</v>
      </c>
      <c r="E147" s="1" t="n">
        <v>46221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7285-2023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46221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46221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50791-2025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46221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46221</v>
      </c>
      <c r="F151" t="inlineStr">
        <is>
          <t>JÖNKÖPINGS LÄN</t>
        </is>
      </c>
      <c r="G151" t="inlineStr">
        <is>
          <t>SÄVSJÖ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27713-2023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46221</v>
      </c>
      <c r="F152" t="inlineStr">
        <is>
          <t>JÖNKÖPINGS LÄN</t>
        </is>
      </c>
      <c r="G152" t="inlineStr">
        <is>
          <t>SÄVSJÖ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52363-2025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45953</v>
      </c>
      <c r="E153" s="1" t="n">
        <v>46221</v>
      </c>
      <c r="F153" t="inlineStr">
        <is>
          <t>JÖNKÖPINGS LÄN</t>
        </is>
      </c>
      <c r="G153" t="inlineStr">
        <is>
          <t>SÄVSJÖ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52314-2025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46221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46221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58400-2024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45634</v>
      </c>
      <c r="E156" s="1" t="n">
        <v>46221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52361-2025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46221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46221</v>
      </c>
      <c r="F158" t="inlineStr">
        <is>
          <t>JÖNKÖPINGS LÄN</t>
        </is>
      </c>
      <c r="G158" t="inlineStr">
        <is>
          <t>SÄVSJÖ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46221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8720-2026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46221</v>
      </c>
      <c r="F160" t="inlineStr">
        <is>
          <t>JÖNKÖPINGS LÄN</t>
        </is>
      </c>
      <c r="G160" t="inlineStr">
        <is>
          <t>SÄVSJÖ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8723-2026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46221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46221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37980-2025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45881</v>
      </c>
      <c r="E163" s="1" t="n">
        <v>46221</v>
      </c>
      <c r="F163" t="inlineStr">
        <is>
          <t>JÖNKÖPINGS LÄN</t>
        </is>
      </c>
      <c r="G163" t="inlineStr">
        <is>
          <t>SÄVSJÖ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39491-2021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44414</v>
      </c>
      <c r="E164" s="1" t="n">
        <v>46221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42212-2021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44426</v>
      </c>
      <c r="E165" s="1" t="n">
        <v>46221</v>
      </c>
      <c r="F165" t="inlineStr">
        <is>
          <t>JÖNKÖPINGS LÄN</t>
        </is>
      </c>
      <c r="G165" t="inlineStr">
        <is>
          <t>SÄVSJÖ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53302-2025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46221</v>
      </c>
      <c r="F166" t="inlineStr">
        <is>
          <t>JÖNKÖPINGS LÄN</t>
        </is>
      </c>
      <c r="G166" t="inlineStr">
        <is>
          <t>SÄVSJÖ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46221</v>
      </c>
      <c r="F167" t="inlineStr">
        <is>
          <t>JÖNKÖPINGS LÄN</t>
        </is>
      </c>
      <c r="G167" t="inlineStr">
        <is>
          <t>SÄVSJÖ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9643-2026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46221</v>
      </c>
      <c r="F168" t="inlineStr">
        <is>
          <t>JÖNKÖPINGS LÄN</t>
        </is>
      </c>
      <c r="G168" t="inlineStr">
        <is>
          <t>SÄVSJÖ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9645-2026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46221</v>
      </c>
      <c r="F169" t="inlineStr">
        <is>
          <t>JÖNKÖPINGS LÄN</t>
        </is>
      </c>
      <c r="G169" t="inlineStr">
        <is>
          <t>SÄVSJÖ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46221</v>
      </c>
      <c r="F170" t="inlineStr">
        <is>
          <t>JÖNKÖPINGS LÄN</t>
        </is>
      </c>
      <c r="G170" t="inlineStr">
        <is>
          <t>SÄVSJÖ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40111-2022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46221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54275-2025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45964</v>
      </c>
      <c r="E172" s="1" t="n">
        <v>46221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21801-2023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45067</v>
      </c>
      <c r="E173" s="1" t="n">
        <v>46221</v>
      </c>
      <c r="F173" t="inlineStr">
        <is>
          <t>JÖNKÖPINGS LÄN</t>
        </is>
      </c>
      <c r="G173" t="inlineStr">
        <is>
          <t>SÄVSJÖ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46221</v>
      </c>
      <c r="F174" t="inlineStr">
        <is>
          <t>JÖNKÖPINGS LÄN</t>
        </is>
      </c>
      <c r="G174" t="inlineStr">
        <is>
          <t>SÄVSJÖ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15842-2025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46221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54759-2025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46221</v>
      </c>
      <c r="F176" t="inlineStr">
        <is>
          <t>JÖNKÖPINGS LÄN</t>
        </is>
      </c>
      <c r="G176" t="inlineStr">
        <is>
          <t>SÄVSJÖ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46221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46221</v>
      </c>
      <c r="F178" t="inlineStr">
        <is>
          <t>JÖNKÖPINGS LÄN</t>
        </is>
      </c>
      <c r="G178" t="inlineStr">
        <is>
          <t>SÄVSJÖ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55358-2025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46221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63308-2023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46221</v>
      </c>
      <c r="F180" t="inlineStr">
        <is>
          <t>JÖNKÖPINGS LÄN</t>
        </is>
      </c>
      <c r="G180" t="inlineStr">
        <is>
          <t>SÄVSJÖ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56097-2023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46221</v>
      </c>
      <c r="F181" t="inlineStr">
        <is>
          <t>JÖNKÖPINGS LÄN</t>
        </is>
      </c>
      <c r="G181" t="inlineStr">
        <is>
          <t>SÄVSJÖ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45768</v>
      </c>
      <c r="E182" s="1" t="n">
        <v>46221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56829-2025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46221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54940-2022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46221</v>
      </c>
      <c r="F184" t="inlineStr">
        <is>
          <t>JÖNKÖPINGS LÄN</t>
        </is>
      </c>
      <c r="G184" t="inlineStr">
        <is>
          <t>SÄVSJÖ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56453-2025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46221</v>
      </c>
      <c r="F185" t="inlineStr">
        <is>
          <t>JÖNKÖPINGS LÄN</t>
        </is>
      </c>
      <c r="G185" t="inlineStr">
        <is>
          <t>SÄVSJÖ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46221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56456-2025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46221</v>
      </c>
      <c r="F187" t="inlineStr">
        <is>
          <t>JÖNKÖPINGS LÄN</t>
        </is>
      </c>
      <c r="G187" t="inlineStr">
        <is>
          <t>SÄVSJÖ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46221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57597-2025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46221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57830-2025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46221</v>
      </c>
      <c r="F190" t="inlineStr">
        <is>
          <t>JÖNKÖPINGS LÄN</t>
        </is>
      </c>
      <c r="G190" t="inlineStr">
        <is>
          <t>SÄVSJÖ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57852-2025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46221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46221</v>
      </c>
      <c r="F192" t="inlineStr">
        <is>
          <t>JÖNKÖPINGS LÄN</t>
        </is>
      </c>
      <c r="G192" t="inlineStr">
        <is>
          <t>SÄVSJÖ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50627-2022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44866</v>
      </c>
      <c r="E193" s="1" t="n">
        <v>46221</v>
      </c>
      <c r="F193" t="inlineStr">
        <is>
          <t>JÖNKÖPINGS LÄN</t>
        </is>
      </c>
      <c r="G193" t="inlineStr">
        <is>
          <t>SÄVSJÖ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15054-2023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46221</v>
      </c>
      <c r="F194" t="inlineStr">
        <is>
          <t>JÖNKÖPINGS LÄN</t>
        </is>
      </c>
      <c r="G194" t="inlineStr">
        <is>
          <t>SÄVSJÖ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58725-2025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46221</v>
      </c>
      <c r="F195" t="inlineStr">
        <is>
          <t>JÖNKÖPINGS LÄN</t>
        </is>
      </c>
      <c r="G195" t="inlineStr">
        <is>
          <t>SÄVSJÖ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12242-2026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46221</v>
      </c>
      <c r="F196" t="inlineStr">
        <is>
          <t>JÖNKÖPINGS LÄN</t>
        </is>
      </c>
      <c r="G196" t="inlineStr">
        <is>
          <t>SÄVSJÖ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58712-2025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46221</v>
      </c>
      <c r="F197" t="inlineStr">
        <is>
          <t>JÖNKÖPINGS LÄN</t>
        </is>
      </c>
      <c r="G197" t="inlineStr">
        <is>
          <t>SÄVSJÖ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46221</v>
      </c>
      <c r="F198" t="inlineStr">
        <is>
          <t>JÖNKÖPINGS LÄN</t>
        </is>
      </c>
      <c r="G198" t="inlineStr">
        <is>
          <t>SÄVSJÖ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62182-2023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45267</v>
      </c>
      <c r="E199" s="1" t="n">
        <v>46221</v>
      </c>
      <c r="F199" t="inlineStr">
        <is>
          <t>JÖNKÖPINGS LÄN</t>
        </is>
      </c>
      <c r="G199" t="inlineStr">
        <is>
          <t>SÄVSJÖ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46221</v>
      </c>
      <c r="F200" t="inlineStr">
        <is>
          <t>JÖNKÖPINGS LÄN</t>
        </is>
      </c>
      <c r="G200" t="inlineStr">
        <is>
          <t>SÄVSJÖ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21788-2023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45066</v>
      </c>
      <c r="E201" s="1" t="n">
        <v>46221</v>
      </c>
      <c r="F201" t="inlineStr">
        <is>
          <t>JÖNKÖPINGS LÄN</t>
        </is>
      </c>
      <c r="G201" t="inlineStr">
        <is>
          <t>SÄVSJÖ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46307-2021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44442</v>
      </c>
      <c r="E202" s="1" t="n">
        <v>46221</v>
      </c>
      <c r="F202" t="inlineStr">
        <is>
          <t>JÖNKÖPINGS LÄN</t>
        </is>
      </c>
      <c r="G202" t="inlineStr">
        <is>
          <t>SÄVSJÖ</t>
        </is>
      </c>
      <c r="H202" t="inlineStr">
        <is>
          <t>Kommuner</t>
        </is>
      </c>
      <c r="I202" t="n">
        <v>25.6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60331-2025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45993</v>
      </c>
      <c r="E203" s="1" t="n">
        <v>46221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46221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18978-2024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45427</v>
      </c>
      <c r="E205" s="1" t="n">
        <v>46221</v>
      </c>
      <c r="F205" t="inlineStr">
        <is>
          <t>JÖNKÖPINGS LÄN</t>
        </is>
      </c>
      <c r="G205" t="inlineStr">
        <is>
          <t>SÄVSJÖ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59056-2023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46221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46221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44245-2022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46221</v>
      </c>
      <c r="F208" t="inlineStr">
        <is>
          <t>JÖNKÖPINGS LÄN</t>
        </is>
      </c>
      <c r="G208" t="inlineStr">
        <is>
          <t>SÄVSJÖ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14062-2026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46221</v>
      </c>
      <c r="F209" t="inlineStr">
        <is>
          <t>JÖNKÖPINGS LÄN</t>
        </is>
      </c>
      <c r="G209" t="inlineStr">
        <is>
          <t>SÄVSJÖ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27014-2023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45094</v>
      </c>
      <c r="E210" s="1" t="n">
        <v>46221</v>
      </c>
      <c r="F210" t="inlineStr">
        <is>
          <t>JÖNKÖPINGS LÄN</t>
        </is>
      </c>
      <c r="G210" t="inlineStr">
        <is>
          <t>SÄVSJÖ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14778-2026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46221</v>
      </c>
      <c r="F211" t="inlineStr">
        <is>
          <t>JÖNKÖPINGS LÄN</t>
        </is>
      </c>
      <c r="G211" t="inlineStr">
        <is>
          <t>SÄVSJÖ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41391-2022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44826</v>
      </c>
      <c r="E212" s="1" t="n">
        <v>46221</v>
      </c>
      <c r="F212" t="inlineStr">
        <is>
          <t>JÖNKÖPINGS LÄN</t>
        </is>
      </c>
      <c r="G212" t="inlineStr">
        <is>
          <t>SÄVSJÖ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45094</v>
      </c>
      <c r="E213" s="1" t="n">
        <v>46221</v>
      </c>
      <c r="F213" t="inlineStr">
        <is>
          <t>JÖNKÖPINGS LÄN</t>
        </is>
      </c>
      <c r="G213" t="inlineStr">
        <is>
          <t>SÄVSJÖ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14779-2026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46221</v>
      </c>
      <c r="F214" t="inlineStr">
        <is>
          <t>JÖNKÖPINGS LÄN</t>
        </is>
      </c>
      <c r="G214" t="inlineStr">
        <is>
          <t>SÄVSJÖ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46221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46221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29009-2023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46221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63352-2025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46221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63599-2025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46221</v>
      </c>
      <c r="F219" t="inlineStr">
        <is>
          <t>JÖNKÖPINGS LÄN</t>
        </is>
      </c>
      <c r="G219" t="inlineStr">
        <is>
          <t>SÄVSJÖ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63668-2025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46221</v>
      </c>
      <c r="F220" t="inlineStr">
        <is>
          <t>JÖNKÖPINGS LÄN</t>
        </is>
      </c>
      <c r="G220" t="inlineStr">
        <is>
          <t>SÄVSJÖ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63660-2025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46221</v>
      </c>
      <c r="F221" t="inlineStr">
        <is>
          <t>JÖNKÖPINGS LÄN</t>
        </is>
      </c>
      <c r="G221" t="inlineStr">
        <is>
          <t>SÄVSJÖ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64126-2021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44510</v>
      </c>
      <c r="E222" s="1" t="n">
        <v>46221</v>
      </c>
      <c r="F222" t="inlineStr">
        <is>
          <t>JÖNKÖPINGS LÄN</t>
        </is>
      </c>
      <c r="G222" t="inlineStr">
        <is>
          <t>SÄVSJÖ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63633-2025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46221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63750-2025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46017</v>
      </c>
      <c r="E224" s="1" t="n">
        <v>46221</v>
      </c>
      <c r="F224" t="inlineStr">
        <is>
          <t>JÖNKÖPINGS LÄN</t>
        </is>
      </c>
      <c r="G224" t="inlineStr">
        <is>
          <t>SÄVSJÖ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63752-2025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46221</v>
      </c>
      <c r="F225" t="inlineStr">
        <is>
          <t>JÖNKÖPINGS LÄN</t>
        </is>
      </c>
      <c r="G225" t="inlineStr">
        <is>
          <t>SÄVSJÖ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46221</v>
      </c>
      <c r="F226" t="inlineStr">
        <is>
          <t>JÖNKÖPINGS LÄN</t>
        </is>
      </c>
      <c r="G226" t="inlineStr">
        <is>
          <t>SÄVSJÖ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62961-2021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46221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11263-2024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46221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62177-2023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45267</v>
      </c>
      <c r="E229" s="1" t="n">
        <v>46221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45146</v>
      </c>
      <c r="E230" s="1" t="n">
        <v>46221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35812-2023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46221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19769-2025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46221</v>
      </c>
      <c r="F232" t="inlineStr">
        <is>
          <t>JÖNKÖPINGS LÄN</t>
        </is>
      </c>
      <c r="G232" t="inlineStr">
        <is>
          <t>SÄVSJÖ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15991-2026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46221</v>
      </c>
      <c r="F233" t="inlineStr">
        <is>
          <t>JÖNKÖPINGS LÄN</t>
        </is>
      </c>
      <c r="G233" t="inlineStr">
        <is>
          <t>SÄVSJÖ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46221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16736-2026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46221</v>
      </c>
      <c r="F235" t="inlineStr">
        <is>
          <t>JÖNKÖPINGS LÄN</t>
        </is>
      </c>
      <c r="G235" t="inlineStr">
        <is>
          <t>SÄVSJÖ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51804-2024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46221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51809-2024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46221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36391-2024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45534</v>
      </c>
      <c r="E238" s="1" t="n">
        <v>46221</v>
      </c>
      <c r="F238" t="inlineStr">
        <is>
          <t>JÖNKÖPINGS LÄN</t>
        </is>
      </c>
      <c r="G238" t="inlineStr">
        <is>
          <t>SÄVSJÖ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17768-2023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46221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46221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58398-2024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45634</v>
      </c>
      <c r="E241" s="1" t="n">
        <v>46221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26380-2024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46221</v>
      </c>
      <c r="F242" t="inlineStr">
        <is>
          <t>JÖNKÖPINGS LÄN</t>
        </is>
      </c>
      <c r="G242" t="inlineStr">
        <is>
          <t>SÄVSJÖ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29013-2023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45104</v>
      </c>
      <c r="E243" s="1" t="n">
        <v>46221</v>
      </c>
      <c r="F243" t="inlineStr">
        <is>
          <t>JÖNKÖPINGS LÄN</t>
        </is>
      </c>
      <c r="G243" t="inlineStr">
        <is>
          <t>SÄVSJÖ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18045-2026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46221</v>
      </c>
      <c r="F244" t="inlineStr">
        <is>
          <t>JÖNKÖPINGS LÄN</t>
        </is>
      </c>
      <c r="G244" t="inlineStr">
        <is>
          <t>SÄVSJÖ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10591-2023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46221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46221</v>
      </c>
      <c r="F246" t="inlineStr">
        <is>
          <t>JÖNKÖPINGS LÄN</t>
        </is>
      </c>
      <c r="G246" t="inlineStr">
        <is>
          <t>SÄVSJÖ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55801-2021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44476</v>
      </c>
      <c r="E247" s="1" t="n">
        <v>46221</v>
      </c>
      <c r="F247" t="inlineStr">
        <is>
          <t>JÖNKÖPINGS LÄN</t>
        </is>
      </c>
      <c r="G247" t="inlineStr">
        <is>
          <t>SÄVSJÖ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33154-2024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45518</v>
      </c>
      <c r="E248" s="1" t="n">
        <v>46221</v>
      </c>
      <c r="F248" t="inlineStr">
        <is>
          <t>JÖNKÖPINGS LÄN</t>
        </is>
      </c>
      <c r="G248" t="inlineStr">
        <is>
          <t>SÄVSJÖ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46221</v>
      </c>
      <c r="F249" t="inlineStr">
        <is>
          <t>JÖNKÖPINGS LÄN</t>
        </is>
      </c>
      <c r="G249" t="inlineStr">
        <is>
          <t>SÄVSJÖ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51998-2024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46221</v>
      </c>
      <c r="F250" t="inlineStr">
        <is>
          <t>JÖNKÖPINGS LÄN</t>
        </is>
      </c>
      <c r="G250" t="inlineStr">
        <is>
          <t>SÄVSJÖ</t>
        </is>
      </c>
      <c r="H250" t="inlineStr">
        <is>
          <t>Övriga Aktiebolag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18135-2023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46221</v>
      </c>
      <c r="F251" t="inlineStr">
        <is>
          <t>JÖNKÖPINGS LÄN</t>
        </is>
      </c>
      <c r="G251" t="inlineStr">
        <is>
          <t>SÄVSJÖ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38333-2023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46221</v>
      </c>
      <c r="F252" t="inlineStr">
        <is>
          <t>JÖNKÖPINGS LÄN</t>
        </is>
      </c>
      <c r="G252" t="inlineStr">
        <is>
          <t>SÄVSJÖ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46221</v>
      </c>
      <c r="F253" t="inlineStr">
        <is>
          <t>JÖNKÖPINGS LÄN</t>
        </is>
      </c>
      <c r="G253" t="inlineStr">
        <is>
          <t>SÄVSJÖ</t>
        </is>
      </c>
      <c r="H253" t="inlineStr">
        <is>
          <t>Kyrkan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36183-2024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46221</v>
      </c>
      <c r="F254" t="inlineStr">
        <is>
          <t>JÖNKÖPINGS LÄN</t>
        </is>
      </c>
      <c r="G254" t="inlineStr">
        <is>
          <t>SÄVSJÖ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46221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46221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46221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46221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37545-2025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45879</v>
      </c>
      <c r="E259" s="1" t="n">
        <v>46221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19935-2023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46221</v>
      </c>
      <c r="F260" t="inlineStr">
        <is>
          <t>JÖNKÖPINGS LÄN</t>
        </is>
      </c>
      <c r="G260" t="inlineStr">
        <is>
          <t>SÄVSJÖ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21795-2023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45067</v>
      </c>
      <c r="E261" s="1" t="n">
        <v>46221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57851-2023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45247</v>
      </c>
      <c r="E262" s="1" t="n">
        <v>46221</v>
      </c>
      <c r="F262" t="inlineStr">
        <is>
          <t>JÖNKÖPINGS LÄN</t>
        </is>
      </c>
      <c r="G262" t="inlineStr">
        <is>
          <t>SÄVSJÖ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58487-2025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46221</v>
      </c>
      <c r="F263" t="inlineStr">
        <is>
          <t>JÖNKÖPINGS LÄN</t>
        </is>
      </c>
      <c r="G263" t="inlineStr">
        <is>
          <t>SÄVSJÖ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6620-2022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46221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24798-2023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46221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8341-2022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44610</v>
      </c>
      <c r="E266" s="1" t="n">
        <v>46221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46221</v>
      </c>
      <c r="F267" t="inlineStr">
        <is>
          <t>JÖNKÖPINGS LÄN</t>
        </is>
      </c>
      <c r="G267" t="inlineStr">
        <is>
          <t>SÄVSJÖ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46221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47893-2023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46221</v>
      </c>
      <c r="F269" t="inlineStr">
        <is>
          <t>JÖNKÖPINGS LÄN</t>
        </is>
      </c>
      <c r="G269" t="inlineStr">
        <is>
          <t>SÄVSJÖ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11239-2024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46221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16379-2024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46221</v>
      </c>
      <c r="F271" t="inlineStr">
        <is>
          <t>JÖNKÖPINGS LÄN</t>
        </is>
      </c>
      <c r="G271" t="inlineStr">
        <is>
          <t>SÄVSJÖ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46221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46221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46906-2023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46221</v>
      </c>
      <c r="F274" t="inlineStr">
        <is>
          <t>JÖNKÖPINGS LÄN</t>
        </is>
      </c>
      <c r="G274" t="inlineStr">
        <is>
          <t>SÄVSJÖ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46408-2023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46221</v>
      </c>
      <c r="F275" t="inlineStr">
        <is>
          <t>JÖNKÖPINGS LÄN</t>
        </is>
      </c>
      <c r="G275" t="inlineStr">
        <is>
          <t>SÄVSJÖ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46221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51795-2022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46221</v>
      </c>
      <c r="F277" t="inlineStr">
        <is>
          <t>JÖNKÖPINGS LÄN</t>
        </is>
      </c>
      <c r="G277" t="inlineStr">
        <is>
          <t>SÄVSJÖ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55381-2023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46221</v>
      </c>
      <c r="F278" t="inlineStr">
        <is>
          <t>JÖNKÖPINGS LÄN</t>
        </is>
      </c>
      <c r="G278" t="inlineStr">
        <is>
          <t>SÄVSJÖ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61556-2025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46001</v>
      </c>
      <c r="E279" s="1" t="n">
        <v>46221</v>
      </c>
      <c r="F279" t="inlineStr">
        <is>
          <t>JÖNKÖPINGS LÄN</t>
        </is>
      </c>
      <c r="G279" t="inlineStr">
        <is>
          <t>SÄVSJÖ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39730-2023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46221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22066-2025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46221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45704</v>
      </c>
      <c r="E282" s="1" t="n">
        <v>46221</v>
      </c>
      <c r="F282" t="inlineStr">
        <is>
          <t>JÖNKÖPINGS LÄN</t>
        </is>
      </c>
      <c r="G282" t="inlineStr">
        <is>
          <t>SÄVSJÖ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14880-2022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44656</v>
      </c>
      <c r="E283" s="1" t="n">
        <v>46221</v>
      </c>
      <c r="F283" t="inlineStr">
        <is>
          <t>JÖNKÖPINGS LÄN</t>
        </is>
      </c>
      <c r="G283" t="inlineStr">
        <is>
          <t>SÄVSJÖ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38283-2023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46221</v>
      </c>
      <c r="F284" t="inlineStr">
        <is>
          <t>JÖNKÖPINGS LÄN</t>
        </is>
      </c>
      <c r="G284" t="inlineStr">
        <is>
          <t>SÄVSJÖ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44957</v>
      </c>
      <c r="E285" s="1" t="n">
        <v>46221</v>
      </c>
      <c r="F285" t="inlineStr">
        <is>
          <t>JÖNKÖPINGS LÄN</t>
        </is>
      </c>
      <c r="G285" t="inlineStr">
        <is>
          <t>SÄVSJÖ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46221</v>
      </c>
      <c r="F286" t="inlineStr">
        <is>
          <t>JÖNKÖPINGS LÄN</t>
        </is>
      </c>
      <c r="G286" t="inlineStr">
        <is>
          <t>SÄVSJÖ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55482-2023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46221</v>
      </c>
      <c r="F287" t="inlineStr">
        <is>
          <t>JÖNKÖPINGS LÄN</t>
        </is>
      </c>
      <c r="G287" t="inlineStr">
        <is>
          <t>SÄVSJÖ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19856-2024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45433</v>
      </c>
      <c r="E288" s="1" t="n">
        <v>46221</v>
      </c>
      <c r="F288" t="inlineStr">
        <is>
          <t>JÖNKÖPINGS LÄN</t>
        </is>
      </c>
      <c r="G288" t="inlineStr">
        <is>
          <t>SÄVSJÖ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55012-2023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46221</v>
      </c>
      <c r="F289" t="inlineStr">
        <is>
          <t>JÖNKÖPINGS LÄN</t>
        </is>
      </c>
      <c r="G289" t="inlineStr">
        <is>
          <t>SÄVSJÖ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14159-2022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44651</v>
      </c>
      <c r="E290" s="1" t="n">
        <v>46221</v>
      </c>
      <c r="F290" t="inlineStr">
        <is>
          <t>JÖNKÖPINGS LÄN</t>
        </is>
      </c>
      <c r="G290" t="inlineStr">
        <is>
          <t>SÄVSJÖ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49406-2023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46221</v>
      </c>
      <c r="F291" t="inlineStr">
        <is>
          <t>JÖNKÖPINGS LÄN</t>
        </is>
      </c>
      <c r="G291" t="inlineStr">
        <is>
          <t>SÄVSJÖ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54547-2023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45226</v>
      </c>
      <c r="E292" s="1" t="n">
        <v>46221</v>
      </c>
      <c r="F292" t="inlineStr">
        <is>
          <t>JÖNKÖPINGS LÄN</t>
        </is>
      </c>
      <c r="G292" t="inlineStr">
        <is>
          <t>SÄVSJÖ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26673-2026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46221</v>
      </c>
      <c r="F293" t="inlineStr">
        <is>
          <t>JÖNKÖPINGS LÄN</t>
        </is>
      </c>
      <c r="G293" t="inlineStr">
        <is>
          <t>SÄVSJÖ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46221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46221</v>
      </c>
      <c r="F295" t="inlineStr">
        <is>
          <t>JÖNKÖPINGS LÄN</t>
        </is>
      </c>
      <c r="G295" t="inlineStr">
        <is>
          <t>SÄVSJÖ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44830</v>
      </c>
      <c r="E296" s="1" t="n">
        <v>46221</v>
      </c>
      <c r="F296" t="inlineStr">
        <is>
          <t>JÖNKÖPINGS LÄN</t>
        </is>
      </c>
      <c r="G296" t="inlineStr">
        <is>
          <t>SÄVSJÖ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46221</v>
      </c>
      <c r="F297" t="inlineStr">
        <is>
          <t>JÖNKÖPINGS LÄN</t>
        </is>
      </c>
      <c r="G297" t="inlineStr">
        <is>
          <t>SÄVSJÖ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46221</v>
      </c>
      <c r="F298" t="inlineStr">
        <is>
          <t>JÖNKÖPINGS LÄN</t>
        </is>
      </c>
      <c r="G298" t="inlineStr">
        <is>
          <t>SÄVSJÖ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27897-2026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46221</v>
      </c>
      <c r="F299" t="inlineStr">
        <is>
          <t>JÖNKÖPINGS LÄN</t>
        </is>
      </c>
      <c r="G299" t="inlineStr">
        <is>
          <t>SÄVSJÖ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907-2024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45301</v>
      </c>
      <c r="E300" s="1" t="n">
        <v>46221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35843-2024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46221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27890-2026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46221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46221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63679-2023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45275</v>
      </c>
      <c r="E304" s="1" t="n">
        <v>46221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46221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59054-2023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46221</v>
      </c>
      <c r="F306" t="inlineStr">
        <is>
          <t>JÖNKÖPINGS LÄN</t>
        </is>
      </c>
      <c r="G306" t="inlineStr">
        <is>
          <t>SÄVSJÖ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38914-2024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45547</v>
      </c>
      <c r="E307" s="1" t="n">
        <v>46221</v>
      </c>
      <c r="F307" t="inlineStr">
        <is>
          <t>JÖNKÖPINGS LÄN</t>
        </is>
      </c>
      <c r="G307" t="inlineStr">
        <is>
          <t>SÄVSJÖ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43976-2022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46221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55909-2024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45623</v>
      </c>
      <c r="E309" s="1" t="n">
        <v>46221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36393-2024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45534</v>
      </c>
      <c r="E310" s="1" t="n">
        <v>46221</v>
      </c>
      <c r="F310" t="inlineStr">
        <is>
          <t>JÖNKÖPINGS LÄN</t>
        </is>
      </c>
      <c r="G310" t="inlineStr">
        <is>
          <t>SÄVSJÖ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18174-2026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46221</v>
      </c>
      <c r="F311" t="inlineStr">
        <is>
          <t>JÖNKÖPINGS LÄN</t>
        </is>
      </c>
      <c r="G311" t="inlineStr">
        <is>
          <t>SÄVSJÖ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14045-2023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46221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46221</v>
      </c>
      <c r="F313" t="inlineStr">
        <is>
          <t>JÖNKÖPINGS LÄN</t>
        </is>
      </c>
      <c r="G313" t="inlineStr">
        <is>
          <t>SÄVSJÖ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46221</v>
      </c>
      <c r="F314" t="inlineStr">
        <is>
          <t>JÖNKÖPINGS LÄN</t>
        </is>
      </c>
      <c r="G314" t="inlineStr">
        <is>
          <t>SÄVSJÖ</t>
        </is>
      </c>
      <c r="H314" t="inlineStr">
        <is>
          <t>Sveaskog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44929</v>
      </c>
      <c r="E315" s="1" t="n">
        <v>46221</v>
      </c>
      <c r="F315" t="inlineStr">
        <is>
          <t>JÖNKÖPINGS LÄN</t>
        </is>
      </c>
      <c r="G315" t="inlineStr">
        <is>
          <t>SÄVSJÖ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60915-2023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46221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56617-2022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44893</v>
      </c>
      <c r="E317" s="1" t="n">
        <v>46221</v>
      </c>
      <c r="F317" t="inlineStr">
        <is>
          <t>JÖNKÖPINGS LÄN</t>
        </is>
      </c>
      <c r="G317" t="inlineStr">
        <is>
          <t>SÄVSJÖ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51938-2024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46221</v>
      </c>
      <c r="F318" t="inlineStr">
        <is>
          <t>JÖNKÖPINGS LÄN</t>
        </is>
      </c>
      <c r="G318" t="inlineStr">
        <is>
          <t>SÄVSJÖ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23776-2026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46221</v>
      </c>
      <c r="F319" t="inlineStr">
        <is>
          <t>JÖNKÖPINGS LÄN</t>
        </is>
      </c>
      <c r="G319" t="inlineStr">
        <is>
          <t>SÄVSJÖ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62421-2023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45268</v>
      </c>
      <c r="E320" s="1" t="n">
        <v>46221</v>
      </c>
      <c r="F320" t="inlineStr">
        <is>
          <t>JÖNKÖPINGS LÄN</t>
        </is>
      </c>
      <c r="G320" t="inlineStr">
        <is>
          <t>SÄVSJÖ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53916-2021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44469</v>
      </c>
      <c r="E321" s="1" t="n">
        <v>46221</v>
      </c>
      <c r="F321" t="inlineStr">
        <is>
          <t>JÖNKÖPINGS LÄN</t>
        </is>
      </c>
      <c r="G321" t="inlineStr">
        <is>
          <t>SÄVSJÖ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49292-2023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45210</v>
      </c>
      <c r="E322" s="1" t="n">
        <v>46221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62178-2023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46221</v>
      </c>
      <c r="F323" t="inlineStr">
        <is>
          <t>JÖNKÖPINGS LÄN</t>
        </is>
      </c>
      <c r="G323" t="inlineStr">
        <is>
          <t>SÄVSJÖ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17883-2024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45419</v>
      </c>
      <c r="E324" s="1" t="n">
        <v>46221</v>
      </c>
      <c r="F324" t="inlineStr">
        <is>
          <t>JÖNKÖPINGS LÄN</t>
        </is>
      </c>
      <c r="G324" t="inlineStr">
        <is>
          <t>SÄVSJÖ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24232-2026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46221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23816-2026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46165</v>
      </c>
      <c r="E326" s="1" t="n">
        <v>46221</v>
      </c>
      <c r="F326" t="inlineStr">
        <is>
          <t>JÖNKÖPINGS LÄN</t>
        </is>
      </c>
      <c r="G326" t="inlineStr">
        <is>
          <t>SÄVSJÖ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11931-2023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44995</v>
      </c>
      <c r="E327" s="1" t="n">
        <v>46221</v>
      </c>
      <c r="F327" t="inlineStr">
        <is>
          <t>JÖNKÖPINGS LÄN</t>
        </is>
      </c>
      <c r="G327" t="inlineStr">
        <is>
          <t>SÄVSJÖ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19847-2023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45053</v>
      </c>
      <c r="E328" s="1" t="n">
        <v>46221</v>
      </c>
      <c r="F328" t="inlineStr">
        <is>
          <t>JÖNKÖPINGS LÄN</t>
        </is>
      </c>
      <c r="G328" t="inlineStr">
        <is>
          <t>SÄVSJÖ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46221</v>
      </c>
      <c r="F329" t="inlineStr">
        <is>
          <t>JÖNKÖPINGS LÄN</t>
        </is>
      </c>
      <c r="G329" t="inlineStr">
        <is>
          <t>SÄVSJÖ</t>
        </is>
      </c>
      <c r="I329" t="n">
        <v>19.9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11266-2024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46221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19759-2025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46221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16368-2024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46221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45407</v>
      </c>
      <c r="E333" s="1" t="n">
        <v>46221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49708-2023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45212</v>
      </c>
      <c r="E334" s="1" t="n">
        <v>46221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45764</v>
      </c>
      <c r="E335" s="1" t="n">
        <v>46221</v>
      </c>
      <c r="F335" t="inlineStr">
        <is>
          <t>JÖNKÖPINGS LÄN</t>
        </is>
      </c>
      <c r="G335" t="inlineStr">
        <is>
          <t>SÄVSJÖ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45301</v>
      </c>
      <c r="E336" s="1" t="n">
        <v>46221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46221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28423-2023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45102</v>
      </c>
      <c r="E338" s="1" t="n">
        <v>46221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50629-2022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44866</v>
      </c>
      <c r="E339" s="1" t="n">
        <v>46221</v>
      </c>
      <c r="F339" t="inlineStr">
        <is>
          <t>JÖNKÖPINGS LÄN</t>
        </is>
      </c>
      <c r="G339" t="inlineStr">
        <is>
          <t>SÄVSJÖ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15834-2022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44664</v>
      </c>
      <c r="E340" s="1" t="n">
        <v>46221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46221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53102-2023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45228</v>
      </c>
      <c r="E342" s="1" t="n">
        <v>46221</v>
      </c>
      <c r="F342" t="inlineStr">
        <is>
          <t>JÖNKÖPINGS LÄN</t>
        </is>
      </c>
      <c r="G342" t="inlineStr">
        <is>
          <t>SÄVSJÖ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45366</v>
      </c>
      <c r="E343" s="1" t="n">
        <v>46221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45371</v>
      </c>
      <c r="E344" s="1" t="n">
        <v>46221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46221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45094</v>
      </c>
      <c r="E346" s="1" t="n">
        <v>46221</v>
      </c>
      <c r="F346" t="inlineStr">
        <is>
          <t>JÖNKÖPINGS LÄN</t>
        </is>
      </c>
      <c r="G346" t="inlineStr">
        <is>
          <t>SÄVSJÖ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52965-2024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46221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46221</v>
      </c>
      <c r="F348" t="inlineStr">
        <is>
          <t>JÖNKÖPINGS LÄN</t>
        </is>
      </c>
      <c r="G348" t="inlineStr">
        <is>
          <t>SÄVSJÖ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6649-2024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46221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46221</v>
      </c>
      <c r="F350" t="inlineStr">
        <is>
          <t>JÖNKÖPINGS LÄN</t>
        </is>
      </c>
      <c r="G350" t="inlineStr">
        <is>
          <t>SÄVSJÖ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10210-2025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45719</v>
      </c>
      <c r="E351" s="1" t="n">
        <v>46221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59057-2023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45252</v>
      </c>
      <c r="E352" s="1" t="n">
        <v>46221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46221</v>
      </c>
      <c r="F353" t="inlineStr">
        <is>
          <t>JÖNKÖPINGS LÄN</t>
        </is>
      </c>
      <c r="G353" t="inlineStr">
        <is>
          <t>SÄVSJÖ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6914-2023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46221</v>
      </c>
      <c r="F354" t="inlineStr">
        <is>
          <t>JÖNKÖPINGS LÄN</t>
        </is>
      </c>
      <c r="G354" t="inlineStr">
        <is>
          <t>SÄVSJÖ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46221</v>
      </c>
      <c r="F355" t="inlineStr">
        <is>
          <t>JÖNKÖPINGS LÄN</t>
        </is>
      </c>
      <c r="G355" t="inlineStr">
        <is>
          <t>SÄVSJÖ</t>
        </is>
      </c>
      <c r="H355" t="inlineStr">
        <is>
          <t>Kyrkan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17140-2025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46221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59126-2023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46221</v>
      </c>
      <c r="F357" t="inlineStr">
        <is>
          <t>JÖNKÖPINGS LÄN</t>
        </is>
      </c>
      <c r="G357" t="inlineStr">
        <is>
          <t>SÄVSJÖ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45747</v>
      </c>
      <c r="E358" s="1" t="n">
        <v>46221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7917-2024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45350</v>
      </c>
      <c r="E359" s="1" t="n">
        <v>46221</v>
      </c>
      <c r="F359" t="inlineStr">
        <is>
          <t>JÖNKÖPINGS LÄN</t>
        </is>
      </c>
      <c r="G359" t="inlineStr">
        <is>
          <t>SÄVSJÖ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45694</v>
      </c>
      <c r="E360" s="1" t="n">
        <v>46221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46221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61408-2024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46221</v>
      </c>
      <c r="F362" t="inlineStr">
        <is>
          <t>JÖNKÖPINGS LÄN</t>
        </is>
      </c>
      <c r="G362" t="inlineStr">
        <is>
          <t>SÄVSJÖ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46221</v>
      </c>
      <c r="F363" t="inlineStr">
        <is>
          <t>JÖNKÖPINGS LÄN</t>
        </is>
      </c>
      <c r="G363" t="inlineStr">
        <is>
          <t>SÄVSJÖ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51921-2023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45223</v>
      </c>
      <c r="E364" s="1" t="n">
        <v>46221</v>
      </c>
      <c r="F364" t="inlineStr">
        <is>
          <t>JÖNKÖPINGS LÄN</t>
        </is>
      </c>
      <c r="G364" t="inlineStr">
        <is>
          <t>SÄVSJÖ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17127-2024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45412</v>
      </c>
      <c r="E365" s="1" t="n">
        <v>46221</v>
      </c>
      <c r="F365" t="inlineStr">
        <is>
          <t>JÖNKÖPINGS LÄN</t>
        </is>
      </c>
      <c r="G365" t="inlineStr">
        <is>
          <t>SÄVSJÖ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11185-2025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45725</v>
      </c>
      <c r="E366" s="1" t="n">
        <v>46221</v>
      </c>
      <c r="F366" t="inlineStr">
        <is>
          <t>JÖNKÖPINGS LÄN</t>
        </is>
      </c>
      <c r="G366" t="inlineStr">
        <is>
          <t>SÄVSJÖ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22733-2024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46221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44397-2024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45573</v>
      </c>
      <c r="E368" s="1" t="n">
        <v>46221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60805-2024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45644</v>
      </c>
      <c r="E369" s="1" t="n">
        <v>46221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17308-2024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46221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61331-2024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46221</v>
      </c>
      <c r="F371" t="inlineStr">
        <is>
          <t>JÖNKÖPINGS LÄN</t>
        </is>
      </c>
      <c r="G371" t="inlineStr">
        <is>
          <t>SÄVSJÖ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46221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53154-2024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46221</v>
      </c>
      <c r="F373" t="inlineStr">
        <is>
          <t>JÖNKÖPINGS LÄN</t>
        </is>
      </c>
      <c r="G373" t="inlineStr">
        <is>
          <t>SÄVSJÖ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46221</v>
      </c>
      <c r="F374" t="inlineStr">
        <is>
          <t>JÖNKÖPINGS LÄN</t>
        </is>
      </c>
      <c r="G374" t="inlineStr">
        <is>
          <t>SÄVSJÖ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12794-2025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46221</v>
      </c>
      <c r="F375" t="inlineStr">
        <is>
          <t>JÖNKÖPINGS LÄN</t>
        </is>
      </c>
      <c r="G375" t="inlineStr">
        <is>
          <t>SÄVSJÖ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12804-2025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46221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46221</v>
      </c>
      <c r="F377" t="inlineStr">
        <is>
          <t>JÖNKÖPINGS LÄN</t>
        </is>
      </c>
      <c r="G377" t="inlineStr">
        <is>
          <t>SÄVSJÖ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39045-2024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46221</v>
      </c>
      <c r="F378" t="inlineStr">
        <is>
          <t>JÖNKÖPINGS LÄN</t>
        </is>
      </c>
      <c r="G378" t="inlineStr">
        <is>
          <t>SÄVSJÖ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11760-2025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46221</v>
      </c>
      <c r="F379" t="inlineStr">
        <is>
          <t>JÖNKÖPINGS LÄN</t>
        </is>
      </c>
      <c r="G379" t="inlineStr">
        <is>
          <t>SÄVSJÖ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46221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46221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46221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46221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46221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46221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46221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46221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46221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46221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46221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46221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46221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46221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46221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46221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46221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46221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46221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46221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46221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46221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46221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46221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46221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46221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46221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46221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46221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46221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2026-07-18T01:20:23Z</dcterms:created>
  <dcterms:modified xmlns:dcterms="http://purl.org/dc/terms/" xmlns:xsi="http://www.w3.org/2001/XMLSchema-instance" xsi:type="dcterms:W3CDTF">2026-07-18T01:20:23Z</dcterms:modified>
</cp:coreProperties>
</file>