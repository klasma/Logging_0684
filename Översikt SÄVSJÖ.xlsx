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46232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46232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46232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46232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46232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46232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46232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8198-2024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46232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Småfruktigt blågryn</t>
        </is>
      </c>
      <c r="W15">
        <f>HYPERLINK("https://klasma.github.io/Logging_0684/artfynd/A 8198-2024 artfynd.xlsx", "A 8198-2024")</f>
        <v/>
      </c>
      <c r="X15">
        <f>HYPERLINK("https://klasma.github.io/Logging_0684/kartor/A 8198-2024 karta.png", "A 8198-2024")</f>
        <v/>
      </c>
      <c r="Y15">
        <f>HYPERLINK("https://klasma.github.io/Logging_0684/kartor_geotiff/A 8198-2024 georefererad karta.tif", "A 8198-2024")</f>
        <v/>
      </c>
      <c r="AA15">
        <f>HYPERLINK("https://klasma.github.io/Logging_0684/klagomål/A 8198-2024 FSC-klagomål.docx", "A 8198-2024")</f>
        <v/>
      </c>
      <c r="AB15">
        <f>HYPERLINK("https://klasma.github.io/Logging_0684/klagomålsmail/A 8198-2024 FSC-klagomål mail.docx", "A 8198-2024")</f>
        <v/>
      </c>
      <c r="AC15">
        <f>HYPERLINK("https://klasma.github.io/Logging_0684/tillsyn/A 8198-2024 tillsynsbegäran.docx", "A 8198-2024")</f>
        <v/>
      </c>
      <c r="AD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46232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46232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46232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10046-2025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45719</v>
      </c>
      <c r="E19" s="1" t="n">
        <v>46232</v>
      </c>
      <c r="F19" t="inlineStr">
        <is>
          <t>JÖNKÖPINGS LÄN</t>
        </is>
      </c>
      <c r="G19" t="inlineStr">
        <is>
          <t>SÄVSJÖ</t>
        </is>
      </c>
      <c r="I19" t="n">
        <v>8.6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Blåsippa</t>
        </is>
      </c>
      <c r="W19">
        <f>HYPERLINK("https://klasma.github.io/Logging_0684/artfynd/A 10046-2025 artfynd.xlsx", "A 10046-2025")</f>
        <v/>
      </c>
      <c r="X19">
        <f>HYPERLINK("https://klasma.github.io/Logging_0684/kartor/A 10046-2025 karta.png", "A 10046-2025")</f>
        <v/>
      </c>
      <c r="Y19">
        <f>HYPERLINK("https://klasma.github.io/Logging_0684/kartor_geotiff/A 10046-2025 georefererad karta.tif", "A 10046-2025")</f>
        <v/>
      </c>
      <c r="AA19">
        <f>HYPERLINK("https://klasma.github.io/Logging_0684/klagomål/A 10046-2025 FSC-klagomål.docx", "A 10046-2025")</f>
        <v/>
      </c>
      <c r="AB19">
        <f>HYPERLINK("https://klasma.github.io/Logging_0684/klagomålsmail/A 10046-2025 FSC-klagomål mail.docx", "A 10046-2025")</f>
        <v/>
      </c>
      <c r="AC19">
        <f>HYPERLINK("https://klasma.github.io/Logging_0684/tillsyn/A 10046-2025 tillsynsbegäran.docx", "A 10046-2025")</f>
        <v/>
      </c>
      <c r="AD19">
        <f>HYPERLINK("https://klasma.github.io/Logging_0684/tillsynsmail/A 10046-2025 tillsynsbegäran mail.docx", "A 10046-2025")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46232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S 689-2026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46091</v>
      </c>
      <c r="E21" s="1" t="n">
        <v>46232</v>
      </c>
      <c r="F21" t="inlineStr">
        <is>
          <t>JÖNKÖPINGS LÄN</t>
        </is>
      </c>
      <c r="G21" t="inlineStr">
        <is>
          <t>SÄVSJÖ</t>
        </is>
      </c>
      <c r="I21" t="n">
        <v>21.4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HYPERLINK("https://klasma.github.io/Logging_0684/artfynd/S 689-2026 artfynd.xlsx", "S 689-2026")</f>
        <v/>
      </c>
      <c r="X21">
        <f>HYPERLINK("https://klasma.github.io/Logging_0684/kartor/S 689-2026 karta.png", "S 689-2026")</f>
        <v/>
      </c>
      <c r="Y21">
        <f>HYPERLINK("https://klasma.github.io/Logging_0684/kartor_geotiff/S 689-2026 georefererad karta.tif", "S 689-2026")</f>
        <v/>
      </c>
      <c r="AA21">
        <f>HYPERLINK("https://klasma.github.io/Logging_0684/klagomål/S 689-2026 FSC-klagomål.docx", "S 689-2026")</f>
        <v/>
      </c>
      <c r="AB21">
        <f>HYPERLINK("https://klasma.github.io/Logging_0684/klagomålsmail/S 689-2026 FSC-klagomål mail.docx", "S 689-2026")</f>
        <v/>
      </c>
      <c r="AC21">
        <f>HYPERLINK("https://klasma.github.io/Logging_0684/tillsyn/S 689-2026 tillsynsbegäran.docx", "S 689-2026")</f>
        <v/>
      </c>
      <c r="AD21">
        <f>HYPERLINK("https://klasma.github.io/Logging_0684/tillsynsmail/S 689-2026 tillsynsbegäran mail.docx", "S 689-2026")</f>
        <v/>
      </c>
    </row>
    <row r="22" ht="15" customHeight="1">
      <c r="A22" t="inlineStr">
        <is>
          <t>A 49668-2022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46232</v>
      </c>
      <c r="F22" t="inlineStr">
        <is>
          <t>JÖNKÖPINGS LÄN</t>
        </is>
      </c>
      <c r="G22" t="inlineStr">
        <is>
          <t>SÄVSJÖ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46232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69990-2021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44533</v>
      </c>
      <c r="E24" s="1" t="n">
        <v>46232</v>
      </c>
      <c r="F24" t="inlineStr">
        <is>
          <t>JÖNKÖPINGS LÄN</t>
        </is>
      </c>
      <c r="G24" t="inlineStr">
        <is>
          <t>SÄVSJÖ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46232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44805</v>
      </c>
      <c r="E26" s="1" t="n">
        <v>46232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46232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47957-2022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44855</v>
      </c>
      <c r="E28" s="1" t="n">
        <v>46232</v>
      </c>
      <c r="F28" t="inlineStr">
        <is>
          <t>JÖNKÖPINGS LÄN</t>
        </is>
      </c>
      <c r="G28" t="inlineStr">
        <is>
          <t>SÄVSJÖ</t>
        </is>
      </c>
      <c r="H28" t="inlineStr">
        <is>
          <t>Sveaskog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43618-2021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46232</v>
      </c>
      <c r="F29" t="inlineStr">
        <is>
          <t>JÖNKÖPINGS LÄN</t>
        </is>
      </c>
      <c r="G29" t="inlineStr">
        <is>
          <t>SÄVSJÖ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46232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46232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46232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40715-2021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44420</v>
      </c>
      <c r="E33" s="1" t="n">
        <v>46232</v>
      </c>
      <c r="F33" t="inlineStr">
        <is>
          <t>JÖNKÖPINGS LÄN</t>
        </is>
      </c>
      <c r="G33" t="inlineStr">
        <is>
          <t>SÄVSJÖ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46232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46232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46232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46232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46232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46232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46232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46232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46232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46232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46232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46232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46232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46232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46232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46232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46232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46232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46232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46232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46232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46232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46232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46232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46232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46232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44412</v>
      </c>
      <c r="E60" s="1" t="n">
        <v>46232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46232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46232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46232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46232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46232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46232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46232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46232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46232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46232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46232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46232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46232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46232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46232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46232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46232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15834-2022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44664</v>
      </c>
      <c r="E78" s="1" t="n">
        <v>46232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46232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46232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46232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46232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46232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46232</v>
      </c>
      <c r="F84" t="inlineStr">
        <is>
          <t>JÖNKÖPINGS LÄN</t>
        </is>
      </c>
      <c r="G84" t="inlineStr">
        <is>
          <t>SÄVSJÖ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46232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46232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46232</v>
      </c>
      <c r="F87" t="inlineStr">
        <is>
          <t>JÖNKÖPINGS LÄN</t>
        </is>
      </c>
      <c r="G87" t="inlineStr">
        <is>
          <t>SÄVSJÖ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45350</v>
      </c>
      <c r="E88" s="1" t="n">
        <v>46232</v>
      </c>
      <c r="F88" t="inlineStr">
        <is>
          <t>JÖNKÖPINGS LÄN</t>
        </is>
      </c>
      <c r="G88" t="inlineStr">
        <is>
          <t>SÄVSJÖ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46232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46232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46232</v>
      </c>
      <c r="F91" t="inlineStr">
        <is>
          <t>JÖNKÖPINGS LÄN</t>
        </is>
      </c>
      <c r="G91" t="inlineStr">
        <is>
          <t>SÄVSJÖ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46232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46232</v>
      </c>
      <c r="F93" t="inlineStr">
        <is>
          <t>JÖNKÖPINGS LÄN</t>
        </is>
      </c>
      <c r="G93" t="inlineStr">
        <is>
          <t>SÄVSJÖ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46232</v>
      </c>
      <c r="F94" t="inlineStr">
        <is>
          <t>JÖNKÖPINGS LÄN</t>
        </is>
      </c>
      <c r="G94" t="inlineStr">
        <is>
          <t>SÄVSJÖ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46232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46232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46232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45727</v>
      </c>
      <c r="E98" s="1" t="n">
        <v>46232</v>
      </c>
      <c r="F98" t="inlineStr">
        <is>
          <t>JÖNKÖPINGS LÄN</t>
        </is>
      </c>
      <c r="G98" t="inlineStr">
        <is>
          <t>SÄVSJÖ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46232</v>
      </c>
      <c r="F99" t="inlineStr">
        <is>
          <t>JÖNKÖPINGS LÄN</t>
        </is>
      </c>
      <c r="G99" t="inlineStr">
        <is>
          <t>SÄVSJÖ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46232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45634</v>
      </c>
      <c r="E101" s="1" t="n">
        <v>46232</v>
      </c>
      <c r="F101" t="inlineStr">
        <is>
          <t>JÖNKÖPINGS LÄN</t>
        </is>
      </c>
      <c r="G101" t="inlineStr">
        <is>
          <t>SÄVSJÖ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45094</v>
      </c>
      <c r="E102" s="1" t="n">
        <v>46232</v>
      </c>
      <c r="F102" t="inlineStr">
        <is>
          <t>JÖNKÖPINGS LÄN</t>
        </is>
      </c>
      <c r="G102" t="inlineStr">
        <is>
          <t>SÄVSJÖ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46232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46232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46232</v>
      </c>
      <c r="F105" t="inlineStr">
        <is>
          <t>JÖNKÖPINGS LÄN</t>
        </is>
      </c>
      <c r="G105" t="inlineStr">
        <is>
          <t>SÄVSJÖ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12952-2023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45001</v>
      </c>
      <c r="E106" s="1" t="n">
        <v>46232</v>
      </c>
      <c r="F106" t="inlineStr">
        <is>
          <t>JÖNKÖPINGS LÄN</t>
        </is>
      </c>
      <c r="G106" t="inlineStr">
        <is>
          <t>SÄVSJÖ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46232</v>
      </c>
      <c r="F107" t="inlineStr">
        <is>
          <t>JÖNKÖPINGS LÄN</t>
        </is>
      </c>
      <c r="G107" t="inlineStr">
        <is>
          <t>SÄVSJÖ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46232</v>
      </c>
      <c r="F108" t="inlineStr">
        <is>
          <t>JÖNKÖPINGS LÄN</t>
        </is>
      </c>
      <c r="G108" t="inlineStr">
        <is>
          <t>SÄVSJÖ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46232</v>
      </c>
      <c r="F109" t="inlineStr">
        <is>
          <t>JÖNKÖPINGS LÄN</t>
        </is>
      </c>
      <c r="G109" t="inlineStr">
        <is>
          <t>SÄVSJÖ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46232</v>
      </c>
      <c r="F110" t="inlineStr">
        <is>
          <t>JÖNKÖPINGS LÄN</t>
        </is>
      </c>
      <c r="G110" t="inlineStr">
        <is>
          <t>SÄVSJÖ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46232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46232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46232</v>
      </c>
      <c r="F113" t="inlineStr">
        <is>
          <t>JÖNKÖPINGS LÄN</t>
        </is>
      </c>
      <c r="G113" t="inlineStr">
        <is>
          <t>SÄVSJÖ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46232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46232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46232</v>
      </c>
      <c r="F116" t="inlineStr">
        <is>
          <t>JÖNKÖPINGS LÄN</t>
        </is>
      </c>
      <c r="G116" t="inlineStr">
        <is>
          <t>SÄVSJÖ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46232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46232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46232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44781</v>
      </c>
      <c r="E120" s="1" t="n">
        <v>46232</v>
      </c>
      <c r="F120" t="inlineStr">
        <is>
          <t>JÖNKÖPINGS LÄN</t>
        </is>
      </c>
      <c r="G120" t="inlineStr">
        <is>
          <t>SÄVSJÖ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45067</v>
      </c>
      <c r="E121" s="1" t="n">
        <v>46232</v>
      </c>
      <c r="F121" t="inlineStr">
        <is>
          <t>JÖNKÖPINGS LÄN</t>
        </is>
      </c>
      <c r="G121" t="inlineStr">
        <is>
          <t>SÄVSJÖ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46232</v>
      </c>
      <c r="F122" t="inlineStr">
        <is>
          <t>JÖNKÖPINGS LÄN</t>
        </is>
      </c>
      <c r="G122" t="inlineStr">
        <is>
          <t>SÄVSJÖ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44447</v>
      </c>
      <c r="E123" s="1" t="n">
        <v>46232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46232</v>
      </c>
      <c r="F124" t="inlineStr">
        <is>
          <t>JÖNKÖPINGS LÄN</t>
        </is>
      </c>
      <c r="G124" t="inlineStr">
        <is>
          <t>SÄVSJÖ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46232</v>
      </c>
      <c r="F125" t="inlineStr">
        <is>
          <t>JÖNKÖPINGS LÄN</t>
        </is>
      </c>
      <c r="G125" t="inlineStr">
        <is>
          <t>SÄVSJÖ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46232</v>
      </c>
      <c r="F126" t="inlineStr">
        <is>
          <t>JÖNKÖPINGS LÄN</t>
        </is>
      </c>
      <c r="G126" t="inlineStr">
        <is>
          <t>SÄVSJÖ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46232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54827-2021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44474</v>
      </c>
      <c r="E128" s="1" t="n">
        <v>46232</v>
      </c>
      <c r="F128" t="inlineStr">
        <is>
          <t>JÖNKÖPINGS LÄN</t>
        </is>
      </c>
      <c r="G128" t="inlineStr">
        <is>
          <t>SÄVSJÖ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46232</v>
      </c>
      <c r="F129" t="inlineStr">
        <is>
          <t>JÖNKÖPINGS LÄN</t>
        </is>
      </c>
      <c r="G129" t="inlineStr">
        <is>
          <t>SÄVSJÖ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44833</v>
      </c>
      <c r="E130" s="1" t="n">
        <v>46232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46232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45228</v>
      </c>
      <c r="E132" s="1" t="n">
        <v>46232</v>
      </c>
      <c r="F132" t="inlineStr">
        <is>
          <t>JÖNKÖPINGS LÄN</t>
        </is>
      </c>
      <c r="G132" t="inlineStr">
        <is>
          <t>SÄVSJÖ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46232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44995</v>
      </c>
      <c r="E134" s="1" t="n">
        <v>46232</v>
      </c>
      <c r="F134" t="inlineStr">
        <is>
          <t>JÖNKÖPINGS LÄN</t>
        </is>
      </c>
      <c r="G134" t="inlineStr">
        <is>
          <t>SÄVSJÖ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46232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46232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46232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45102</v>
      </c>
      <c r="E138" s="1" t="n">
        <v>46232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46232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46232</v>
      </c>
      <c r="F140" t="inlineStr">
        <is>
          <t>JÖNKÖPINGS LÄN</t>
        </is>
      </c>
      <c r="G140" t="inlineStr">
        <is>
          <t>SÄVSJÖ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38914-2024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45547</v>
      </c>
      <c r="E141" s="1" t="n">
        <v>46232</v>
      </c>
      <c r="F141" t="inlineStr">
        <is>
          <t>JÖNKÖPINGS LÄN</t>
        </is>
      </c>
      <c r="G141" t="inlineStr">
        <is>
          <t>SÄVSJÖ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45302</v>
      </c>
      <c r="E142" s="1" t="n">
        <v>46232</v>
      </c>
      <c r="F142" t="inlineStr">
        <is>
          <t>JÖNKÖPINGS LÄN</t>
        </is>
      </c>
      <c r="G142" t="inlineStr">
        <is>
          <t>SÄVSJÖ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46232</v>
      </c>
      <c r="F143" t="inlineStr">
        <is>
          <t>JÖNKÖPINGS LÄN</t>
        </is>
      </c>
      <c r="G143" t="inlineStr">
        <is>
          <t>SÄVSJÖ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46232</v>
      </c>
      <c r="F144" t="inlineStr">
        <is>
          <t>JÖNKÖPINGS LÄN</t>
        </is>
      </c>
      <c r="G144" t="inlineStr">
        <is>
          <t>SÄVSJÖ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46232</v>
      </c>
      <c r="F145" t="inlineStr">
        <is>
          <t>JÖNKÖPINGS LÄN</t>
        </is>
      </c>
      <c r="G145" t="inlineStr">
        <is>
          <t>SÄVSJÖ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46232</v>
      </c>
      <c r="F146" t="inlineStr">
        <is>
          <t>JÖNKÖPINGS LÄN</t>
        </is>
      </c>
      <c r="G146" t="inlineStr">
        <is>
          <t>SÄVSJÖ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46232</v>
      </c>
      <c r="F147" t="inlineStr">
        <is>
          <t>JÖNKÖPINGS LÄN</t>
        </is>
      </c>
      <c r="G147" t="inlineStr">
        <is>
          <t>SÄVSJÖ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46232</v>
      </c>
      <c r="F148" t="inlineStr">
        <is>
          <t>JÖNKÖPINGS LÄN</t>
        </is>
      </c>
      <c r="G148" t="inlineStr">
        <is>
          <t>SÄVSJÖ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44929</v>
      </c>
      <c r="E149" s="1" t="n">
        <v>46232</v>
      </c>
      <c r="F149" t="inlineStr">
        <is>
          <t>JÖNKÖPINGS LÄN</t>
        </is>
      </c>
      <c r="G149" t="inlineStr">
        <is>
          <t>SÄVSJÖ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45953</v>
      </c>
      <c r="E150" s="1" t="n">
        <v>46232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46232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46232</v>
      </c>
      <c r="F152" t="inlineStr">
        <is>
          <t>JÖNKÖPINGS LÄN</t>
        </is>
      </c>
      <c r="G152" t="inlineStr">
        <is>
          <t>SÄVSJÖ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45110</v>
      </c>
      <c r="E153" s="1" t="n">
        <v>46232</v>
      </c>
      <c r="F153" t="inlineStr">
        <is>
          <t>JÖNKÖPINGS LÄN</t>
        </is>
      </c>
      <c r="G153" t="inlineStr">
        <is>
          <t>SÄVSJÖ</t>
        </is>
      </c>
      <c r="H153" t="inlineStr">
        <is>
          <t>Kommuner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46232</v>
      </c>
      <c r="F154" t="inlineStr">
        <is>
          <t>JÖNKÖPINGS LÄN</t>
        </is>
      </c>
      <c r="G154" t="inlineStr">
        <is>
          <t>SÄVSJÖ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46232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50627-2022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44866</v>
      </c>
      <c r="E156" s="1" t="n">
        <v>46232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46232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44642</v>
      </c>
      <c r="E158" s="1" t="n">
        <v>46232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46232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46232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46232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46232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46232</v>
      </c>
      <c r="F163" t="inlineStr">
        <is>
          <t>JÖNKÖPINGS LÄN</t>
        </is>
      </c>
      <c r="G163" t="inlineStr">
        <is>
          <t>SÄVSJÖ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46232</v>
      </c>
      <c r="F164" t="inlineStr">
        <is>
          <t>JÖNKÖPINGS LÄN</t>
        </is>
      </c>
      <c r="G164" t="inlineStr">
        <is>
          <t>SÄVSJÖ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46232</v>
      </c>
      <c r="F165" t="inlineStr">
        <is>
          <t>JÖNKÖPINGS LÄN</t>
        </is>
      </c>
      <c r="G165" t="inlineStr">
        <is>
          <t>SÄVSJÖ</t>
        </is>
      </c>
      <c r="H165" t="inlineStr">
        <is>
          <t>Kyrkan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45964</v>
      </c>
      <c r="E166" s="1" t="n">
        <v>46232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46232</v>
      </c>
      <c r="F167" t="inlineStr">
        <is>
          <t>JÖNKÖPINGS LÄN</t>
        </is>
      </c>
      <c r="G167" t="inlineStr">
        <is>
          <t>SÄVSJÖ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46232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46232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46232</v>
      </c>
      <c r="F170" t="inlineStr">
        <is>
          <t>JÖNKÖPINGS LÄN</t>
        </is>
      </c>
      <c r="G170" t="inlineStr">
        <is>
          <t>SÄVSJÖ</t>
        </is>
      </c>
      <c r="H170" t="inlineStr">
        <is>
          <t>Kyrkan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46232</v>
      </c>
      <c r="F171" t="inlineStr">
        <is>
          <t>JÖNKÖPINGS LÄN</t>
        </is>
      </c>
      <c r="G171" t="inlineStr">
        <is>
          <t>SÄVSJÖ</t>
        </is>
      </c>
      <c r="H171" t="inlineStr">
        <is>
          <t>Kyrkan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46232</v>
      </c>
      <c r="F172" t="inlineStr">
        <is>
          <t>JÖNKÖPINGS LÄN</t>
        </is>
      </c>
      <c r="G172" t="inlineStr">
        <is>
          <t>SÄVSJÖ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46232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46232</v>
      </c>
      <c r="F174" t="inlineStr">
        <is>
          <t>JÖNKÖPINGS LÄN</t>
        </is>
      </c>
      <c r="G174" t="inlineStr">
        <is>
          <t>SÄVSJÖ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46232</v>
      </c>
      <c r="F175" t="inlineStr">
        <is>
          <t>JÖNKÖPINGS LÄN</t>
        </is>
      </c>
      <c r="G175" t="inlineStr">
        <is>
          <t>SÄVSJÖ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46232</v>
      </c>
      <c r="F176" t="inlineStr">
        <is>
          <t>JÖNKÖPINGS LÄN</t>
        </is>
      </c>
      <c r="G176" t="inlineStr">
        <is>
          <t>SÄVSJÖ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46307-2021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44442</v>
      </c>
      <c r="E177" s="1" t="n">
        <v>46232</v>
      </c>
      <c r="F177" t="inlineStr">
        <is>
          <t>JÖNKÖPINGS LÄN</t>
        </is>
      </c>
      <c r="G177" t="inlineStr">
        <is>
          <t>SÄVSJÖ</t>
        </is>
      </c>
      <c r="H177" t="inlineStr">
        <is>
          <t>Kommuner</t>
        </is>
      </c>
      <c r="I177" t="n">
        <v>25.6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46232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46232</v>
      </c>
      <c r="F179" t="inlineStr">
        <is>
          <t>JÖNKÖPINGS LÄN</t>
        </is>
      </c>
      <c r="G179" t="inlineStr">
        <is>
          <t>SÄVSJÖ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46232</v>
      </c>
      <c r="F180" t="inlineStr">
        <is>
          <t>JÖNKÖPINGS LÄN</t>
        </is>
      </c>
      <c r="G180" t="inlineStr">
        <is>
          <t>SÄVSJÖ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46232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46232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45634</v>
      </c>
      <c r="E183" s="1" t="n">
        <v>46232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46232</v>
      </c>
      <c r="F184" t="inlineStr">
        <is>
          <t>JÖNKÖPINGS LÄN</t>
        </is>
      </c>
      <c r="G184" t="inlineStr">
        <is>
          <t>SÄVSJÖ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46232</v>
      </c>
      <c r="F185" t="inlineStr">
        <is>
          <t>JÖNKÖPINGS LÄN</t>
        </is>
      </c>
      <c r="G185" t="inlineStr">
        <is>
          <t>SÄVSJÖ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45433</v>
      </c>
      <c r="E186" s="1" t="n">
        <v>46232</v>
      </c>
      <c r="F186" t="inlineStr">
        <is>
          <t>JÖNKÖPINGS LÄN</t>
        </is>
      </c>
      <c r="G186" t="inlineStr">
        <is>
          <t>SÄVSJÖ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46232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46232</v>
      </c>
      <c r="F188" t="inlineStr">
        <is>
          <t>JÖNKÖPINGS LÄN</t>
        </is>
      </c>
      <c r="G188" t="inlineStr">
        <is>
          <t>SÄVSJÖ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45053</v>
      </c>
      <c r="E189" s="1" t="n">
        <v>46232</v>
      </c>
      <c r="F189" t="inlineStr">
        <is>
          <t>JÖNKÖPINGS LÄN</t>
        </is>
      </c>
      <c r="G189" t="inlineStr">
        <is>
          <t>SÄVSJÖ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46232</v>
      </c>
      <c r="F190" t="inlineStr">
        <is>
          <t>JÖNKÖPINGS LÄN</t>
        </is>
      </c>
      <c r="G190" t="inlineStr">
        <is>
          <t>SÄVSJÖ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46232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46232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46232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46232</v>
      </c>
      <c r="F194" t="inlineStr">
        <is>
          <t>JÖNKÖPINGS LÄN</t>
        </is>
      </c>
      <c r="G194" t="inlineStr">
        <is>
          <t>SÄVSJÖ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46232</v>
      </c>
      <c r="F195" t="inlineStr">
        <is>
          <t>JÖNKÖPINGS LÄN</t>
        </is>
      </c>
      <c r="G195" t="inlineStr">
        <is>
          <t>SÄVSJÖ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46232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46232</v>
      </c>
      <c r="F197" t="inlineStr">
        <is>
          <t>JÖNKÖPINGS LÄN</t>
        </is>
      </c>
      <c r="G197" t="inlineStr">
        <is>
          <t>SÄVSJÖ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46232</v>
      </c>
      <c r="F198" t="inlineStr">
        <is>
          <t>JÖNKÖPINGS LÄN</t>
        </is>
      </c>
      <c r="G198" t="inlineStr">
        <is>
          <t>SÄVSJÖ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46232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46232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45419</v>
      </c>
      <c r="E201" s="1" t="n">
        <v>46232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46232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46232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62870-2025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46008</v>
      </c>
      <c r="E204" s="1" t="n">
        <v>46232</v>
      </c>
      <c r="F204" t="inlineStr">
        <is>
          <t>JÖNKÖPINGS LÄN</t>
        </is>
      </c>
      <c r="G204" t="inlineStr">
        <is>
          <t>SÄVSJÖ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45054</v>
      </c>
      <c r="E205" s="1" t="n">
        <v>46232</v>
      </c>
      <c r="F205" t="inlineStr">
        <is>
          <t>JÖNKÖPINGS LÄN</t>
        </is>
      </c>
      <c r="G205" t="inlineStr">
        <is>
          <t>SÄVSJÖ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45694</v>
      </c>
      <c r="E206" s="1" t="n">
        <v>46232</v>
      </c>
      <c r="F206" t="inlineStr">
        <is>
          <t>JÖNKÖPINGS LÄN</t>
        </is>
      </c>
      <c r="G206" t="inlineStr">
        <is>
          <t>SÄVSJÖ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46232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46232</v>
      </c>
      <c r="F208" t="inlineStr">
        <is>
          <t>JÖNKÖPINGS LÄN</t>
        </is>
      </c>
      <c r="G208" t="inlineStr">
        <is>
          <t>SÄVSJÖ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46232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46232</v>
      </c>
      <c r="F210" t="inlineStr">
        <is>
          <t>JÖNKÖPINGS LÄN</t>
        </is>
      </c>
      <c r="G210" t="inlineStr">
        <is>
          <t>SÄVSJÖ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46232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46232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46232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46232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46232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46017</v>
      </c>
      <c r="E216" s="1" t="n">
        <v>46232</v>
      </c>
      <c r="F216" t="inlineStr">
        <is>
          <t>JÖNKÖPINGS LÄN</t>
        </is>
      </c>
      <c r="G216" t="inlineStr">
        <is>
          <t>SÄVSJÖ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46017</v>
      </c>
      <c r="E217" s="1" t="n">
        <v>46232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46232</v>
      </c>
      <c r="F218" t="inlineStr">
        <is>
          <t>JÖNKÖPINGS LÄN</t>
        </is>
      </c>
      <c r="G218" t="inlineStr">
        <is>
          <t>SÄVSJÖ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46232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7285-2023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44970</v>
      </c>
      <c r="E220" s="1" t="n">
        <v>46232</v>
      </c>
      <c r="F220" t="inlineStr">
        <is>
          <t>JÖNKÖPINGS LÄN</t>
        </is>
      </c>
      <c r="G220" t="inlineStr">
        <is>
          <t>SÄVSJÖ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46232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50629-2022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44866</v>
      </c>
      <c r="E222" s="1" t="n">
        <v>46232</v>
      </c>
      <c r="F222" t="inlineStr">
        <is>
          <t>JÖNKÖPINGS LÄN</t>
        </is>
      </c>
      <c r="G222" t="inlineStr">
        <is>
          <t>SÄVSJÖ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46232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46232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46232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45338</v>
      </c>
      <c r="E226" s="1" t="n">
        <v>46232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46232</v>
      </c>
      <c r="F227" t="inlineStr">
        <is>
          <t>JÖNKÖPINGS LÄN</t>
        </is>
      </c>
      <c r="G227" t="inlineStr">
        <is>
          <t>SÄVSJÖ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44414</v>
      </c>
      <c r="E228" s="1" t="n">
        <v>46232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46232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46232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46232</v>
      </c>
      <c r="F231" t="inlineStr">
        <is>
          <t>JÖNKÖPINGS LÄN</t>
        </is>
      </c>
      <c r="G231" t="inlineStr">
        <is>
          <t>SÄVSJÖ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45534</v>
      </c>
      <c r="E232" s="1" t="n">
        <v>46232</v>
      </c>
      <c r="F232" t="inlineStr">
        <is>
          <t>JÖNKÖPINGS LÄN</t>
        </is>
      </c>
      <c r="G232" t="inlineStr">
        <is>
          <t>SÄVSJÖ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46232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46232</v>
      </c>
      <c r="F234" t="inlineStr">
        <is>
          <t>JÖNKÖPINGS LÄN</t>
        </is>
      </c>
      <c r="G234" t="inlineStr">
        <is>
          <t>SÄVSJÖ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46232</v>
      </c>
      <c r="F235" t="inlineStr">
        <is>
          <t>JÖNKÖPINGS LÄN</t>
        </is>
      </c>
      <c r="G235" t="inlineStr">
        <is>
          <t>SÄVSJÖ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46232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46232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46232</v>
      </c>
      <c r="F238" t="inlineStr">
        <is>
          <t>JÖNKÖPINGS LÄN</t>
        </is>
      </c>
      <c r="G238" t="inlineStr">
        <is>
          <t>SÄVSJÖ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46232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44656</v>
      </c>
      <c r="E240" s="1" t="n">
        <v>46232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45407</v>
      </c>
      <c r="E241" s="1" t="n">
        <v>46232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16372-2024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46232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45301</v>
      </c>
      <c r="E243" s="1" t="n">
        <v>46232</v>
      </c>
      <c r="F243" t="inlineStr">
        <is>
          <t>JÖNKÖPINGS LÄN</t>
        </is>
      </c>
      <c r="G243" t="inlineStr">
        <is>
          <t>SÄVSJÖ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46232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44826</v>
      </c>
      <c r="E245" s="1" t="n">
        <v>46232</v>
      </c>
      <c r="F245" t="inlineStr">
        <is>
          <t>JÖNKÖPINGS LÄN</t>
        </is>
      </c>
      <c r="G245" t="inlineStr">
        <is>
          <t>SÄVSJÖ</t>
        </is>
      </c>
      <c r="H245" t="inlineStr">
        <is>
          <t>Sveaskog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46232</v>
      </c>
      <c r="F246" t="inlineStr">
        <is>
          <t>JÖNKÖPINGS LÄN</t>
        </is>
      </c>
      <c r="G246" t="inlineStr">
        <is>
          <t>SÄVSJÖ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62961-2021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44505</v>
      </c>
      <c r="E247" s="1" t="n">
        <v>46232</v>
      </c>
      <c r="F247" t="inlineStr">
        <is>
          <t>JÖNKÖPINGS LÄN</t>
        </is>
      </c>
      <c r="G247" t="inlineStr">
        <is>
          <t>SÄVSJÖ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46232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46232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46232</v>
      </c>
      <c r="F250" t="inlineStr">
        <is>
          <t>JÖNKÖPINGS LÄN</t>
        </is>
      </c>
      <c r="G250" t="inlineStr">
        <is>
          <t>SÄVSJÖ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45669</v>
      </c>
      <c r="E251" s="1" t="n">
        <v>46232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46232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46232</v>
      </c>
      <c r="F253" t="inlineStr">
        <is>
          <t>JÖNKÖPINGS LÄN</t>
        </is>
      </c>
      <c r="G253" t="inlineStr">
        <is>
          <t>SÄVSJÖ</t>
        </is>
      </c>
      <c r="H253" t="inlineStr">
        <is>
          <t>Övriga Aktiebolag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44426</v>
      </c>
      <c r="E254" s="1" t="n">
        <v>46232</v>
      </c>
      <c r="F254" t="inlineStr">
        <is>
          <t>JÖNKÖPINGS LÄN</t>
        </is>
      </c>
      <c r="G254" t="inlineStr">
        <is>
          <t>SÄVSJÖ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45768</v>
      </c>
      <c r="E255" s="1" t="n">
        <v>46232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46232</v>
      </c>
      <c r="F256" t="inlineStr">
        <is>
          <t>JÖNKÖPINGS LÄN</t>
        </is>
      </c>
      <c r="G256" t="inlineStr">
        <is>
          <t>SÄVSJÖ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45879</v>
      </c>
      <c r="E257" s="1" t="n">
        <v>46232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46232</v>
      </c>
      <c r="F258" t="inlineStr">
        <is>
          <t>JÖNKÖPINGS LÄN</t>
        </is>
      </c>
      <c r="G258" t="inlineStr">
        <is>
          <t>SÄVSJÖ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46232</v>
      </c>
      <c r="F259" t="inlineStr">
        <is>
          <t>JÖNKÖPINGS LÄN</t>
        </is>
      </c>
      <c r="G259" t="inlineStr">
        <is>
          <t>SÄVSJÖ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46232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46232</v>
      </c>
      <c r="F261" t="inlineStr">
        <is>
          <t>JÖNKÖPINGS LÄN</t>
        </is>
      </c>
      <c r="G261" t="inlineStr">
        <is>
          <t>SÄVSJÖ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46232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46232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46232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46232</v>
      </c>
      <c r="F265" t="inlineStr">
        <is>
          <t>JÖNKÖPINGS LÄN</t>
        </is>
      </c>
      <c r="G265" t="inlineStr">
        <is>
          <t>SÄVSJÖ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61556-2025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46001</v>
      </c>
      <c r="E266" s="1" t="n">
        <v>46232</v>
      </c>
      <c r="F266" t="inlineStr">
        <is>
          <t>JÖNKÖPINGS LÄN</t>
        </is>
      </c>
      <c r="G266" t="inlineStr">
        <is>
          <t>SÄVSJÖ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46232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46232</v>
      </c>
      <c r="F268" t="inlineStr">
        <is>
          <t>JÖNKÖPINGS LÄN</t>
        </is>
      </c>
      <c r="G268" t="inlineStr">
        <is>
          <t>SÄVSJÖ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46232</v>
      </c>
      <c r="F269" t="inlineStr">
        <is>
          <t>JÖNKÖPINGS LÄN</t>
        </is>
      </c>
      <c r="G269" t="inlineStr">
        <is>
          <t>SÄVSJÖ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46232</v>
      </c>
      <c r="F270" t="inlineStr">
        <is>
          <t>JÖNKÖPINGS LÄN</t>
        </is>
      </c>
      <c r="G270" t="inlineStr">
        <is>
          <t>SÄVSJÖ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46232</v>
      </c>
      <c r="F271" t="inlineStr">
        <is>
          <t>JÖNKÖPINGS LÄN</t>
        </is>
      </c>
      <c r="G271" t="inlineStr">
        <is>
          <t>SÄVSJÖ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44830</v>
      </c>
      <c r="E272" s="1" t="n">
        <v>46232</v>
      </c>
      <c r="F272" t="inlineStr">
        <is>
          <t>JÖNKÖPINGS LÄN</t>
        </is>
      </c>
      <c r="G272" t="inlineStr">
        <is>
          <t>SÄVSJÖ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37108-2022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46232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46232</v>
      </c>
      <c r="F274" t="inlineStr">
        <is>
          <t>JÖNKÖPINGS LÄN</t>
        </is>
      </c>
      <c r="G274" t="inlineStr">
        <is>
          <t>SÄVSJÖ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46232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45534</v>
      </c>
      <c r="E276" s="1" t="n">
        <v>46232</v>
      </c>
      <c r="F276" t="inlineStr">
        <is>
          <t>JÖNKÖPINGS LÄN</t>
        </is>
      </c>
      <c r="G276" t="inlineStr">
        <is>
          <t>SÄVSJÖ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45163</v>
      </c>
      <c r="E277" s="1" t="n">
        <v>46232</v>
      </c>
      <c r="F277" t="inlineStr">
        <is>
          <t>JÖNKÖPINGS LÄN</t>
        </is>
      </c>
      <c r="G277" t="inlineStr">
        <is>
          <t>SÄVSJÖ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46232</v>
      </c>
      <c r="F278" t="inlineStr">
        <is>
          <t>JÖNKÖPINGS LÄN</t>
        </is>
      </c>
      <c r="G278" t="inlineStr">
        <is>
          <t>SÄVSJÖ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45660</v>
      </c>
      <c r="E279" s="1" t="n">
        <v>46232</v>
      </c>
      <c r="F279" t="inlineStr">
        <is>
          <t>JÖNKÖPINGS LÄN</t>
        </is>
      </c>
      <c r="G279" t="inlineStr">
        <is>
          <t>SÄVSJÖ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46232</v>
      </c>
      <c r="F280" t="inlineStr">
        <is>
          <t>JÖNKÖPINGS LÄN</t>
        </is>
      </c>
      <c r="G280" t="inlineStr">
        <is>
          <t>SÄVSJÖ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46232</v>
      </c>
      <c r="F281" t="inlineStr">
        <is>
          <t>JÖNKÖPINGS LÄN</t>
        </is>
      </c>
      <c r="G281" t="inlineStr">
        <is>
          <t>SÄVSJÖ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44475</v>
      </c>
      <c r="E282" s="1" t="n">
        <v>46232</v>
      </c>
      <c r="F282" t="inlineStr">
        <is>
          <t>JÖNKÖPINGS LÄN</t>
        </is>
      </c>
      <c r="G282" t="inlineStr">
        <is>
          <t>SÄVSJÖ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46232</v>
      </c>
      <c r="F283" t="inlineStr">
        <is>
          <t>JÖNKÖPINGS LÄN</t>
        </is>
      </c>
      <c r="G283" t="inlineStr">
        <is>
          <t>SÄVSJÖ</t>
        </is>
      </c>
      <c r="H283" t="inlineStr">
        <is>
          <t>Kommuner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46232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46232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46232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46232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46232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46232</v>
      </c>
      <c r="F289" t="inlineStr">
        <is>
          <t>JÖNKÖPINGS LÄN</t>
        </is>
      </c>
      <c r="G289" t="inlineStr">
        <is>
          <t>SÄVSJÖ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46232</v>
      </c>
      <c r="F290" t="inlineStr">
        <is>
          <t>JÖNKÖPINGS LÄN</t>
        </is>
      </c>
      <c r="G290" t="inlineStr">
        <is>
          <t>SÄVSJÖ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46232</v>
      </c>
      <c r="F291" t="inlineStr">
        <is>
          <t>JÖNKÖPINGS LÄN</t>
        </is>
      </c>
      <c r="G291" t="inlineStr">
        <is>
          <t>SÄVSJÖ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46232</v>
      </c>
      <c r="F292" t="inlineStr">
        <is>
          <t>JÖNKÖPINGS LÄN</t>
        </is>
      </c>
      <c r="G292" t="inlineStr">
        <is>
          <t>SÄVSJÖ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46232</v>
      </c>
      <c r="F293" t="inlineStr">
        <is>
          <t>JÖNKÖPINGS LÄN</t>
        </is>
      </c>
      <c r="G293" t="inlineStr">
        <is>
          <t>SÄVSJÖ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46232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45061</v>
      </c>
      <c r="E295" s="1" t="n">
        <v>46232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46232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46232</v>
      </c>
      <c r="F297" t="inlineStr">
        <is>
          <t>JÖNKÖPINGS LÄN</t>
        </is>
      </c>
      <c r="G297" t="inlineStr">
        <is>
          <t>SÄVSJÖ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46232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46232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45301</v>
      </c>
      <c r="E300" s="1" t="n">
        <v>46232</v>
      </c>
      <c r="F300" t="inlineStr">
        <is>
          <t>JÖNKÖPINGS LÄN</t>
        </is>
      </c>
      <c r="G300" t="inlineStr">
        <is>
          <t>SÄVSJÖ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45274</v>
      </c>
      <c r="E301" s="1" t="n">
        <v>46232</v>
      </c>
      <c r="F301" t="inlineStr">
        <is>
          <t>JÖNKÖPINGS LÄN</t>
        </is>
      </c>
      <c r="G301" t="inlineStr">
        <is>
          <t>SÄVSJÖ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44872</v>
      </c>
      <c r="E302" s="1" t="n">
        <v>46232</v>
      </c>
      <c r="F302" t="inlineStr">
        <is>
          <t>JÖNKÖPINGS LÄN</t>
        </is>
      </c>
      <c r="G302" t="inlineStr">
        <is>
          <t>SÄVSJÖ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45008</v>
      </c>
      <c r="E303" s="1" t="n">
        <v>46232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45104</v>
      </c>
      <c r="E304" s="1" t="n">
        <v>46232</v>
      </c>
      <c r="F304" t="inlineStr">
        <is>
          <t>JÖNKÖPINGS LÄN</t>
        </is>
      </c>
      <c r="G304" t="inlineStr">
        <is>
          <t>SÄVSJÖ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46232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44590</v>
      </c>
      <c r="E306" s="1" t="n">
        <v>46232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45623</v>
      </c>
      <c r="E307" s="1" t="n">
        <v>46232</v>
      </c>
      <c r="F307" t="inlineStr">
        <is>
          <t>JÖNKÖPINGS LÄN</t>
        </is>
      </c>
      <c r="G307" t="inlineStr">
        <is>
          <t>SÄVSJÖ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52965-2024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46232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46232</v>
      </c>
      <c r="F309" t="inlineStr">
        <is>
          <t>JÖNKÖPINGS LÄN</t>
        </is>
      </c>
      <c r="G309" t="inlineStr">
        <is>
          <t>SÄVSJÖ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55381-2023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46232</v>
      </c>
      <c r="F310" t="inlineStr">
        <is>
          <t>JÖNKÖPINGS LÄN</t>
        </is>
      </c>
      <c r="G310" t="inlineStr">
        <is>
          <t>SÄVSJÖ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44972</v>
      </c>
      <c r="E311" s="1" t="n">
        <v>46232</v>
      </c>
      <c r="F311" t="inlineStr">
        <is>
          <t>JÖNKÖPINGS LÄN</t>
        </is>
      </c>
      <c r="G311" t="inlineStr">
        <is>
          <t>SÄVSJÖ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45146</v>
      </c>
      <c r="E312" s="1" t="n">
        <v>46232</v>
      </c>
      <c r="F312" t="inlineStr">
        <is>
          <t>JÖNKÖPINGS LÄN</t>
        </is>
      </c>
      <c r="G312" t="inlineStr">
        <is>
          <t>SÄVSJÖ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45454</v>
      </c>
      <c r="E313" s="1" t="n">
        <v>46232</v>
      </c>
      <c r="F313" t="inlineStr">
        <is>
          <t>JÖNKÖPINGS LÄN</t>
        </is>
      </c>
      <c r="G313" t="inlineStr">
        <is>
          <t>SÄVSJÖ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46232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46232</v>
      </c>
      <c r="F315" t="inlineStr">
        <is>
          <t>JÖNKÖPINGS LÄN</t>
        </is>
      </c>
      <c r="G315" t="inlineStr">
        <is>
          <t>SÄVSJÖ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46232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46232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23816-2026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46165</v>
      </c>
      <c r="E318" s="1" t="n">
        <v>46232</v>
      </c>
      <c r="F318" t="inlineStr">
        <is>
          <t>JÖNKÖPINGS LÄN</t>
        </is>
      </c>
      <c r="G318" t="inlineStr">
        <is>
          <t>SÄVSJÖ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45029</v>
      </c>
      <c r="E319" s="1" t="n">
        <v>46232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46232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46232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46232</v>
      </c>
      <c r="F322" t="inlineStr">
        <is>
          <t>JÖNKÖPINGS LÄN</t>
        </is>
      </c>
      <c r="G322" t="inlineStr">
        <is>
          <t>SÄVSJÖ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46232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46232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46232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46232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45427</v>
      </c>
      <c r="E327" s="1" t="n">
        <v>46232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44651</v>
      </c>
      <c r="E328" s="1" t="n">
        <v>46232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46232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45210</v>
      </c>
      <c r="E330" s="1" t="n">
        <v>46232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45094</v>
      </c>
      <c r="E331" s="1" t="n">
        <v>46232</v>
      </c>
      <c r="F331" t="inlineStr">
        <is>
          <t>JÖNKÖPINGS LÄN</t>
        </is>
      </c>
      <c r="G331" t="inlineStr">
        <is>
          <t>SÄVSJÖ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46232</v>
      </c>
      <c r="F332" t="inlineStr">
        <is>
          <t>JÖNKÖPINGS LÄN</t>
        </is>
      </c>
      <c r="G332" t="inlineStr">
        <is>
          <t>SÄVSJÖ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45694</v>
      </c>
      <c r="E333" s="1" t="n">
        <v>46232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46232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46232</v>
      </c>
      <c r="F335" t="inlineStr">
        <is>
          <t>JÖNKÖPINGS LÄN</t>
        </is>
      </c>
      <c r="G335" t="inlineStr">
        <is>
          <t>SÄVSJÖ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55909-2024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45623</v>
      </c>
      <c r="E336" s="1" t="n">
        <v>46232</v>
      </c>
      <c r="F336" t="inlineStr">
        <is>
          <t>JÖNKÖPINGS LÄN</t>
        </is>
      </c>
      <c r="G336" t="inlineStr">
        <is>
          <t>SÄVSJÖ</t>
        </is>
      </c>
      <c r="H336" t="inlineStr">
        <is>
          <t>Kommuner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45704</v>
      </c>
      <c r="E337" s="1" t="n">
        <v>46232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46232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46232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46232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44469</v>
      </c>
      <c r="E341" s="1" t="n">
        <v>46232</v>
      </c>
      <c r="F341" t="inlineStr">
        <is>
          <t>JÖNKÖPINGS LÄN</t>
        </is>
      </c>
      <c r="G341" t="inlineStr">
        <is>
          <t>SÄVSJÖ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46232</v>
      </c>
      <c r="F342" t="inlineStr">
        <is>
          <t>JÖNKÖPINGS LÄN</t>
        </is>
      </c>
      <c r="G342" t="inlineStr">
        <is>
          <t>SÄVSJÖ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45275</v>
      </c>
      <c r="E343" s="1" t="n">
        <v>46232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44883</v>
      </c>
      <c r="E344" s="1" t="n">
        <v>46232</v>
      </c>
      <c r="F344" t="inlineStr">
        <is>
          <t>JÖNKÖPINGS LÄN</t>
        </is>
      </c>
      <c r="G344" t="inlineStr">
        <is>
          <t>SÄVSJÖ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46232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46232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46232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46232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46232</v>
      </c>
      <c r="F349" t="inlineStr">
        <is>
          <t>JÖNKÖPINGS LÄN</t>
        </is>
      </c>
      <c r="G349" t="inlineStr">
        <is>
          <t>SÄVSJÖ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46232</v>
      </c>
      <c r="F350" t="inlineStr">
        <is>
          <t>JÖNKÖPINGS LÄN</t>
        </is>
      </c>
      <c r="G350" t="inlineStr">
        <is>
          <t>SÄVSJÖ</t>
        </is>
      </c>
      <c r="H350" t="inlineStr">
        <is>
          <t>Kyrkan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46232</v>
      </c>
      <c r="F351" t="inlineStr">
        <is>
          <t>JÖNKÖPINGS LÄN</t>
        </is>
      </c>
      <c r="G351" t="inlineStr">
        <is>
          <t>SÄVSJÖ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46232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46232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46232</v>
      </c>
      <c r="F354" t="inlineStr">
        <is>
          <t>JÖNKÖPINGS LÄN</t>
        </is>
      </c>
      <c r="G354" t="inlineStr">
        <is>
          <t>SÄVSJÖ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21788-2023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45066</v>
      </c>
      <c r="E355" s="1" t="n">
        <v>46232</v>
      </c>
      <c r="F355" t="inlineStr">
        <is>
          <t>JÖNKÖPINGS LÄN</t>
        </is>
      </c>
      <c r="G355" t="inlineStr">
        <is>
          <t>SÄVSJÖ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46184</v>
      </c>
      <c r="E356" s="1" t="n">
        <v>46232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46232</v>
      </c>
      <c r="F357" t="inlineStr">
        <is>
          <t>JÖNKÖPINGS LÄN</t>
        </is>
      </c>
      <c r="G357" t="inlineStr">
        <is>
          <t>SÄVSJÖ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46232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46232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31721-2026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46226</v>
      </c>
      <c r="E360" s="1" t="n">
        <v>46232</v>
      </c>
      <c r="F360" t="inlineStr">
        <is>
          <t>JÖNKÖPINGS LÄN</t>
        </is>
      </c>
      <c r="G360" t="inlineStr">
        <is>
          <t>SÄVSJÖ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46232</v>
      </c>
      <c r="F361" t="inlineStr">
        <is>
          <t>JÖNKÖPINGS LÄN</t>
        </is>
      </c>
      <c r="G361" t="inlineStr">
        <is>
          <t>SÄVSJÖ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46232</v>
      </c>
      <c r="F362" t="inlineStr">
        <is>
          <t>JÖNKÖPINGS LÄN</t>
        </is>
      </c>
      <c r="G362" t="inlineStr">
        <is>
          <t>SÄVSJÖ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45211</v>
      </c>
      <c r="E363" s="1" t="n">
        <v>46232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46232</v>
      </c>
      <c r="F364" t="inlineStr">
        <is>
          <t>JÖNKÖPINGS LÄN</t>
        </is>
      </c>
      <c r="G364" t="inlineStr">
        <is>
          <t>SÄVSJÖ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45223</v>
      </c>
      <c r="E365" s="1" t="n">
        <v>46232</v>
      </c>
      <c r="F365" t="inlineStr">
        <is>
          <t>JÖNKÖPINGS LÄN</t>
        </is>
      </c>
      <c r="G365" t="inlineStr">
        <is>
          <t>SÄVSJÖ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46232</v>
      </c>
      <c r="F366" t="inlineStr">
        <is>
          <t>JÖNKÖPINGS LÄN</t>
        </is>
      </c>
      <c r="G366" t="inlineStr">
        <is>
          <t>SÄVSJÖ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60805-2024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45644</v>
      </c>
      <c r="E367" s="1" t="n">
        <v>46232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45573</v>
      </c>
      <c r="E368" s="1" t="n">
        <v>46232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46232</v>
      </c>
      <c r="F369" t="inlineStr">
        <is>
          <t>JÖNKÖPINGS LÄN</t>
        </is>
      </c>
      <c r="G369" t="inlineStr">
        <is>
          <t>SÄVSJÖ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46232</v>
      </c>
      <c r="F370" t="inlineStr">
        <is>
          <t>JÖNKÖPINGS LÄN</t>
        </is>
      </c>
      <c r="G370" t="inlineStr">
        <is>
          <t>SÄVSJÖ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45725</v>
      </c>
      <c r="E371" s="1" t="n">
        <v>46232</v>
      </c>
      <c r="F371" t="inlineStr">
        <is>
          <t>JÖNKÖPINGS LÄN</t>
        </is>
      </c>
      <c r="G371" t="inlineStr">
        <is>
          <t>SÄVSJÖ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45412</v>
      </c>
      <c r="E372" s="1" t="n">
        <v>46232</v>
      </c>
      <c r="F372" t="inlineStr">
        <is>
          <t>JÖNKÖPINGS LÄN</t>
        </is>
      </c>
      <c r="G372" t="inlineStr">
        <is>
          <t>SÄVSJÖ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46232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46232</v>
      </c>
      <c r="F374" t="inlineStr">
        <is>
          <t>JÖNKÖPINGS LÄN</t>
        </is>
      </c>
      <c r="G374" t="inlineStr">
        <is>
          <t>SÄVSJÖ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45791</v>
      </c>
      <c r="E375" s="1" t="n">
        <v>46232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46232</v>
      </c>
      <c r="F376" t="inlineStr">
        <is>
          <t>JÖNKÖPINGS LÄN</t>
        </is>
      </c>
      <c r="G376" t="inlineStr">
        <is>
          <t>SÄVSJÖ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46232</v>
      </c>
      <c r="F377" t="inlineStr">
        <is>
          <t>JÖNKÖPINGS LÄN</t>
        </is>
      </c>
      <c r="G377" t="inlineStr">
        <is>
          <t>SÄVSJÖ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46232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46232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46232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46232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46232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46232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46232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46232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46232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46232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46232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46232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46232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46232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46232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46232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46232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46232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46232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46232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46232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46232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46232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46232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46232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46232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46232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46232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46232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46232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2026-07-29T01:54:57Z</dcterms:created>
  <dcterms:modified xmlns:dcterms="http://purl.org/dc/terms/" xmlns:xsi="http://www.w3.org/2001/XMLSchema-instance" xsi:type="dcterms:W3CDTF">2026-07-29T01:54:57Z</dcterms:modified>
</cp:coreProperties>
</file>