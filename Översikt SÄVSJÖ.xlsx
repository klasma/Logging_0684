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46297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46297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46297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46297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46297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46297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46297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46297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46297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46297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46297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46297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46297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46297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61556-2025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46001</v>
      </c>
      <c r="E17" s="1" t="n">
        <v>46297</v>
      </c>
      <c r="F17" t="inlineStr">
        <is>
          <t>JÖNKÖPINGS LÄN</t>
        </is>
      </c>
      <c r="G17" t="inlineStr">
        <is>
          <t>SÄVSJÖ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Törnskata</t>
        </is>
      </c>
      <c r="W17">
        <f>HYPERLINK("https://klasma.github.io/Logging_0684/artfynd/A 61556-2025 artfynd.xlsx", "A 61556-2025")</f>
        <v/>
      </c>
      <c r="X17">
        <f>HYPERLINK("https://klasma.github.io/Logging_0684/kartor/A 61556-2025 karta.png", "A 61556-2025")</f>
        <v/>
      </c>
      <c r="Y17">
        <f>HYPERLINK("https://klasma.github.io/Logging_0684/kartor_geotiff/A 61556-2025 georefererad karta.tif", "A 61556-2025")</f>
        <v/>
      </c>
      <c r="AA17">
        <f>HYPERLINK("https://klasma.github.io/Logging_0684/klagomål/A 61556-2025 FSC-klagomål.docx", "A 61556-2025")</f>
        <v/>
      </c>
      <c r="AB17">
        <f>HYPERLINK("https://klasma.github.io/Logging_0684/klagomålsmail/A 61556-2025 FSC-klagomål mail.docx", "A 61556-2025")</f>
        <v/>
      </c>
      <c r="AC17">
        <f>HYPERLINK("https://klasma.github.io/Logging_0684/tillsyn/A 61556-2025 tillsynsbegäran.docx", "A 61556-2025")</f>
        <v/>
      </c>
      <c r="AD17">
        <f>HYPERLINK("https://klasma.github.io/Logging_0684/tillsynsmail/A 61556-2025 tillsynsbegäran mail.docx", "A 61556-2025")</f>
        <v/>
      </c>
      <c r="AE17">
        <f>HYPERLINK("https://klasma.github.io/Logging_0684/fåglar/A 61556-2025 prioriterade fågelarter.docx", "A 61556-2025")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46297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46297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46297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46297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46297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46297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46297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46297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46297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46297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46297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46297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46297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46297</v>
      </c>
      <c r="F31" t="inlineStr">
        <is>
          <t>JÖNKÖPINGS LÄN</t>
        </is>
      </c>
      <c r="G31" t="inlineStr">
        <is>
          <t>SÄVSJÖ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46297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46297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46297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46297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46297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46297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55136-2022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46297</v>
      </c>
      <c r="F38" t="inlineStr">
        <is>
          <t>JÖNKÖPINGS LÄN</t>
        </is>
      </c>
      <c r="G38" t="inlineStr">
        <is>
          <t>SÄVSJÖ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46297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46297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46297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46297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46297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46297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46297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46297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46297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46297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46297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46297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46297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46297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46297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46297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46297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46297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46297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46297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46297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46297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46297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46297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46297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46297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46297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46297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46297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46297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46297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46297</v>
      </c>
      <c r="F70" t="inlineStr">
        <is>
          <t>JÖNKÖPINGS LÄN</t>
        </is>
      </c>
      <c r="G70" t="inlineStr">
        <is>
          <t>SÄVSJÖ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46297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46297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46297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46297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46297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46297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46297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46297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46297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46297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46297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46297</v>
      </c>
      <c r="F82" t="inlineStr">
        <is>
          <t>JÖNKÖPINGS LÄN</t>
        </is>
      </c>
      <c r="G82" t="inlineStr">
        <is>
          <t>SÄVSJÖ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46297</v>
      </c>
      <c r="F83" t="inlineStr">
        <is>
          <t>JÖNKÖPINGS LÄN</t>
        </is>
      </c>
      <c r="G83" t="inlineStr">
        <is>
          <t>SÄVSJÖ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46297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45881</v>
      </c>
      <c r="E85" s="1" t="n">
        <v>46297</v>
      </c>
      <c r="F85" t="inlineStr">
        <is>
          <t>JÖNKÖPINGS LÄN</t>
        </is>
      </c>
      <c r="G85" t="inlineStr">
        <is>
          <t>SÄVSJÖ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46297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46017</v>
      </c>
      <c r="E87" s="1" t="n">
        <v>46297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46297</v>
      </c>
      <c r="F88" t="inlineStr">
        <is>
          <t>JÖNKÖPINGS LÄN</t>
        </is>
      </c>
      <c r="G88" t="inlineStr">
        <is>
          <t>SÄVSJÖ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45611</v>
      </c>
      <c r="E89" s="1" t="n">
        <v>46297</v>
      </c>
      <c r="F89" t="inlineStr">
        <is>
          <t>JÖNKÖPINGS LÄN</t>
        </is>
      </c>
      <c r="G89" t="inlineStr">
        <is>
          <t>SÄVSJÖ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46297</v>
      </c>
      <c r="F90" t="inlineStr">
        <is>
          <t>JÖNKÖPINGS LÄN</t>
        </is>
      </c>
      <c r="G90" t="inlineStr">
        <is>
          <t>SÄVSJÖ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46297</v>
      </c>
      <c r="F91" t="inlineStr">
        <is>
          <t>JÖNKÖPINGS LÄN</t>
        </is>
      </c>
      <c r="G91" t="inlineStr">
        <is>
          <t>SÄVSJÖ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45244</v>
      </c>
      <c r="E92" s="1" t="n">
        <v>46297</v>
      </c>
      <c r="F92" t="inlineStr">
        <is>
          <t>JÖNKÖPINGS LÄN</t>
        </is>
      </c>
      <c r="G92" t="inlineStr">
        <is>
          <t>SÄVSJÖ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46297</v>
      </c>
      <c r="F93" t="inlineStr">
        <is>
          <t>JÖNKÖPINGS LÄN</t>
        </is>
      </c>
      <c r="G93" t="inlineStr">
        <is>
          <t>SÄVSJÖ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46297</v>
      </c>
      <c r="F94" t="inlineStr">
        <is>
          <t>JÖNKÖPINGS LÄN</t>
        </is>
      </c>
      <c r="G94" t="inlineStr">
        <is>
          <t>SÄVSJÖ</t>
        </is>
      </c>
      <c r="H94" t="inlineStr">
        <is>
          <t>Kyrkan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45110</v>
      </c>
      <c r="E95" s="1" t="n">
        <v>46297</v>
      </c>
      <c r="F95" t="inlineStr">
        <is>
          <t>JÖNKÖPINGS LÄN</t>
        </is>
      </c>
      <c r="G95" t="inlineStr">
        <is>
          <t>SÄVSJÖ</t>
        </is>
      </c>
      <c r="H95" t="inlineStr">
        <is>
          <t>Kommuner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45160</v>
      </c>
      <c r="E96" s="1" t="n">
        <v>46297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46297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46297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46297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38390-2024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46297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55258-2021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44475</v>
      </c>
      <c r="E101" s="1" t="n">
        <v>46297</v>
      </c>
      <c r="F101" t="inlineStr">
        <is>
          <t>JÖNKÖPINGS LÄN</t>
        </is>
      </c>
      <c r="G101" t="inlineStr">
        <is>
          <t>SÄVSJÖ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44951</v>
      </c>
      <c r="E102" s="1" t="n">
        <v>46297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44972</v>
      </c>
      <c r="E103" s="1" t="n">
        <v>46297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46297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46297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46297</v>
      </c>
      <c r="F106" t="inlineStr">
        <is>
          <t>JÖNKÖPINGS LÄN</t>
        </is>
      </c>
      <c r="G106" t="inlineStr">
        <is>
          <t>SÄVSJÖ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46297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46297</v>
      </c>
      <c r="F108" t="inlineStr">
        <is>
          <t>JÖNKÖPINGS LÄN</t>
        </is>
      </c>
      <c r="G108" t="inlineStr">
        <is>
          <t>SÄVSJÖ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46297</v>
      </c>
      <c r="F109" t="inlineStr">
        <is>
          <t>JÖNKÖPINGS LÄN</t>
        </is>
      </c>
      <c r="G109" t="inlineStr">
        <is>
          <t>SÄVSJÖ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46297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45727</v>
      </c>
      <c r="E111" s="1" t="n">
        <v>46297</v>
      </c>
      <c r="F111" t="inlineStr">
        <is>
          <t>JÖNKÖPINGS LÄN</t>
        </is>
      </c>
      <c r="G111" t="inlineStr">
        <is>
          <t>SÄVSJÖ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45534</v>
      </c>
      <c r="E112" s="1" t="n">
        <v>46297</v>
      </c>
      <c r="F112" t="inlineStr">
        <is>
          <t>JÖNKÖPINGS LÄN</t>
        </is>
      </c>
      <c r="G112" t="inlineStr">
        <is>
          <t>SÄVSJÖ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46297</v>
      </c>
      <c r="F113" t="inlineStr">
        <is>
          <t>JÖNKÖPINGS LÄN</t>
        </is>
      </c>
      <c r="G113" t="inlineStr">
        <is>
          <t>SÄVSJÖ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46297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46066</v>
      </c>
      <c r="E115" s="1" t="n">
        <v>46297</v>
      </c>
      <c r="F115" t="inlineStr">
        <is>
          <t>JÖNKÖPINGS LÄN</t>
        </is>
      </c>
      <c r="G115" t="inlineStr">
        <is>
          <t>SÄVSJÖ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8723-2026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46297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46297</v>
      </c>
      <c r="F117" t="inlineStr">
        <is>
          <t>JÖNKÖPINGS LÄN</t>
        </is>
      </c>
      <c r="G117" t="inlineStr">
        <is>
          <t>SÄVSJÖ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46297</v>
      </c>
      <c r="F118" t="inlineStr">
        <is>
          <t>JÖNKÖPINGS LÄN</t>
        </is>
      </c>
      <c r="G118" t="inlineStr">
        <is>
          <t>SÄVSJÖ</t>
        </is>
      </c>
      <c r="H118" t="inlineStr">
        <is>
          <t>Kyrkan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46297</v>
      </c>
      <c r="F119" t="inlineStr">
        <is>
          <t>JÖNKÖPINGS LÄN</t>
        </is>
      </c>
      <c r="G119" t="inlineStr">
        <is>
          <t>SÄVSJÖ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46297</v>
      </c>
      <c r="F120" t="inlineStr">
        <is>
          <t>JÖNKÖPINGS LÄN</t>
        </is>
      </c>
      <c r="G120" t="inlineStr">
        <is>
          <t>SÄVSJÖ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46297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46297</v>
      </c>
      <c r="F122" t="inlineStr">
        <is>
          <t>JÖNKÖPINGS LÄN</t>
        </is>
      </c>
      <c r="G122" t="inlineStr">
        <is>
          <t>SÄVSJÖ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45127</v>
      </c>
      <c r="E123" s="1" t="n">
        <v>46297</v>
      </c>
      <c r="F123" t="inlineStr">
        <is>
          <t>JÖNKÖPINGS LÄN</t>
        </is>
      </c>
      <c r="G123" t="inlineStr">
        <is>
          <t>SÄVSJÖ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46297</v>
      </c>
      <c r="F124" t="inlineStr">
        <is>
          <t>JÖNKÖPINGS LÄN</t>
        </is>
      </c>
      <c r="G124" t="inlineStr">
        <is>
          <t>SÄVSJÖ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44590</v>
      </c>
      <c r="E125" s="1" t="n">
        <v>46297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46297</v>
      </c>
      <c r="F126" t="inlineStr">
        <is>
          <t>JÖNKÖPINGS LÄN</t>
        </is>
      </c>
      <c r="G126" t="inlineStr">
        <is>
          <t>SÄVSJÖ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46297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45320</v>
      </c>
      <c r="E128" s="1" t="n">
        <v>46297</v>
      </c>
      <c r="F128" t="inlineStr">
        <is>
          <t>JÖNKÖPINGS LÄN</t>
        </is>
      </c>
      <c r="G128" t="inlineStr">
        <is>
          <t>SÄVSJÖ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46297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46297</v>
      </c>
      <c r="F130" t="inlineStr">
        <is>
          <t>JÖNKÖPINGS LÄN</t>
        </is>
      </c>
      <c r="G130" t="inlineStr">
        <is>
          <t>SÄVSJÖ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45209</v>
      </c>
      <c r="E131" s="1" t="n">
        <v>46297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46097</v>
      </c>
      <c r="E132" s="1" t="n">
        <v>46297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46297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46297</v>
      </c>
      <c r="F134" t="inlineStr">
        <is>
          <t>JÖNKÖPINGS LÄN</t>
        </is>
      </c>
      <c r="G134" t="inlineStr">
        <is>
          <t>SÄVSJÖ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45061</v>
      </c>
      <c r="E135" s="1" t="n">
        <v>46297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45037</v>
      </c>
      <c r="E136" s="1" t="n">
        <v>46297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45953</v>
      </c>
      <c r="E137" s="1" t="n">
        <v>46297</v>
      </c>
      <c r="F137" t="inlineStr">
        <is>
          <t>JÖNKÖPINGS LÄN</t>
        </is>
      </c>
      <c r="G137" t="inlineStr">
        <is>
          <t>SÄVSJÖ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46297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46297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46297</v>
      </c>
      <c r="F140" t="inlineStr">
        <is>
          <t>JÖNKÖPINGS LÄN</t>
        </is>
      </c>
      <c r="G140" t="inlineStr">
        <is>
          <t>SÄVSJÖ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46297</v>
      </c>
      <c r="F141" t="inlineStr">
        <is>
          <t>JÖNKÖPINGS LÄN</t>
        </is>
      </c>
      <c r="G141" t="inlineStr">
        <is>
          <t>SÄVSJÖ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46297</v>
      </c>
      <c r="F142" t="inlineStr">
        <is>
          <t>JÖNKÖPINGS LÄN</t>
        </is>
      </c>
      <c r="G142" t="inlineStr">
        <is>
          <t>SÄVSJÖ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46297</v>
      </c>
      <c r="F143" t="inlineStr">
        <is>
          <t>JÖNKÖPINGS LÄN</t>
        </is>
      </c>
      <c r="G143" t="inlineStr">
        <is>
          <t>SÄVSJÖ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46297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46297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46297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46297</v>
      </c>
      <c r="F147" t="inlineStr">
        <is>
          <t>JÖNKÖPINGS LÄN</t>
        </is>
      </c>
      <c r="G147" t="inlineStr">
        <is>
          <t>SÄVSJÖ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46297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46297</v>
      </c>
      <c r="F149" t="inlineStr">
        <is>
          <t>JÖNKÖPINGS LÄN</t>
        </is>
      </c>
      <c r="G149" t="inlineStr">
        <is>
          <t>SÄVSJÖ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34287-2024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46297</v>
      </c>
      <c r="F150" t="inlineStr">
        <is>
          <t>JÖNKÖPINGS LÄN</t>
        </is>
      </c>
      <c r="G150" t="inlineStr">
        <is>
          <t>SÄVSJÖ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54275-2025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45964</v>
      </c>
      <c r="E151" s="1" t="n">
        <v>46297</v>
      </c>
      <c r="F151" t="inlineStr">
        <is>
          <t>JÖNKÖPINGS LÄN</t>
        </is>
      </c>
      <c r="G151" t="inlineStr">
        <is>
          <t>SÄVSJÖ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46297</v>
      </c>
      <c r="F152" t="inlineStr">
        <is>
          <t>JÖNKÖPINGS LÄN</t>
        </is>
      </c>
      <c r="G152" t="inlineStr">
        <is>
          <t>SÄVSJÖ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46297</v>
      </c>
      <c r="F153" t="inlineStr">
        <is>
          <t>JÖNKÖPINGS LÄN</t>
        </is>
      </c>
      <c r="G153" t="inlineStr">
        <is>
          <t>SÄVSJÖ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46297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46297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46125</v>
      </c>
      <c r="E156" s="1" t="n">
        <v>46297</v>
      </c>
      <c r="F156" t="inlineStr">
        <is>
          <t>JÖNKÖPINGS LÄN</t>
        </is>
      </c>
      <c r="G156" t="inlineStr">
        <is>
          <t>SÄVSJÖ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18089-2026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46297</v>
      </c>
      <c r="F157" t="inlineStr">
        <is>
          <t>JÖNKÖPINGS LÄN</t>
        </is>
      </c>
      <c r="G157" t="inlineStr">
        <is>
          <t>SÄVSJÖ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46297</v>
      </c>
      <c r="F158" t="inlineStr">
        <is>
          <t>JÖNKÖPINGS LÄN</t>
        </is>
      </c>
      <c r="G158" t="inlineStr">
        <is>
          <t>SÄVSJÖ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46297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46297</v>
      </c>
      <c r="F160" t="inlineStr">
        <is>
          <t>JÖNKÖPINGS LÄN</t>
        </is>
      </c>
      <c r="G160" t="inlineStr">
        <is>
          <t>SÄVSJÖ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46297</v>
      </c>
      <c r="F161" t="inlineStr">
        <is>
          <t>JÖNKÖPINGS LÄN</t>
        </is>
      </c>
      <c r="G161" t="inlineStr">
        <is>
          <t>SÄVSJÖ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46297</v>
      </c>
      <c r="F162" t="inlineStr">
        <is>
          <t>JÖNKÖPINGS LÄN</t>
        </is>
      </c>
      <c r="G162" t="inlineStr">
        <is>
          <t>SÄVSJÖ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45106</v>
      </c>
      <c r="E163" s="1" t="n">
        <v>46297</v>
      </c>
      <c r="F163" t="inlineStr">
        <is>
          <t>JÖNKÖPINGS LÄN</t>
        </is>
      </c>
      <c r="G163" t="inlineStr">
        <is>
          <t>SÄVSJÖ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45623</v>
      </c>
      <c r="E164" s="1" t="n">
        <v>46297</v>
      </c>
      <c r="F164" t="inlineStr">
        <is>
          <t>JÖNKÖPINGS LÄN</t>
        </is>
      </c>
      <c r="G164" t="inlineStr">
        <is>
          <t>SÄVSJÖ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46297</v>
      </c>
      <c r="F165" t="inlineStr">
        <is>
          <t>JÖNKÖPINGS LÄN</t>
        </is>
      </c>
      <c r="G165" t="inlineStr">
        <is>
          <t>SÄVSJÖ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46297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46297</v>
      </c>
      <c r="F167" t="inlineStr">
        <is>
          <t>JÖNKÖPINGS LÄN</t>
        </is>
      </c>
      <c r="G167" t="inlineStr">
        <is>
          <t>SÄVSJÖ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46297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45671</v>
      </c>
      <c r="E169" s="1" t="n">
        <v>46297</v>
      </c>
      <c r="F169" t="inlineStr">
        <is>
          <t>JÖNKÖPINGS LÄN</t>
        </is>
      </c>
      <c r="G169" t="inlineStr">
        <is>
          <t>SÄVSJÖ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46297</v>
      </c>
      <c r="F170" t="inlineStr">
        <is>
          <t>JÖNKÖPINGS LÄN</t>
        </is>
      </c>
      <c r="G170" t="inlineStr">
        <is>
          <t>SÄVSJÖ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46297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45879</v>
      </c>
      <c r="E172" s="1" t="n">
        <v>46297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7285-2023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44970</v>
      </c>
      <c r="E173" s="1" t="n">
        <v>46297</v>
      </c>
      <c r="F173" t="inlineStr">
        <is>
          <t>JÖNKÖPINGS LÄN</t>
        </is>
      </c>
      <c r="G173" t="inlineStr">
        <is>
          <t>SÄVSJÖ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46297</v>
      </c>
      <c r="F174" t="inlineStr">
        <is>
          <t>JÖNKÖPINGS LÄN</t>
        </is>
      </c>
      <c r="G174" t="inlineStr">
        <is>
          <t>SÄVSJÖ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46297</v>
      </c>
      <c r="F175" t="inlineStr">
        <is>
          <t>JÖNKÖPINGS LÄN</t>
        </is>
      </c>
      <c r="G175" t="inlineStr">
        <is>
          <t>SÄVSJÖ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46297</v>
      </c>
      <c r="F176" t="inlineStr">
        <is>
          <t>JÖNKÖPINGS LÄN</t>
        </is>
      </c>
      <c r="G176" t="inlineStr">
        <is>
          <t>SÄVSJÖ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46297</v>
      </c>
      <c r="F177" t="inlineStr">
        <is>
          <t>JÖNKÖPINGS LÄN</t>
        </is>
      </c>
      <c r="G177" t="inlineStr">
        <is>
          <t>SÄVSJÖ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45993</v>
      </c>
      <c r="E178" s="1" t="n">
        <v>46297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46297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46297</v>
      </c>
      <c r="F180" t="inlineStr">
        <is>
          <t>JÖNKÖPINGS LÄN</t>
        </is>
      </c>
      <c r="G180" t="inlineStr">
        <is>
          <t>SÄVSJÖ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46297</v>
      </c>
      <c r="F181" t="inlineStr">
        <is>
          <t>JÖNKÖPINGS LÄN</t>
        </is>
      </c>
      <c r="G181" t="inlineStr">
        <is>
          <t>SÄVSJÖ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45634</v>
      </c>
      <c r="E182" s="1" t="n">
        <v>46297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46297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46297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62870-2025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46008</v>
      </c>
      <c r="E185" s="1" t="n">
        <v>46297</v>
      </c>
      <c r="F185" t="inlineStr">
        <is>
          <t>JÖNKÖPINGS LÄN</t>
        </is>
      </c>
      <c r="G185" t="inlineStr">
        <is>
          <t>SÄVSJÖ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45067</v>
      </c>
      <c r="E186" s="1" t="n">
        <v>46297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46297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31505-2025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46297</v>
      </c>
      <c r="F188" t="inlineStr">
        <is>
          <t>JÖNKÖPINGS LÄN</t>
        </is>
      </c>
      <c r="G188" t="inlineStr">
        <is>
          <t>SÄVSJÖ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46297</v>
      </c>
      <c r="F189" t="inlineStr">
        <is>
          <t>JÖNKÖPINGS LÄN</t>
        </is>
      </c>
      <c r="G189" t="inlineStr">
        <is>
          <t>SÄVSJÖ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46297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46297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46297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46297</v>
      </c>
      <c r="F193" t="inlineStr">
        <is>
          <t>JÖNKÖPINGS LÄN</t>
        </is>
      </c>
      <c r="G193" t="inlineStr">
        <is>
          <t>SÄVSJÖ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46297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45785</v>
      </c>
      <c r="E195" s="1" t="n">
        <v>46297</v>
      </c>
      <c r="F195" t="inlineStr">
        <is>
          <t>JÖNKÖPINGS LÄN</t>
        </is>
      </c>
      <c r="G195" t="inlineStr">
        <is>
          <t>SÄVSJÖ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46297</v>
      </c>
      <c r="F196" t="inlineStr">
        <is>
          <t>JÖNKÖPINGS LÄN</t>
        </is>
      </c>
      <c r="G196" t="inlineStr">
        <is>
          <t>SÄVSJÖ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46297</v>
      </c>
      <c r="F197" t="inlineStr">
        <is>
          <t>JÖNKÖPINGS LÄN</t>
        </is>
      </c>
      <c r="G197" t="inlineStr">
        <is>
          <t>SÄVSJÖ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46297</v>
      </c>
      <c r="F198" t="inlineStr">
        <is>
          <t>JÖNKÖPINGS LÄN</t>
        </is>
      </c>
      <c r="G198" t="inlineStr">
        <is>
          <t>SÄVSJÖ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46297</v>
      </c>
      <c r="F199" t="inlineStr">
        <is>
          <t>JÖNKÖPINGS LÄN</t>
        </is>
      </c>
      <c r="G199" t="inlineStr">
        <is>
          <t>SÄVSJÖ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45418</v>
      </c>
      <c r="E200" s="1" t="n">
        <v>46297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46297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46297</v>
      </c>
      <c r="F202" t="inlineStr">
        <is>
          <t>JÖNKÖPINGS LÄN</t>
        </is>
      </c>
      <c r="G202" t="inlineStr">
        <is>
          <t>SÄVSJÖ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54827-2021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44474</v>
      </c>
      <c r="E203" s="1" t="n">
        <v>46297</v>
      </c>
      <c r="F203" t="inlineStr">
        <is>
          <t>JÖNKÖPINGS LÄN</t>
        </is>
      </c>
      <c r="G203" t="inlineStr">
        <is>
          <t>SÄVSJÖ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30162-2023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45110</v>
      </c>
      <c r="E204" s="1" t="n">
        <v>46297</v>
      </c>
      <c r="F204" t="inlineStr">
        <is>
          <t>JÖNKÖPINGS LÄN</t>
        </is>
      </c>
      <c r="G204" t="inlineStr">
        <is>
          <t>SÄVSJÖ</t>
        </is>
      </c>
      <c r="H204" t="inlineStr">
        <is>
          <t>Kommuner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46297</v>
      </c>
      <c r="F205" t="inlineStr">
        <is>
          <t>JÖNKÖPINGS LÄN</t>
        </is>
      </c>
      <c r="G205" t="inlineStr">
        <is>
          <t>SÄVSJÖ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44957</v>
      </c>
      <c r="E206" s="1" t="n">
        <v>46297</v>
      </c>
      <c r="F206" t="inlineStr">
        <is>
          <t>JÖNKÖPINGS LÄN</t>
        </is>
      </c>
      <c r="G206" t="inlineStr">
        <is>
          <t>SÄVSJÖ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46297</v>
      </c>
      <c r="F207" t="inlineStr">
        <is>
          <t>JÖNKÖPINGS LÄN</t>
        </is>
      </c>
      <c r="G207" t="inlineStr">
        <is>
          <t>SÄVSJÖ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46297</v>
      </c>
      <c r="F208" t="inlineStr">
        <is>
          <t>JÖNKÖPINGS LÄN</t>
        </is>
      </c>
      <c r="G208" t="inlineStr">
        <is>
          <t>SÄVSJÖ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46297</v>
      </c>
      <c r="F209" t="inlineStr">
        <is>
          <t>JÖNKÖPINGS LÄN</t>
        </is>
      </c>
      <c r="G209" t="inlineStr">
        <is>
          <t>SÄVSJÖ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45079</v>
      </c>
      <c r="E210" s="1" t="n">
        <v>46297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50627-2022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44866</v>
      </c>
      <c r="E211" s="1" t="n">
        <v>46297</v>
      </c>
      <c r="F211" t="inlineStr">
        <is>
          <t>JÖNKÖPINGS LÄN</t>
        </is>
      </c>
      <c r="G211" t="inlineStr">
        <is>
          <t>SÄVSJÖ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45015</v>
      </c>
      <c r="E212" s="1" t="n">
        <v>46297</v>
      </c>
      <c r="F212" t="inlineStr">
        <is>
          <t>JÖNKÖPINGS LÄN</t>
        </is>
      </c>
      <c r="G212" t="inlineStr">
        <is>
          <t>SÄVSJÖ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46297</v>
      </c>
      <c r="F213" t="inlineStr">
        <is>
          <t>JÖNKÖPINGS LÄN</t>
        </is>
      </c>
      <c r="G213" t="inlineStr">
        <is>
          <t>SÄVSJÖ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46297</v>
      </c>
      <c r="F214" t="inlineStr">
        <is>
          <t>JÖNKÖPINGS LÄN</t>
        </is>
      </c>
      <c r="G214" t="inlineStr">
        <is>
          <t>SÄVSJÖ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45066</v>
      </c>
      <c r="E215" s="1" t="n">
        <v>46297</v>
      </c>
      <c r="F215" t="inlineStr">
        <is>
          <t>JÖNKÖPINGS LÄN</t>
        </is>
      </c>
      <c r="G215" t="inlineStr">
        <is>
          <t>SÄVSJÖ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45427</v>
      </c>
      <c r="E216" s="1" t="n">
        <v>46297</v>
      </c>
      <c r="F216" t="inlineStr">
        <is>
          <t>JÖNKÖPINGS LÄN</t>
        </is>
      </c>
      <c r="G216" t="inlineStr">
        <is>
          <t>SÄVSJÖ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45252</v>
      </c>
      <c r="E217" s="1" t="n">
        <v>46297</v>
      </c>
      <c r="F217" t="inlineStr">
        <is>
          <t>JÖNKÖPINGS LÄN</t>
        </is>
      </c>
      <c r="G217" t="inlineStr">
        <is>
          <t>SÄVSJÖ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46297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46297</v>
      </c>
      <c r="F219" t="inlineStr">
        <is>
          <t>JÖNKÖPINGS LÄN</t>
        </is>
      </c>
      <c r="G219" t="inlineStr">
        <is>
          <t>SÄVSJÖ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45094</v>
      </c>
      <c r="E220" s="1" t="n">
        <v>46297</v>
      </c>
      <c r="F220" t="inlineStr">
        <is>
          <t>JÖNKÖPINGS LÄN</t>
        </is>
      </c>
      <c r="G220" t="inlineStr">
        <is>
          <t>SÄVSJÖ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41391-2022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46297</v>
      </c>
      <c r="F221" t="inlineStr">
        <is>
          <t>JÖNKÖPINGS LÄN</t>
        </is>
      </c>
      <c r="G221" t="inlineStr">
        <is>
          <t>SÄVSJÖ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45094</v>
      </c>
      <c r="E222" s="1" t="n">
        <v>46297</v>
      </c>
      <c r="F222" t="inlineStr">
        <is>
          <t>JÖNKÖPINGS LÄN</t>
        </is>
      </c>
      <c r="G222" t="inlineStr">
        <is>
          <t>SÄVSJÖ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45104</v>
      </c>
      <c r="E223" s="1" t="n">
        <v>46297</v>
      </c>
      <c r="F223" t="inlineStr">
        <is>
          <t>JÖNKÖPINGS LÄN</t>
        </is>
      </c>
      <c r="G223" t="inlineStr">
        <is>
          <t>SÄVSJÖ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46297</v>
      </c>
      <c r="F224" t="inlineStr">
        <is>
          <t>JÖNKÖPINGS LÄN</t>
        </is>
      </c>
      <c r="G224" t="inlineStr">
        <is>
          <t>SÄVSJÖ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44510</v>
      </c>
      <c r="E225" s="1" t="n">
        <v>46297</v>
      </c>
      <c r="F225" t="inlineStr">
        <is>
          <t>JÖNKÖPINGS LÄN</t>
        </is>
      </c>
      <c r="G225" t="inlineStr">
        <is>
          <t>SÄVSJÖ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46297</v>
      </c>
      <c r="F226" t="inlineStr">
        <is>
          <t>JÖNKÖPINGS LÄN</t>
        </is>
      </c>
      <c r="G226" t="inlineStr">
        <is>
          <t>SÄVSJÖ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62961-2021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46297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46297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45267</v>
      </c>
      <c r="E229" s="1" t="n">
        <v>46297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46297</v>
      </c>
      <c r="F230" t="inlineStr">
        <is>
          <t>JÖNKÖPINGS LÄN</t>
        </is>
      </c>
      <c r="G230" t="inlineStr">
        <is>
          <t>SÄVSJÖ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46297</v>
      </c>
      <c r="F231" t="inlineStr">
        <is>
          <t>JÖNKÖPINGS LÄN</t>
        </is>
      </c>
      <c r="G231" t="inlineStr">
        <is>
          <t>SÄVSJÖ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46297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46297</v>
      </c>
      <c r="F233" t="inlineStr">
        <is>
          <t>JÖNKÖPINGS LÄN</t>
        </is>
      </c>
      <c r="G233" t="inlineStr">
        <is>
          <t>SÄVSJÖ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46297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46168</v>
      </c>
      <c r="E235" s="1" t="n">
        <v>46297</v>
      </c>
      <c r="F235" t="inlineStr">
        <is>
          <t>JÖNKÖPINGS LÄN</t>
        </is>
      </c>
      <c r="G235" t="inlineStr">
        <is>
          <t>SÄVSJÖ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23816-2026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46165</v>
      </c>
      <c r="E236" s="1" t="n">
        <v>46297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45607</v>
      </c>
      <c r="E237" s="1" t="n">
        <v>46297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46297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46297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46297</v>
      </c>
      <c r="F240" t="inlineStr">
        <is>
          <t>JÖNKÖPINGS LÄN</t>
        </is>
      </c>
      <c r="G240" t="inlineStr">
        <is>
          <t>SÄVSJÖ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45634</v>
      </c>
      <c r="E241" s="1" t="n">
        <v>46297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46297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46297</v>
      </c>
      <c r="F243" t="inlineStr">
        <is>
          <t>JÖNKÖPINGS LÄN</t>
        </is>
      </c>
      <c r="G243" t="inlineStr">
        <is>
          <t>SÄVSJÖ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46297</v>
      </c>
      <c r="F244" t="inlineStr">
        <is>
          <t>JÖNKÖPINGS LÄN</t>
        </is>
      </c>
      <c r="G244" t="inlineStr">
        <is>
          <t>SÄVSJÖ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46297</v>
      </c>
      <c r="F245" t="inlineStr">
        <is>
          <t>JÖNKÖPINGS LÄN</t>
        </is>
      </c>
      <c r="G245" t="inlineStr">
        <is>
          <t>SÄVSJÖ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55801-2021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44476</v>
      </c>
      <c r="E246" s="1" t="n">
        <v>46297</v>
      </c>
      <c r="F246" t="inlineStr">
        <is>
          <t>JÖNKÖPINGS LÄN</t>
        </is>
      </c>
      <c r="G246" t="inlineStr">
        <is>
          <t>SÄVSJÖ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45518</v>
      </c>
      <c r="E247" s="1" t="n">
        <v>46297</v>
      </c>
      <c r="F247" t="inlineStr">
        <is>
          <t>JÖNKÖPINGS LÄN</t>
        </is>
      </c>
      <c r="G247" t="inlineStr">
        <is>
          <t>SÄVSJÖ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46297</v>
      </c>
      <c r="F248" t="inlineStr">
        <is>
          <t>JÖNKÖPINGS LÄN</t>
        </is>
      </c>
      <c r="G248" t="inlineStr">
        <is>
          <t>SÄVSJÖ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46297</v>
      </c>
      <c r="F249" t="inlineStr">
        <is>
          <t>JÖNKÖPINGS LÄN</t>
        </is>
      </c>
      <c r="G249" t="inlineStr">
        <is>
          <t>SÄVSJÖ</t>
        </is>
      </c>
      <c r="H249" t="inlineStr">
        <is>
          <t>Övriga Aktiebolag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46297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46297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46297</v>
      </c>
      <c r="F252" t="inlineStr">
        <is>
          <t>JÖNKÖPINGS LÄN</t>
        </is>
      </c>
      <c r="G252" t="inlineStr">
        <is>
          <t>SÄVSJÖ</t>
        </is>
      </c>
      <c r="H252" t="inlineStr">
        <is>
          <t>Kyrkan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46297</v>
      </c>
      <c r="F253" t="inlineStr">
        <is>
          <t>JÖNKÖPINGS LÄN</t>
        </is>
      </c>
      <c r="G253" t="inlineStr">
        <is>
          <t>SÄVSJÖ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46297</v>
      </c>
      <c r="F254" t="inlineStr">
        <is>
          <t>JÖNKÖPINGS LÄN</t>
        </is>
      </c>
      <c r="G254" t="inlineStr">
        <is>
          <t>SÄVSJÖ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46297</v>
      </c>
      <c r="F255" t="inlineStr">
        <is>
          <t>JÖNKÖPINGS LÄN</t>
        </is>
      </c>
      <c r="G255" t="inlineStr">
        <is>
          <t>SÄVSJÖ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46297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46297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46297</v>
      </c>
      <c r="F258" t="inlineStr">
        <is>
          <t>JÖNKÖPINGS LÄN</t>
        </is>
      </c>
      <c r="G258" t="inlineStr">
        <is>
          <t>SÄVSJÖ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46297</v>
      </c>
      <c r="F259" t="inlineStr">
        <is>
          <t>JÖNKÖPINGS LÄN</t>
        </is>
      </c>
      <c r="G259" t="inlineStr">
        <is>
          <t>SÄVSJÖ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46297</v>
      </c>
      <c r="F260" t="inlineStr">
        <is>
          <t>JÖNKÖPINGS LÄN</t>
        </is>
      </c>
      <c r="G260" t="inlineStr">
        <is>
          <t>SÄVSJÖ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45084</v>
      </c>
      <c r="E261" s="1" t="n">
        <v>46297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44610</v>
      </c>
      <c r="E262" s="1" t="n">
        <v>46297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50564-2024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46297</v>
      </c>
      <c r="F263" t="inlineStr">
        <is>
          <t>JÖNKÖPINGS LÄN</t>
        </is>
      </c>
      <c r="G263" t="inlineStr">
        <is>
          <t>SÄVSJÖ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46297</v>
      </c>
      <c r="F264" t="inlineStr">
        <is>
          <t>JÖNKÖPINGS LÄN</t>
        </is>
      </c>
      <c r="G264" t="inlineStr">
        <is>
          <t>SÄVSJÖ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46297</v>
      </c>
      <c r="F265" t="inlineStr">
        <is>
          <t>JÖNKÖPINGS LÄN</t>
        </is>
      </c>
      <c r="G265" t="inlineStr">
        <is>
          <t>SÄVSJÖ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46297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46297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46297</v>
      </c>
      <c r="F268" t="inlineStr">
        <is>
          <t>JÖNKÖPINGS LÄN</t>
        </is>
      </c>
      <c r="G268" t="inlineStr">
        <is>
          <t>SÄVSJÖ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46297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46297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46297</v>
      </c>
      <c r="F271" t="inlineStr">
        <is>
          <t>JÖNKÖPINGS LÄN</t>
        </is>
      </c>
      <c r="G271" t="inlineStr">
        <is>
          <t>SÄVSJÖ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46297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46297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46297</v>
      </c>
      <c r="F274" t="inlineStr">
        <is>
          <t>JÖNKÖPINGS LÄN</t>
        </is>
      </c>
      <c r="G274" t="inlineStr">
        <is>
          <t>SÄVSJÖ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45211</v>
      </c>
      <c r="E275" s="1" t="n">
        <v>46297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46297</v>
      </c>
      <c r="F276" t="inlineStr">
        <is>
          <t>JÖNKÖPINGS LÄN</t>
        </is>
      </c>
      <c r="G276" t="inlineStr">
        <is>
          <t>SÄVSJÖ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46297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39730-2023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46297</v>
      </c>
      <c r="F278" t="inlineStr">
        <is>
          <t>JÖNKÖPINGS LÄN</t>
        </is>
      </c>
      <c r="G278" t="inlineStr">
        <is>
          <t>SÄVSJÖ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45704</v>
      </c>
      <c r="E279" s="1" t="n">
        <v>46297</v>
      </c>
      <c r="F279" t="inlineStr">
        <is>
          <t>JÖNKÖPINGS LÄN</t>
        </is>
      </c>
      <c r="G279" t="inlineStr">
        <is>
          <t>SÄVSJÖ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44656</v>
      </c>
      <c r="E280" s="1" t="n">
        <v>46297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46297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46297</v>
      </c>
      <c r="F282" t="inlineStr">
        <is>
          <t>JÖNKÖPINGS LÄN</t>
        </is>
      </c>
      <c r="G282" t="inlineStr">
        <is>
          <t>SÄVSJÖ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46297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46297</v>
      </c>
      <c r="F284" t="inlineStr">
        <is>
          <t>JÖNKÖPINGS LÄN</t>
        </is>
      </c>
      <c r="G284" t="inlineStr">
        <is>
          <t>SÄVSJÖ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46297</v>
      </c>
      <c r="F285" t="inlineStr">
        <is>
          <t>JÖNKÖPINGS LÄN</t>
        </is>
      </c>
      <c r="G285" t="inlineStr">
        <is>
          <t>SÄVSJÖ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44651</v>
      </c>
      <c r="E286" s="1" t="n">
        <v>46297</v>
      </c>
      <c r="F286" t="inlineStr">
        <is>
          <t>JÖNKÖPINGS LÄN</t>
        </is>
      </c>
      <c r="G286" t="inlineStr">
        <is>
          <t>SÄVSJÖ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46297</v>
      </c>
      <c r="F287" t="inlineStr">
        <is>
          <t>JÖNKÖPINGS LÄN</t>
        </is>
      </c>
      <c r="G287" t="inlineStr">
        <is>
          <t>SÄVSJÖ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45226</v>
      </c>
      <c r="E288" s="1" t="n">
        <v>46297</v>
      </c>
      <c r="F288" t="inlineStr">
        <is>
          <t>JÖNKÖPINGS LÄN</t>
        </is>
      </c>
      <c r="G288" t="inlineStr">
        <is>
          <t>SÄVSJÖ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46297</v>
      </c>
      <c r="F289" t="inlineStr">
        <is>
          <t>JÖNKÖPINGS LÄN</t>
        </is>
      </c>
      <c r="G289" t="inlineStr">
        <is>
          <t>SÄVSJÖ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46297</v>
      </c>
      <c r="F290" t="inlineStr">
        <is>
          <t>JÖNKÖPINGS LÄN</t>
        </is>
      </c>
      <c r="G290" t="inlineStr">
        <is>
          <t>SÄVSJÖ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45315</v>
      </c>
      <c r="E291" s="1" t="n">
        <v>46297</v>
      </c>
      <c r="F291" t="inlineStr">
        <is>
          <t>JÖNKÖPINGS LÄN</t>
        </is>
      </c>
      <c r="G291" t="inlineStr">
        <is>
          <t>SÄVSJÖ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46260</v>
      </c>
      <c r="E292" s="1" t="n">
        <v>46297</v>
      </c>
      <c r="F292" t="inlineStr">
        <is>
          <t>JÖNKÖPINGS LÄN</t>
        </is>
      </c>
      <c r="G292" t="inlineStr">
        <is>
          <t>SÄVSJÖ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35211-2026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46260</v>
      </c>
      <c r="E293" s="1" t="n">
        <v>46297</v>
      </c>
      <c r="F293" t="inlineStr">
        <is>
          <t>JÖNKÖPINGS LÄN</t>
        </is>
      </c>
      <c r="G293" t="inlineStr">
        <is>
          <t>SÄVSJÖ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46297</v>
      </c>
      <c r="F294" t="inlineStr">
        <is>
          <t>JÖNKÖPINGS LÄN</t>
        </is>
      </c>
      <c r="G294" t="inlineStr">
        <is>
          <t>SÄVSJÖ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46297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46297</v>
      </c>
      <c r="F296" t="inlineStr">
        <is>
          <t>JÖNKÖPINGS LÄN</t>
        </is>
      </c>
      <c r="G296" t="inlineStr">
        <is>
          <t>SÄVSJÖ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46266</v>
      </c>
      <c r="E297" s="1" t="n">
        <v>46297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46266</v>
      </c>
      <c r="E298" s="1" t="n">
        <v>46297</v>
      </c>
      <c r="F298" t="inlineStr">
        <is>
          <t>JÖNKÖPINGS LÄN</t>
        </is>
      </c>
      <c r="G298" t="inlineStr">
        <is>
          <t>SÄVSJÖ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46266</v>
      </c>
      <c r="E299" s="1" t="n">
        <v>46297</v>
      </c>
      <c r="F299" t="inlineStr">
        <is>
          <t>JÖNKÖPINGS LÄN</t>
        </is>
      </c>
      <c r="G299" t="inlineStr">
        <is>
          <t>SÄVSJÖ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46297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46297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31721-2026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46226</v>
      </c>
      <c r="E302" s="1" t="n">
        <v>46297</v>
      </c>
      <c r="F302" t="inlineStr">
        <is>
          <t>JÖNKÖPINGS LÄN</t>
        </is>
      </c>
      <c r="G302" t="inlineStr">
        <is>
          <t>SÄVSJÖ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46297</v>
      </c>
      <c r="F303" t="inlineStr">
        <is>
          <t>JÖNKÖPINGS LÄN</t>
        </is>
      </c>
      <c r="G303" t="inlineStr">
        <is>
          <t>SÄVSJÖ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45301</v>
      </c>
      <c r="E304" s="1" t="n">
        <v>46297</v>
      </c>
      <c r="F304" t="inlineStr">
        <is>
          <t>JÖNKÖPINGS LÄN</t>
        </is>
      </c>
      <c r="G304" t="inlineStr">
        <is>
          <t>SÄVSJÖ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45275</v>
      </c>
      <c r="E305" s="1" t="n">
        <v>46297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46297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45252</v>
      </c>
      <c r="E307" s="1" t="n">
        <v>46297</v>
      </c>
      <c r="F307" t="inlineStr">
        <is>
          <t>JÖNKÖPINGS LÄN</t>
        </is>
      </c>
      <c r="G307" t="inlineStr">
        <is>
          <t>SÄVSJÖ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46274</v>
      </c>
      <c r="E308" s="1" t="n">
        <v>46297</v>
      </c>
      <c r="F308" t="inlineStr">
        <is>
          <t>JÖNKÖPINGS LÄN</t>
        </is>
      </c>
      <c r="G308" t="inlineStr">
        <is>
          <t>SÄVSJÖ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37079-2026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46273</v>
      </c>
      <c r="E309" s="1" t="n">
        <v>46297</v>
      </c>
      <c r="F309" t="inlineStr">
        <is>
          <t>JÖNKÖPINGS LÄN</t>
        </is>
      </c>
      <c r="G309" t="inlineStr">
        <is>
          <t>SÄVSJÖ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38914-2024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45547</v>
      </c>
      <c r="E310" s="1" t="n">
        <v>46297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46297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46297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46297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46297</v>
      </c>
      <c r="F314" t="inlineStr">
        <is>
          <t>JÖNKÖPINGS LÄN</t>
        </is>
      </c>
      <c r="G314" t="inlineStr">
        <is>
          <t>SÄVSJÖ</t>
        </is>
      </c>
      <c r="H314" t="inlineStr">
        <is>
          <t>Kommuner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46297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46276</v>
      </c>
      <c r="E316" s="1" t="n">
        <v>46297</v>
      </c>
      <c r="F316" t="inlineStr">
        <is>
          <t>JÖNKÖPINGS LÄN</t>
        </is>
      </c>
      <c r="G316" t="inlineStr">
        <is>
          <t>SÄVSJÖ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46297</v>
      </c>
      <c r="F317" t="inlineStr">
        <is>
          <t>JÖNKÖPINGS LÄN</t>
        </is>
      </c>
      <c r="G317" t="inlineStr">
        <is>
          <t>SÄVSJÖ</t>
        </is>
      </c>
      <c r="H317" t="inlineStr">
        <is>
          <t>Sveaskog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46297</v>
      </c>
      <c r="F318" t="inlineStr">
        <is>
          <t>JÖNKÖPINGS LÄN</t>
        </is>
      </c>
      <c r="G318" t="inlineStr">
        <is>
          <t>SÄVSJÖ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46297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46297</v>
      </c>
      <c r="F320" t="inlineStr">
        <is>
          <t>JÖNKÖPINGS LÄN</t>
        </is>
      </c>
      <c r="G320" t="inlineStr">
        <is>
          <t>SÄVSJÖ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46286</v>
      </c>
      <c r="E321" s="1" t="n">
        <v>46297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46297</v>
      </c>
      <c r="F322" t="inlineStr">
        <is>
          <t>JÖNKÖPINGS LÄN</t>
        </is>
      </c>
      <c r="G322" t="inlineStr">
        <is>
          <t>SÄVSJÖ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38771-2026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46286</v>
      </c>
      <c r="E323" s="1" t="n">
        <v>46297</v>
      </c>
      <c r="F323" t="inlineStr">
        <is>
          <t>JÖNKÖPINGS LÄN</t>
        </is>
      </c>
      <c r="G323" t="inlineStr">
        <is>
          <t>SÄVSJÖ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62421-2023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45268</v>
      </c>
      <c r="E324" s="1" t="n">
        <v>46297</v>
      </c>
      <c r="F324" t="inlineStr">
        <is>
          <t>JÖNKÖPINGS LÄN</t>
        </is>
      </c>
      <c r="G324" t="inlineStr">
        <is>
          <t>SÄVSJÖ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46297</v>
      </c>
      <c r="F325" t="inlineStr">
        <is>
          <t>JÖNKÖPINGS LÄN</t>
        </is>
      </c>
      <c r="G325" t="inlineStr">
        <is>
          <t>SÄVSJÖ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46297</v>
      </c>
      <c r="F326" t="inlineStr">
        <is>
          <t>JÖNKÖPINGS LÄN</t>
        </is>
      </c>
      <c r="G326" t="inlineStr">
        <is>
          <t>SÄVSJÖ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46272</v>
      </c>
      <c r="E327" s="1" t="n">
        <v>46297</v>
      </c>
      <c r="F327" t="inlineStr">
        <is>
          <t>JÖNKÖPINGS LÄN</t>
        </is>
      </c>
      <c r="G327" t="inlineStr">
        <is>
          <t>SÄVSJÖ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49292-2023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45210</v>
      </c>
      <c r="E328" s="1" t="n">
        <v>46297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46297</v>
      </c>
      <c r="F329" t="inlineStr">
        <is>
          <t>JÖNKÖPINGS LÄN</t>
        </is>
      </c>
      <c r="G329" t="inlineStr">
        <is>
          <t>SÄVSJÖ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45419</v>
      </c>
      <c r="E330" s="1" t="n">
        <v>46297</v>
      </c>
      <c r="F330" t="inlineStr">
        <is>
          <t>JÖNKÖPINGS LÄN</t>
        </is>
      </c>
      <c r="G330" t="inlineStr">
        <is>
          <t>SÄVSJÖ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46297</v>
      </c>
      <c r="F331" t="inlineStr">
        <is>
          <t>JÖNKÖPINGS LÄN</t>
        </is>
      </c>
      <c r="G331" t="inlineStr">
        <is>
          <t>SÄVSJÖ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46297</v>
      </c>
      <c r="F332" t="inlineStr">
        <is>
          <t>JÖNKÖPINGS LÄN</t>
        </is>
      </c>
      <c r="G332" t="inlineStr">
        <is>
          <t>SÄVSJÖ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46297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46297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45053</v>
      </c>
      <c r="E335" s="1" t="n">
        <v>46297</v>
      </c>
      <c r="F335" t="inlineStr">
        <is>
          <t>JÖNKÖPINGS LÄN</t>
        </is>
      </c>
      <c r="G335" t="inlineStr">
        <is>
          <t>SÄVSJÖ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45317</v>
      </c>
      <c r="E336" s="1" t="n">
        <v>46297</v>
      </c>
      <c r="F336" t="inlineStr">
        <is>
          <t>JÖNKÖPINGS LÄN</t>
        </is>
      </c>
      <c r="G336" t="inlineStr">
        <is>
          <t>SÄVSJÖ</t>
        </is>
      </c>
      <c r="I336" t="n">
        <v>19.9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46297</v>
      </c>
      <c r="F337" t="inlineStr">
        <is>
          <t>JÖNKÖPINGS LÄN</t>
        </is>
      </c>
      <c r="G337" t="inlineStr">
        <is>
          <t>SÄVSJÖ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46297</v>
      </c>
      <c r="F338" t="inlineStr">
        <is>
          <t>JÖNKÖPINGS LÄN</t>
        </is>
      </c>
      <c r="G338" t="inlineStr">
        <is>
          <t>SÄVSJÖ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46293</v>
      </c>
      <c r="E339" s="1" t="n">
        <v>46297</v>
      </c>
      <c r="F339" t="inlineStr">
        <is>
          <t>JÖNKÖPINGS LÄN</t>
        </is>
      </c>
      <c r="G339" t="inlineStr">
        <is>
          <t>SÄVSJÖ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46297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45771</v>
      </c>
      <c r="E341" s="1" t="n">
        <v>46297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46297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46297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49708-2023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45212</v>
      </c>
      <c r="E344" s="1" t="n">
        <v>46297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45764</v>
      </c>
      <c r="E345" s="1" t="n">
        <v>46297</v>
      </c>
      <c r="F345" t="inlineStr">
        <is>
          <t>JÖNKÖPINGS LÄN</t>
        </is>
      </c>
      <c r="G345" t="inlineStr">
        <is>
          <t>SÄVSJÖ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46251</v>
      </c>
      <c r="E346" s="1" t="n">
        <v>46297</v>
      </c>
      <c r="F346" t="inlineStr">
        <is>
          <t>JÖNKÖPINGS LÄN</t>
        </is>
      </c>
      <c r="G346" t="inlineStr">
        <is>
          <t>SÄVSJÖ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46297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45315</v>
      </c>
      <c r="E348" s="1" t="n">
        <v>46297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46294</v>
      </c>
      <c r="E349" s="1" t="n">
        <v>46297</v>
      </c>
      <c r="F349" t="inlineStr">
        <is>
          <t>JÖNKÖPINGS LÄN</t>
        </is>
      </c>
      <c r="G349" t="inlineStr">
        <is>
          <t>SÄVSJÖ</t>
        </is>
      </c>
      <c r="H349" t="inlineStr">
        <is>
          <t>Kyrkan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46295</v>
      </c>
      <c r="E350" s="1" t="n">
        <v>46297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45102</v>
      </c>
      <c r="E351" s="1" t="n">
        <v>46297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50629-2022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44866</v>
      </c>
      <c r="E352" s="1" t="n">
        <v>46297</v>
      </c>
      <c r="F352" t="inlineStr">
        <is>
          <t>JÖNKÖPINGS LÄN</t>
        </is>
      </c>
      <c r="G352" t="inlineStr">
        <is>
          <t>SÄVSJÖ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46296</v>
      </c>
      <c r="E353" s="1" t="n">
        <v>46297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44664</v>
      </c>
      <c r="E354" s="1" t="n">
        <v>46297</v>
      </c>
      <c r="F354" t="inlineStr">
        <is>
          <t>JÖNKÖPINGS LÄN</t>
        </is>
      </c>
      <c r="G354" t="inlineStr">
        <is>
          <t>SÄVSJÖ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12807-2022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44642</v>
      </c>
      <c r="E355" s="1" t="n">
        <v>46297</v>
      </c>
      <c r="F355" t="inlineStr">
        <is>
          <t>JÖNKÖPINGS LÄN</t>
        </is>
      </c>
      <c r="G355" t="inlineStr">
        <is>
          <t>SÄVSJÖ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45228</v>
      </c>
      <c r="E356" s="1" t="n">
        <v>46297</v>
      </c>
      <c r="F356" t="inlineStr">
        <is>
          <t>JÖNKÖPINGS LÄN</t>
        </is>
      </c>
      <c r="G356" t="inlineStr">
        <is>
          <t>SÄVSJÖ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46297</v>
      </c>
      <c r="F357" t="inlineStr">
        <is>
          <t>JÖNKÖPINGS LÄN</t>
        </is>
      </c>
      <c r="G357" t="inlineStr">
        <is>
          <t>SÄVSJÖ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46297</v>
      </c>
      <c r="F358" t="inlineStr">
        <is>
          <t>JÖNKÖPINGS LÄN</t>
        </is>
      </c>
      <c r="G358" t="inlineStr">
        <is>
          <t>SÄVSJÖ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46294</v>
      </c>
      <c r="E359" s="1" t="n">
        <v>46297</v>
      </c>
      <c r="F359" t="inlineStr">
        <is>
          <t>JÖNKÖPINGS LÄN</t>
        </is>
      </c>
      <c r="G359" t="inlineStr">
        <is>
          <t>SÄVSJÖ</t>
        </is>
      </c>
      <c r="H359" t="inlineStr">
        <is>
          <t>Kyrkan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46297</v>
      </c>
      <c r="F360" t="inlineStr">
        <is>
          <t>JÖNKÖPINGS LÄN</t>
        </is>
      </c>
      <c r="G360" t="inlineStr">
        <is>
          <t>SÄVSJÖ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46297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45094</v>
      </c>
      <c r="E362" s="1" t="n">
        <v>46297</v>
      </c>
      <c r="F362" t="inlineStr">
        <is>
          <t>JÖNKÖPINGS LÄN</t>
        </is>
      </c>
      <c r="G362" t="inlineStr">
        <is>
          <t>SÄVSJÖ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46297</v>
      </c>
      <c r="F363" t="inlineStr">
        <is>
          <t>JÖNKÖPINGS LÄN</t>
        </is>
      </c>
      <c r="G363" t="inlineStr">
        <is>
          <t>SÄVSJÖ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44935</v>
      </c>
      <c r="E364" s="1" t="n">
        <v>46297</v>
      </c>
      <c r="F364" t="inlineStr">
        <is>
          <t>JÖNKÖPINGS LÄN</t>
        </is>
      </c>
      <c r="G364" t="inlineStr">
        <is>
          <t>SÄVSJÖ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6649-2024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46297</v>
      </c>
      <c r="F365" t="inlineStr">
        <is>
          <t>JÖNKÖPINGS LÄN</t>
        </is>
      </c>
      <c r="G365" t="inlineStr">
        <is>
          <t>SÄVSJÖ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45334</v>
      </c>
      <c r="E366" s="1" t="n">
        <v>46297</v>
      </c>
      <c r="F366" t="inlineStr">
        <is>
          <t>JÖNKÖPINGS LÄN</t>
        </is>
      </c>
      <c r="G366" t="inlineStr">
        <is>
          <t>SÄVSJÖ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46297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46297</v>
      </c>
      <c r="F368" t="inlineStr">
        <is>
          <t>JÖNKÖPINGS LÄN</t>
        </is>
      </c>
      <c r="G368" t="inlineStr">
        <is>
          <t>SÄVSJÖ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46297</v>
      </c>
      <c r="F369" t="inlineStr">
        <is>
          <t>JÖNKÖPINGS LÄN</t>
        </is>
      </c>
      <c r="G369" t="inlineStr">
        <is>
          <t>SÄVSJÖ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46297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46297</v>
      </c>
      <c r="F371" t="inlineStr">
        <is>
          <t>JÖNKÖPINGS LÄN</t>
        </is>
      </c>
      <c r="G371" t="inlineStr">
        <is>
          <t>SÄVSJÖ</t>
        </is>
      </c>
      <c r="H371" t="inlineStr">
        <is>
          <t>Kyrkan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46297</v>
      </c>
      <c r="F372" t="inlineStr">
        <is>
          <t>JÖNKÖPINGS LÄN</t>
        </is>
      </c>
      <c r="G372" t="inlineStr">
        <is>
          <t>SÄVSJÖ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45253</v>
      </c>
      <c r="E373" s="1" t="n">
        <v>46297</v>
      </c>
      <c r="F373" t="inlineStr">
        <is>
          <t>JÖNKÖPINGS LÄN</t>
        </is>
      </c>
      <c r="G373" t="inlineStr">
        <is>
          <t>SÄVSJÖ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46297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7917-2024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45350</v>
      </c>
      <c r="E375" s="1" t="n">
        <v>46297</v>
      </c>
      <c r="F375" t="inlineStr">
        <is>
          <t>JÖNKÖPINGS LÄN</t>
        </is>
      </c>
      <c r="G375" t="inlineStr">
        <is>
          <t>SÄVSJÖ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45694</v>
      </c>
      <c r="E376" s="1" t="n">
        <v>46297</v>
      </c>
      <c r="F376" t="inlineStr">
        <is>
          <t>JÖNKÖPINGS LÄN</t>
        </is>
      </c>
      <c r="G376" t="inlineStr">
        <is>
          <t>SÄVSJÖ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46297</v>
      </c>
      <c r="F377" t="inlineStr">
        <is>
          <t>JÖNKÖPINGS LÄN</t>
        </is>
      </c>
      <c r="G377" t="inlineStr">
        <is>
          <t>SÄVSJÖ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46297</v>
      </c>
      <c r="F378" t="inlineStr">
        <is>
          <t>JÖNKÖPINGS LÄN</t>
        </is>
      </c>
      <c r="G378" t="inlineStr">
        <is>
          <t>SÄVSJÖ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46297</v>
      </c>
      <c r="F379" t="inlineStr">
        <is>
          <t>JÖNKÖPINGS LÄN</t>
        </is>
      </c>
      <c r="G379" t="inlineStr">
        <is>
          <t>SÄVSJÖ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46297</v>
      </c>
      <c r="F380" t="inlineStr">
        <is>
          <t>JÖNKÖPINGS LÄN</t>
        </is>
      </c>
      <c r="G380" t="inlineStr">
        <is>
          <t>SÄVSJÖ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45412</v>
      </c>
      <c r="E381" s="1" t="n">
        <v>46297</v>
      </c>
      <c r="F381" t="inlineStr">
        <is>
          <t>JÖNKÖPINGS LÄN</t>
        </is>
      </c>
      <c r="G381" t="inlineStr">
        <is>
          <t>SÄVSJÖ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45725</v>
      </c>
      <c r="E382" s="1" t="n">
        <v>46297</v>
      </c>
      <c r="F382" t="inlineStr">
        <is>
          <t>JÖNKÖPINGS LÄN</t>
        </is>
      </c>
      <c r="G382" t="inlineStr">
        <is>
          <t>SÄVSJÖ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22733-2024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45448</v>
      </c>
      <c r="E383" s="1" t="n">
        <v>46297</v>
      </c>
      <c r="F383" t="inlineStr">
        <is>
          <t>JÖNKÖPINGS LÄN</t>
        </is>
      </c>
      <c r="G383" t="inlineStr">
        <is>
          <t>SÄVSJÖ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44397-2024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45573</v>
      </c>
      <c r="E384" s="1" t="n">
        <v>46297</v>
      </c>
      <c r="F384" t="inlineStr">
        <is>
          <t>JÖNKÖPINGS LÄN</t>
        </is>
      </c>
      <c r="G384" t="inlineStr">
        <is>
          <t>SÄVSJÖ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60805-2024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45644</v>
      </c>
      <c r="E385" s="1" t="n">
        <v>46297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17308-2024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46297</v>
      </c>
      <c r="F386" t="inlineStr">
        <is>
          <t>JÖNKÖPINGS LÄN</t>
        </is>
      </c>
      <c r="G386" t="inlineStr">
        <is>
          <t>SÄVSJÖ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46297</v>
      </c>
      <c r="F387" t="inlineStr">
        <is>
          <t>JÖNKÖPINGS LÄN</t>
        </is>
      </c>
      <c r="G387" t="inlineStr">
        <is>
          <t>SÄVSJÖ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10445-2021</t>
        </is>
      </c>
      <c r="B388" t="inlineStr">
        <is>
          <t>samrådsanmälan</t>
        </is>
      </c>
      <c r="C388" t="inlineStr">
        <is>
          <t>Skogsbilväg</t>
        </is>
      </c>
      <c r="D388" s="1" t="n">
        <v>44558</v>
      </c>
      <c r="E388" s="1" t="n">
        <v>46297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6558-2022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44882</v>
      </c>
      <c r="E389" s="1" t="n">
        <v>46297</v>
      </c>
      <c r="F389" t="inlineStr">
        <is>
          <t>JÖNKÖPINGS LÄN</t>
        </is>
      </c>
      <c r="G389" t="inlineStr">
        <is>
          <t>SÄVSJÖ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2542-2023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45139</v>
      </c>
      <c r="E390" s="1" t="n">
        <v>46297</v>
      </c>
      <c r="F390" t="inlineStr">
        <is>
          <t>JÖNKÖPINGS LÄN</t>
        </is>
      </c>
      <c r="G390" t="inlineStr">
        <is>
          <t>SÄVSJÖ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1675-2023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46297</v>
      </c>
      <c r="F391" t="inlineStr">
        <is>
          <t>JÖNKÖPINGS LÄN</t>
        </is>
      </c>
      <c r="G391" t="inlineStr">
        <is>
          <t>SÄVSJÖ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45063</v>
      </c>
      <c r="E392" s="1" t="n">
        <v>46297</v>
      </c>
      <c r="F392" t="inlineStr">
        <is>
          <t>JÖNKÖPINGS LÄN</t>
        </is>
      </c>
      <c r="G392" t="inlineStr">
        <is>
          <t>SÄVSJÖ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2964-2023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45173</v>
      </c>
      <c r="E393" s="1" t="n">
        <v>46297</v>
      </c>
      <c r="F393" t="inlineStr">
        <is>
          <t>JÖNKÖPINGS LÄN</t>
        </is>
      </c>
      <c r="G393" t="inlineStr">
        <is>
          <t>SÄVSJÖ</t>
        </is>
      </c>
      <c r="I393" t="n">
        <v>54.6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2661-2023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45152</v>
      </c>
      <c r="E394" s="1" t="n">
        <v>46297</v>
      </c>
      <c r="F394" t="inlineStr">
        <is>
          <t>JÖNKÖPINGS LÄN</t>
        </is>
      </c>
      <c r="G394" t="inlineStr">
        <is>
          <t>SÄVSJÖ</t>
        </is>
      </c>
      <c r="I394" t="n">
        <v>21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46297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46297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46297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46297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46297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46297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46297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46297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46297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46297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46297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46297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46297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46297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46297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46297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46297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46297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46297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46297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46297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46297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46297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2026-10-02T02:06:24Z</dcterms:created>
  <dcterms:modified xmlns:dcterms="http://purl.org/dc/terms/" xmlns:xsi="http://www.w3.org/2001/XMLSchema-instance" xsi:type="dcterms:W3CDTF">2026-10-02T02:06:24Z</dcterms:modified>
</cp:coreProperties>
</file>