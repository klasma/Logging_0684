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46248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46248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46248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46248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46248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46248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46248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46248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46248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46248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46248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46248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51095-2023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45218</v>
      </c>
      <c r="E14" s="1" t="n">
        <v>46248</v>
      </c>
      <c r="F14" t="inlineStr">
        <is>
          <t>JÖNKÖPINGS LÄN</t>
        </is>
      </c>
      <c r="G14" t="inlineStr">
        <is>
          <t>SÄVSJÖ</t>
        </is>
      </c>
      <c r="I14" t="n">
        <v>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Korallrot</t>
        </is>
      </c>
      <c r="W14">
        <f>HYPERLINK("https://klasma.github.io/Logging_0684/artfynd/A 51095-2023 artfynd.xlsx", "A 51095-2023")</f>
        <v/>
      </c>
      <c r="X14">
        <f>HYPERLINK("https://klasma.github.io/Logging_0684/kartor/A 51095-2023 karta.png", "A 51095-2023")</f>
        <v/>
      </c>
      <c r="Y14">
        <f>HYPERLINK("https://klasma.github.io/Logging_0684/kartor_geotiff/A 51095-2023 georefererad karta.tif", "A 51095-2023")</f>
        <v/>
      </c>
      <c r="AA14">
        <f>HYPERLINK("https://klasma.github.io/Logging_0684/klagomål/A 51095-2023 FSC-klagomål.docx", "A 51095-2023")</f>
        <v/>
      </c>
      <c r="AB14">
        <f>HYPERLINK("https://klasma.github.io/Logging_0684/klagomålsmail/A 51095-2023 FSC-klagomål mail.docx", "A 51095-2023")</f>
        <v/>
      </c>
      <c r="AC14">
        <f>HYPERLINK("https://klasma.github.io/Logging_0684/tillsyn/A 51095-2023 tillsynsbegäran.docx", "A 51095-2023")</f>
        <v/>
      </c>
      <c r="AD14">
        <f>HYPERLINK("https://klasma.github.io/Logging_0684/tillsynsmail/A 51095-2023 tillsynsbegäran mail.docx", "A 51095-2023")</f>
        <v/>
      </c>
    </row>
    <row r="15" ht="15" customHeight="1">
      <c r="A15" t="inlineStr">
        <is>
          <t>A 39632-2025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45890</v>
      </c>
      <c r="E15" s="1" t="n">
        <v>46248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Bredgentiana</t>
        </is>
      </c>
      <c r="W15">
        <f>HYPERLINK("https://klasma.github.io/Logging_0684/artfynd/A 39632-2025 artfynd.xlsx", "A 39632-2025")</f>
        <v/>
      </c>
      <c r="X15">
        <f>HYPERLINK("https://klasma.github.io/Logging_0684/kartor/A 39632-2025 karta.png", "A 39632-2025")</f>
        <v/>
      </c>
      <c r="Y15">
        <f>HYPERLINK("https://klasma.github.io/Logging_0684/kartor_geotiff/A 39632-2025 georefererad karta.tif", "A 39632-2025")</f>
        <v/>
      </c>
      <c r="AA15">
        <f>HYPERLINK("https://klasma.github.io/Logging_0684/klagomål/A 39632-2025 FSC-klagomål.docx", "A 39632-2025")</f>
        <v/>
      </c>
      <c r="AB15">
        <f>HYPERLINK("https://klasma.github.io/Logging_0684/klagomålsmail/A 39632-2025 FSC-klagomål mail.docx", "A 39632-2025")</f>
        <v/>
      </c>
      <c r="AC15">
        <f>HYPERLINK("https://klasma.github.io/Logging_0684/tillsyn/A 39632-2025 tillsynsbegäran.docx", "A 39632-2025")</f>
        <v/>
      </c>
      <c r="AD15">
        <f>HYPERLINK("https://klasma.github.io/Logging_0684/tillsynsmail/A 39632-2025 tillsynsbegäran mail.docx", "A 39632-2025")</f>
        <v/>
      </c>
    </row>
    <row r="16" ht="15" customHeight="1">
      <c r="A16" t="inlineStr">
        <is>
          <t>A 10046-2025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45719</v>
      </c>
      <c r="E16" s="1" t="n">
        <v>46248</v>
      </c>
      <c r="F16" t="inlineStr">
        <is>
          <t>JÖNKÖPINGS LÄN</t>
        </is>
      </c>
      <c r="G16" t="inlineStr">
        <is>
          <t>SÄVSJÖ</t>
        </is>
      </c>
      <c r="I16" t="n">
        <v>8.6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Blåsippa</t>
        </is>
      </c>
      <c r="W16">
        <f>HYPERLINK("https://klasma.github.io/Logging_0684/artfynd/A 10046-2025 artfynd.xlsx", "A 10046-2025")</f>
        <v/>
      </c>
      <c r="X16">
        <f>HYPERLINK("https://klasma.github.io/Logging_0684/kartor/A 10046-2025 karta.png", "A 10046-2025")</f>
        <v/>
      </c>
      <c r="Y16">
        <f>HYPERLINK("https://klasma.github.io/Logging_0684/kartor_geotiff/A 10046-2025 georefererad karta.tif", "A 10046-2025")</f>
        <v/>
      </c>
      <c r="AA16">
        <f>HYPERLINK("https://klasma.github.io/Logging_0684/klagomål/A 10046-2025 FSC-klagomål.docx", "A 10046-2025")</f>
        <v/>
      </c>
      <c r="AB16">
        <f>HYPERLINK("https://klasma.github.io/Logging_0684/klagomålsmail/A 10046-2025 FSC-klagomål mail.docx", "A 10046-2025")</f>
        <v/>
      </c>
      <c r="AC16">
        <f>HYPERLINK("https://klasma.github.io/Logging_0684/tillsyn/A 10046-2025 tillsynsbegäran.docx", "A 10046-2025")</f>
        <v/>
      </c>
      <c r="AD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45722</v>
      </c>
      <c r="E17" s="1" t="n">
        <v>46248</v>
      </c>
      <c r="F17" t="inlineStr">
        <is>
          <t>JÖNKÖPINGS LÄN</t>
        </is>
      </c>
      <c r="G17" t="inlineStr">
        <is>
          <t>SÄVSJÖ</t>
        </is>
      </c>
      <c r="I17" t="n">
        <v>10.1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Solvända</t>
        </is>
      </c>
      <c r="W17">
        <f>HYPERLINK("https://klasma.github.io/Logging_0684/artfynd/A 10775-2025 artfynd.xlsx", "A 10775-2025")</f>
        <v/>
      </c>
      <c r="X17">
        <f>HYPERLINK("https://klasma.github.io/Logging_0684/kartor/A 10775-2025 karta.png", "A 10775-2025")</f>
        <v/>
      </c>
      <c r="Y17">
        <f>HYPERLINK("https://klasma.github.io/Logging_0684/kartor_geotiff/A 10775-2025 georefererad karta.tif", "A 10775-2025")</f>
        <v/>
      </c>
      <c r="AA17">
        <f>HYPERLINK("https://klasma.github.io/Logging_0684/klagomål/A 10775-2025 FSC-klagomål.docx", "A 10775-2025")</f>
        <v/>
      </c>
      <c r="AB17">
        <f>HYPERLINK("https://klasma.github.io/Logging_0684/klagomålsmail/A 10775-2025 FSC-klagomål mail.docx", "A 10775-2025")</f>
        <v/>
      </c>
      <c r="AC17">
        <f>HYPERLINK("https://klasma.github.io/Logging_0684/tillsyn/A 10775-2025 tillsynsbegäran.docx", "A 10775-2025")</f>
        <v/>
      </c>
      <c r="AD17">
        <f>HYPERLINK("https://klasma.github.io/Logging_0684/tillsynsmail/A 10775-2025 tillsynsbegäran mail.docx", "A 10775-2025")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46248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46248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46248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Lungrot</t>
        </is>
      </c>
      <c r="W20">
        <f>HYPERLINK("https://klasma.github.io/Logging_0684/artfynd/A 34214-2025 artfynd.xlsx", "A 34214-2025")</f>
        <v/>
      </c>
      <c r="X20">
        <f>HYPERLINK("https://klasma.github.io/Logging_0684/kartor/A 34214-2025 karta.png", "A 34214-2025")</f>
        <v/>
      </c>
      <c r="Y20">
        <f>HYPERLINK("https://klasma.github.io/Logging_0684/kartor_geotiff/A 34214-2025 georefererad karta.tif", "A 34214-2025")</f>
        <v/>
      </c>
      <c r="AA20">
        <f>HYPERLINK("https://klasma.github.io/Logging_0684/klagomål/A 34214-2025 FSC-klagomål.docx", "A 34214-2025")</f>
        <v/>
      </c>
      <c r="AB20">
        <f>HYPERLINK("https://klasma.github.io/Logging_0684/klagomålsmail/A 34214-2025 FSC-klagomål mail.docx", "A 34214-2025")</f>
        <v/>
      </c>
      <c r="AC20">
        <f>HYPERLINK("https://klasma.github.io/Logging_0684/tillsyn/A 34214-2025 tillsynsbegäran.docx", "A 34214-2025")</f>
        <v/>
      </c>
      <c r="AD20">
        <f>HYPERLINK("https://klasma.github.io/Logging_0684/tillsynsmail/A 34214-2025 tillsynsbegäran mail.docx", "A 34214-2025")</f>
        <v/>
      </c>
    </row>
    <row r="21" ht="15" customHeight="1">
      <c r="A21" t="inlineStr">
        <is>
          <t>S 689-2026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46091</v>
      </c>
      <c r="E21" s="1" t="n">
        <v>46248</v>
      </c>
      <c r="F21" t="inlineStr">
        <is>
          <t>JÖNKÖPINGS LÄN</t>
        </is>
      </c>
      <c r="G21" t="inlineStr">
        <is>
          <t>SÄVSJÖ</t>
        </is>
      </c>
      <c r="I21" t="n">
        <v>21.4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HYPERLINK("https://klasma.github.io/Logging_0684/artfynd/S 689-2026 artfynd.xlsx", "S 689-2026")</f>
        <v/>
      </c>
      <c r="X21">
        <f>HYPERLINK("https://klasma.github.io/Logging_0684/kartor/S 689-2026 karta.png", "S 689-2026")</f>
        <v/>
      </c>
      <c r="Y21">
        <f>HYPERLINK("https://klasma.github.io/Logging_0684/kartor_geotiff/S 689-2026 georefererad karta.tif", "S 689-2026")</f>
        <v/>
      </c>
      <c r="AA21">
        <f>HYPERLINK("https://klasma.github.io/Logging_0684/klagomål/S 689-2026 FSC-klagomål.docx", "S 689-2026")</f>
        <v/>
      </c>
      <c r="AB21">
        <f>HYPERLINK("https://klasma.github.io/Logging_0684/klagomålsmail/S 689-2026 FSC-klagomål mail.docx", "S 689-2026")</f>
        <v/>
      </c>
      <c r="AC21">
        <f>HYPERLINK("https://klasma.github.io/Logging_0684/tillsyn/S 689-2026 tillsynsbegäran.docx", "S 689-2026")</f>
        <v/>
      </c>
      <c r="AD21">
        <f>HYPERLINK("https://klasma.github.io/Logging_0684/tillsynsmail/S 689-2026 tillsynsbegäran mail.docx", "S 689-2026")</f>
        <v/>
      </c>
    </row>
    <row r="22" ht="15" customHeight="1">
      <c r="A22" t="inlineStr">
        <is>
          <t>A 49668-2022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46248</v>
      </c>
      <c r="F22" t="inlineStr">
        <is>
          <t>JÖNKÖPINGS LÄN</t>
        </is>
      </c>
      <c r="G22" t="inlineStr">
        <is>
          <t>SÄVSJÖ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46248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69990-2021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44533</v>
      </c>
      <c r="E24" s="1" t="n">
        <v>46248</v>
      </c>
      <c r="F24" t="inlineStr">
        <is>
          <t>JÖNKÖPINGS LÄN</t>
        </is>
      </c>
      <c r="G24" t="inlineStr">
        <is>
          <t>SÄVSJÖ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46248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44805</v>
      </c>
      <c r="E26" s="1" t="n">
        <v>46248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46248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47957-2022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44855</v>
      </c>
      <c r="E28" s="1" t="n">
        <v>46248</v>
      </c>
      <c r="F28" t="inlineStr">
        <is>
          <t>JÖNKÖPINGS LÄN</t>
        </is>
      </c>
      <c r="G28" t="inlineStr">
        <is>
          <t>SÄVSJÖ</t>
        </is>
      </c>
      <c r="H28" t="inlineStr">
        <is>
          <t>Sveaskog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43618-2021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46248</v>
      </c>
      <c r="F29" t="inlineStr">
        <is>
          <t>JÖNKÖPINGS LÄN</t>
        </is>
      </c>
      <c r="G29" t="inlineStr">
        <is>
          <t>SÄVSJÖ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46248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46248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46248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46248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46248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46248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46248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46248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45155-2022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44844</v>
      </c>
      <c r="E38" s="1" t="n">
        <v>46248</v>
      </c>
      <c r="F38" t="inlineStr">
        <is>
          <t>JÖNKÖPINGS LÄN</t>
        </is>
      </c>
      <c r="G38" t="inlineStr">
        <is>
          <t>SÄVSJÖ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44852</v>
      </c>
      <c r="E39" s="1" t="n">
        <v>46248</v>
      </c>
      <c r="F39" t="inlineStr">
        <is>
          <t>JÖNKÖPINGS LÄN</t>
        </is>
      </c>
      <c r="G39" t="inlineStr">
        <is>
          <t>SÄVSJÖ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46248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46248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46248</v>
      </c>
      <c r="F42" t="inlineStr">
        <is>
          <t>JÖNKÖPINGS LÄN</t>
        </is>
      </c>
      <c r="G42" t="inlineStr">
        <is>
          <t>SÄVSJÖ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46248</v>
      </c>
      <c r="F43" t="inlineStr">
        <is>
          <t>JÖNKÖPINGS LÄN</t>
        </is>
      </c>
      <c r="G43" t="inlineStr">
        <is>
          <t>SÄVSJÖ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44857</v>
      </c>
      <c r="E44" s="1" t="n">
        <v>46248</v>
      </c>
      <c r="F44" t="inlineStr">
        <is>
          <t>JÖNKÖPINGS LÄN</t>
        </is>
      </c>
      <c r="G44" t="inlineStr">
        <is>
          <t>SÄVSJÖ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46248</v>
      </c>
      <c r="F45" t="inlineStr">
        <is>
          <t>JÖNKÖPINGS LÄN</t>
        </is>
      </c>
      <c r="G45" t="inlineStr">
        <is>
          <t>SÄVSJÖ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46248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46248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44433</v>
      </c>
      <c r="E48" s="1" t="n">
        <v>46248</v>
      </c>
      <c r="F48" t="inlineStr">
        <is>
          <t>JÖNKÖPINGS LÄN</t>
        </is>
      </c>
      <c r="G48" t="inlineStr">
        <is>
          <t>SÄVSJÖ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46248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46248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44853</v>
      </c>
      <c r="E51" s="1" t="n">
        <v>46248</v>
      </c>
      <c r="F51" t="inlineStr">
        <is>
          <t>JÖNKÖPINGS LÄN</t>
        </is>
      </c>
      <c r="G51" t="inlineStr">
        <is>
          <t>SÄVSJÖ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44791</v>
      </c>
      <c r="E52" s="1" t="n">
        <v>46248</v>
      </c>
      <c r="F52" t="inlineStr">
        <is>
          <t>JÖNKÖPINGS LÄN</t>
        </is>
      </c>
      <c r="G52" t="inlineStr">
        <is>
          <t>SÄVSJÖ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44448</v>
      </c>
      <c r="E53" s="1" t="n">
        <v>46248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44468</v>
      </c>
      <c r="E54" s="1" t="n">
        <v>46248</v>
      </c>
      <c r="F54" t="inlineStr">
        <is>
          <t>JÖNKÖPINGS LÄN</t>
        </is>
      </c>
      <c r="G54" t="inlineStr">
        <is>
          <t>SÄVSJÖ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44789</v>
      </c>
      <c r="E55" s="1" t="n">
        <v>46248</v>
      </c>
      <c r="F55" t="inlineStr">
        <is>
          <t>JÖNKÖPINGS LÄN</t>
        </is>
      </c>
      <c r="G55" t="inlineStr">
        <is>
          <t>SÄVSJÖ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46248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46248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15816-2022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46248</v>
      </c>
      <c r="F58" t="inlineStr">
        <is>
          <t>JÖNKÖPINGS LÄN</t>
        </is>
      </c>
      <c r="G58" t="inlineStr">
        <is>
          <t>SÄVSJÖ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46248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46248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46248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44662</v>
      </c>
      <c r="E62" s="1" t="n">
        <v>46248</v>
      </c>
      <c r="F62" t="inlineStr">
        <is>
          <t>JÖNKÖPINGS LÄN</t>
        </is>
      </c>
      <c r="G62" t="inlineStr">
        <is>
          <t>SÄVSJÖ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46248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46248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44664</v>
      </c>
      <c r="E65" s="1" t="n">
        <v>46248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46248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46248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46248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46248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46248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45086</v>
      </c>
      <c r="E71" s="1" t="n">
        <v>46248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46248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46248</v>
      </c>
      <c r="F73" t="inlineStr">
        <is>
          <t>JÖNKÖPINGS LÄN</t>
        </is>
      </c>
      <c r="G73" t="inlineStr">
        <is>
          <t>SÄVSJÖ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44929</v>
      </c>
      <c r="E74" s="1" t="n">
        <v>46248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46248</v>
      </c>
      <c r="F75" t="inlineStr">
        <is>
          <t>JÖNKÖPINGS LÄN</t>
        </is>
      </c>
      <c r="G75" t="inlineStr">
        <is>
          <t>SÄVSJÖ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45546</v>
      </c>
      <c r="E76" s="1" t="n">
        <v>46248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46248</v>
      </c>
      <c r="F77" t="inlineStr">
        <is>
          <t>JÖNKÖPINGS LÄN</t>
        </is>
      </c>
      <c r="G77" t="inlineStr">
        <is>
          <t>SÄVSJÖ</t>
        </is>
      </c>
      <c r="H77" t="inlineStr">
        <is>
          <t>Sveaskog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46248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46248</v>
      </c>
      <c r="F79" t="inlineStr">
        <is>
          <t>JÖNKÖPINGS LÄN</t>
        </is>
      </c>
      <c r="G79" t="inlineStr">
        <is>
          <t>SÄVSJÖ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50627-2022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44866</v>
      </c>
      <c r="E80" s="1" t="n">
        <v>46248</v>
      </c>
      <c r="F80" t="inlineStr">
        <is>
          <t>JÖNKÖPINGS LÄN</t>
        </is>
      </c>
      <c r="G80" t="inlineStr">
        <is>
          <t>SÄVSJÖ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44642</v>
      </c>
      <c r="E81" s="1" t="n">
        <v>46248</v>
      </c>
      <c r="F81" t="inlineStr">
        <is>
          <t>JÖNKÖPINGS LÄN</t>
        </is>
      </c>
      <c r="G81" t="inlineStr">
        <is>
          <t>SÄVSJÖ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45084</v>
      </c>
      <c r="E82" s="1" t="n">
        <v>46248</v>
      </c>
      <c r="F82" t="inlineStr">
        <is>
          <t>JÖNKÖPINGS LÄN</t>
        </is>
      </c>
      <c r="G82" t="inlineStr">
        <is>
          <t>SÄVSJÖ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46248</v>
      </c>
      <c r="F83" t="inlineStr">
        <is>
          <t>JÖNKÖPINGS LÄN</t>
        </is>
      </c>
      <c r="G83" t="inlineStr">
        <is>
          <t>SÄVSJÖ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46248</v>
      </c>
      <c r="F84" t="inlineStr">
        <is>
          <t>JÖNKÖPINGS LÄN</t>
        </is>
      </c>
      <c r="G84" t="inlineStr">
        <is>
          <t>SÄVSJÖ</t>
        </is>
      </c>
      <c r="H84" t="inlineStr">
        <is>
          <t>Kyrkan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46248</v>
      </c>
      <c r="F85" t="inlineStr">
        <is>
          <t>JÖNKÖPINGS LÄN</t>
        </is>
      </c>
      <c r="G85" t="inlineStr">
        <is>
          <t>SÄVSJÖ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46248</v>
      </c>
      <c r="F86" t="inlineStr">
        <is>
          <t>JÖNKÖPINGS LÄN</t>
        </is>
      </c>
      <c r="G86" t="inlineStr">
        <is>
          <t>SÄVSJÖ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46248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34287-2024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46248</v>
      </c>
      <c r="F88" t="inlineStr">
        <is>
          <t>JÖNKÖPINGS LÄN</t>
        </is>
      </c>
      <c r="G88" t="inlineStr">
        <is>
          <t>SÄVSJÖ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46248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46248</v>
      </c>
      <c r="F90" t="inlineStr">
        <is>
          <t>JÖNKÖPINGS LÄN</t>
        </is>
      </c>
      <c r="G90" t="inlineStr">
        <is>
          <t>SÄVSJÖ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45601</v>
      </c>
      <c r="E91" s="1" t="n">
        <v>46248</v>
      </c>
      <c r="F91" t="inlineStr">
        <is>
          <t>JÖNKÖPINGS LÄN</t>
        </is>
      </c>
      <c r="G91" t="inlineStr">
        <is>
          <t>SÄVSJÖ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46248</v>
      </c>
      <c r="F92" t="inlineStr">
        <is>
          <t>JÖNKÖPINGS LÄN</t>
        </is>
      </c>
      <c r="G92" t="inlineStr">
        <is>
          <t>SÄVSJÖ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46248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46248</v>
      </c>
      <c r="F94" t="inlineStr">
        <is>
          <t>JÖNKÖPINGS LÄN</t>
        </is>
      </c>
      <c r="G94" t="inlineStr">
        <is>
          <t>SÄVSJÖ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46248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45320</v>
      </c>
      <c r="E96" s="1" t="n">
        <v>46248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46307-2021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44442</v>
      </c>
      <c r="E97" s="1" t="n">
        <v>46248</v>
      </c>
      <c r="F97" t="inlineStr">
        <is>
          <t>JÖNKÖPINGS LÄN</t>
        </is>
      </c>
      <c r="G97" t="inlineStr">
        <is>
          <t>SÄVSJÖ</t>
        </is>
      </c>
      <c r="H97" t="inlineStr">
        <is>
          <t>Kommuner</t>
        </is>
      </c>
      <c r="I97" t="n">
        <v>25.6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46248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46248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45469</v>
      </c>
      <c r="E100" s="1" t="n">
        <v>46248</v>
      </c>
      <c r="F100" t="inlineStr">
        <is>
          <t>JÖNKÖPINGS LÄN</t>
        </is>
      </c>
      <c r="G100" t="inlineStr">
        <is>
          <t>SÄVSJÖ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46248</v>
      </c>
      <c r="F101" t="inlineStr">
        <is>
          <t>JÖNKÖPINGS LÄN</t>
        </is>
      </c>
      <c r="G101" t="inlineStr">
        <is>
          <t>SÄVSJÖ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46248</v>
      </c>
      <c r="F102" t="inlineStr">
        <is>
          <t>JÖNKÖPINGS LÄN</t>
        </is>
      </c>
      <c r="G102" t="inlineStr">
        <is>
          <t>SÄVSJÖ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45634</v>
      </c>
      <c r="E103" s="1" t="n">
        <v>46248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46248</v>
      </c>
      <c r="F104" t="inlineStr">
        <is>
          <t>JÖNKÖPINGS LÄN</t>
        </is>
      </c>
      <c r="G104" t="inlineStr">
        <is>
          <t>SÄVSJÖ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45433</v>
      </c>
      <c r="E105" s="1" t="n">
        <v>46248</v>
      </c>
      <c r="F105" t="inlineStr">
        <is>
          <t>JÖNKÖPINGS LÄN</t>
        </is>
      </c>
      <c r="G105" t="inlineStr">
        <is>
          <t>SÄVSJÖ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44789</v>
      </c>
      <c r="E106" s="1" t="n">
        <v>46248</v>
      </c>
      <c r="F106" t="inlineStr">
        <is>
          <t>JÖNKÖPINGS LÄN</t>
        </is>
      </c>
      <c r="G106" t="inlineStr">
        <is>
          <t>SÄVSJÖ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46248</v>
      </c>
      <c r="F107" t="inlineStr">
        <is>
          <t>JÖNKÖPINGS LÄN</t>
        </is>
      </c>
      <c r="G107" t="inlineStr">
        <is>
          <t>SÄVSJÖ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45534</v>
      </c>
      <c r="E108" s="1" t="n">
        <v>46248</v>
      </c>
      <c r="F108" t="inlineStr">
        <is>
          <t>JÖNKÖPINGS LÄN</t>
        </is>
      </c>
      <c r="G108" t="inlineStr">
        <is>
          <t>SÄVSJÖ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45053</v>
      </c>
      <c r="E109" s="1" t="n">
        <v>46248</v>
      </c>
      <c r="F109" t="inlineStr">
        <is>
          <t>JÖNKÖPINGS LÄN</t>
        </is>
      </c>
      <c r="G109" t="inlineStr">
        <is>
          <t>SÄVSJÖ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46248</v>
      </c>
      <c r="F110" t="inlineStr">
        <is>
          <t>JÖNKÖPINGS LÄN</t>
        </is>
      </c>
      <c r="G110" t="inlineStr">
        <is>
          <t>SÄVSJÖ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46248</v>
      </c>
      <c r="F111" t="inlineStr">
        <is>
          <t>JÖNKÖPINGS LÄN</t>
        </is>
      </c>
      <c r="G111" t="inlineStr">
        <is>
          <t>SÄVSJÖ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46248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46248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46248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7917-2024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45350</v>
      </c>
      <c r="E115" s="1" t="n">
        <v>46248</v>
      </c>
      <c r="F115" t="inlineStr">
        <is>
          <t>JÖNKÖPINGS LÄN</t>
        </is>
      </c>
      <c r="G115" t="inlineStr">
        <is>
          <t>SÄVSJÖ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45593</v>
      </c>
      <c r="E116" s="1" t="n">
        <v>46248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44988</v>
      </c>
      <c r="E117" s="1" t="n">
        <v>46248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46248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45001</v>
      </c>
      <c r="E119" s="1" t="n">
        <v>46248</v>
      </c>
      <c r="F119" t="inlineStr">
        <is>
          <t>JÖNKÖPINGS LÄN</t>
        </is>
      </c>
      <c r="G119" t="inlineStr">
        <is>
          <t>SÄVSJÖ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46248</v>
      </c>
      <c r="F120" t="inlineStr">
        <is>
          <t>JÖNKÖPINGS LÄN</t>
        </is>
      </c>
      <c r="G120" t="inlineStr">
        <is>
          <t>SÄVSJÖ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46248</v>
      </c>
      <c r="F121" t="inlineStr">
        <is>
          <t>JÖNKÖPINGS LÄN</t>
        </is>
      </c>
      <c r="G121" t="inlineStr">
        <is>
          <t>SÄVSJÖ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45315</v>
      </c>
      <c r="E122" s="1" t="n">
        <v>46248</v>
      </c>
      <c r="F122" t="inlineStr">
        <is>
          <t>JÖNKÖPINGS LÄN</t>
        </is>
      </c>
      <c r="G122" t="inlineStr">
        <is>
          <t>SÄVSJÖ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46248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45015</v>
      </c>
      <c r="E124" s="1" t="n">
        <v>46248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45411</v>
      </c>
      <c r="E125" s="1" t="n">
        <v>46248</v>
      </c>
      <c r="F125" t="inlineStr">
        <is>
          <t>JÖNKÖPINGS LÄN</t>
        </is>
      </c>
      <c r="G125" t="inlineStr">
        <is>
          <t>SÄVSJÖ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46248</v>
      </c>
      <c r="F126" t="inlineStr">
        <is>
          <t>JÖNKÖPINGS LÄN</t>
        </is>
      </c>
      <c r="G126" t="inlineStr">
        <is>
          <t>SÄVSJÖ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46248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64126-2021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46248</v>
      </c>
      <c r="F128" t="inlineStr">
        <is>
          <t>JÖNKÖPINGS LÄN</t>
        </is>
      </c>
      <c r="G128" t="inlineStr">
        <is>
          <t>SÄVSJÖ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45198</v>
      </c>
      <c r="E129" s="1" t="n">
        <v>46248</v>
      </c>
      <c r="F129" t="inlineStr">
        <is>
          <t>JÖNKÖPINGS LÄN</t>
        </is>
      </c>
      <c r="G129" t="inlineStr">
        <is>
          <t>SÄVSJÖ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45268</v>
      </c>
      <c r="E130" s="1" t="n">
        <v>46248</v>
      </c>
      <c r="F130" t="inlineStr">
        <is>
          <t>JÖNKÖPINGS LÄN</t>
        </is>
      </c>
      <c r="G130" t="inlineStr">
        <is>
          <t>SÄVSJÖ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46248</v>
      </c>
      <c r="F131" t="inlineStr">
        <is>
          <t>JÖNKÖPINGS LÄN</t>
        </is>
      </c>
      <c r="G131" t="inlineStr">
        <is>
          <t>SÄVSJÖ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46248</v>
      </c>
      <c r="F132" t="inlineStr">
        <is>
          <t>JÖNKÖPINGS LÄN</t>
        </is>
      </c>
      <c r="G132" t="inlineStr">
        <is>
          <t>SÄVSJÖ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46248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45341</v>
      </c>
      <c r="E134" s="1" t="n">
        <v>46248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45054</v>
      </c>
      <c r="E135" s="1" t="n">
        <v>46248</v>
      </c>
      <c r="F135" t="inlineStr">
        <is>
          <t>JÖNKÖPINGS LÄN</t>
        </is>
      </c>
      <c r="G135" t="inlineStr">
        <is>
          <t>SÄVSJÖ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46248</v>
      </c>
      <c r="F136" t="inlineStr">
        <is>
          <t>JÖNKÖPINGS LÄN</t>
        </is>
      </c>
      <c r="G136" t="inlineStr">
        <is>
          <t>SÄVSJÖ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45694</v>
      </c>
      <c r="E137" s="1" t="n">
        <v>46248</v>
      </c>
      <c r="F137" t="inlineStr">
        <is>
          <t>JÖNKÖPINGS LÄN</t>
        </is>
      </c>
      <c r="G137" t="inlineStr">
        <is>
          <t>SÄVSJÖ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55801-2021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44476</v>
      </c>
      <c r="E138" s="1" t="n">
        <v>46248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46248</v>
      </c>
      <c r="F139" t="inlineStr">
        <is>
          <t>JÖNKÖPINGS LÄN</t>
        </is>
      </c>
      <c r="G139" t="inlineStr">
        <is>
          <t>SÄVSJÖ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46248</v>
      </c>
      <c r="F140" t="inlineStr">
        <is>
          <t>JÖNKÖPINGS LÄN</t>
        </is>
      </c>
      <c r="G140" t="inlineStr">
        <is>
          <t>SÄVSJÖ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46248</v>
      </c>
      <c r="F141" t="inlineStr">
        <is>
          <t>JÖNKÖPINGS LÄN</t>
        </is>
      </c>
      <c r="G141" t="inlineStr">
        <is>
          <t>SÄVSJÖ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46248</v>
      </c>
      <c r="F142" t="inlineStr">
        <is>
          <t>JÖNKÖPINGS LÄN</t>
        </is>
      </c>
      <c r="G142" t="inlineStr">
        <is>
          <t>SÄVSJÖ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46248</v>
      </c>
      <c r="F143" t="inlineStr">
        <is>
          <t>JÖNKÖPINGS LÄN</t>
        </is>
      </c>
      <c r="G143" t="inlineStr">
        <is>
          <t>SÄVSJÖ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45634</v>
      </c>
      <c r="E144" s="1" t="n">
        <v>46248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45634</v>
      </c>
      <c r="E145" s="1" t="n">
        <v>46248</v>
      </c>
      <c r="F145" t="inlineStr">
        <is>
          <t>JÖNKÖPINGS LÄN</t>
        </is>
      </c>
      <c r="G145" t="inlineStr">
        <is>
          <t>SÄVSJÖ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46248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46248</v>
      </c>
      <c r="F147" t="inlineStr">
        <is>
          <t>JÖNKÖPINGS LÄN</t>
        </is>
      </c>
      <c r="G147" t="inlineStr">
        <is>
          <t>SÄVSJÖ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46248</v>
      </c>
      <c r="F148" t="inlineStr">
        <is>
          <t>JÖNKÖPINGS LÄN</t>
        </is>
      </c>
      <c r="G148" t="inlineStr">
        <is>
          <t>SÄVSJÖ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46248</v>
      </c>
      <c r="F149" t="inlineStr">
        <is>
          <t>JÖNKÖPINGS LÄN</t>
        </is>
      </c>
      <c r="G149" t="inlineStr">
        <is>
          <t>SÄVSJÖ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46248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7285-2023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44970</v>
      </c>
      <c r="E151" s="1" t="n">
        <v>46248</v>
      </c>
      <c r="F151" t="inlineStr">
        <is>
          <t>JÖNKÖPINGS LÄN</t>
        </is>
      </c>
      <c r="G151" t="inlineStr">
        <is>
          <t>SÄVSJÖ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45079</v>
      </c>
      <c r="E152" s="1" t="n">
        <v>46248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46248</v>
      </c>
      <c r="F153" t="inlineStr">
        <is>
          <t>JÖNKÖPINGS LÄN</t>
        </is>
      </c>
      <c r="G153" t="inlineStr">
        <is>
          <t>SÄVSJÖ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50629-2022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44866</v>
      </c>
      <c r="E154" s="1" t="n">
        <v>46248</v>
      </c>
      <c r="F154" t="inlineStr">
        <is>
          <t>JÖNKÖPINGS LÄN</t>
        </is>
      </c>
      <c r="G154" t="inlineStr">
        <is>
          <t>SÄVSJÖ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46248</v>
      </c>
      <c r="F155" t="inlineStr">
        <is>
          <t>JÖNKÖPINGS LÄN</t>
        </is>
      </c>
      <c r="G155" t="inlineStr">
        <is>
          <t>SÄVSJÖ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45094</v>
      </c>
      <c r="E156" s="1" t="n">
        <v>46248</v>
      </c>
      <c r="F156" t="inlineStr">
        <is>
          <t>JÖNKÖPINGS LÄN</t>
        </is>
      </c>
      <c r="G156" t="inlineStr">
        <is>
          <t>SÄVSJÖ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46248</v>
      </c>
      <c r="F157" t="inlineStr">
        <is>
          <t>JÖNKÖPINGS LÄN</t>
        </is>
      </c>
      <c r="G157" t="inlineStr">
        <is>
          <t>SÄVSJÖ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46248</v>
      </c>
      <c r="F158" t="inlineStr">
        <is>
          <t>JÖNKÖPINGS LÄN</t>
        </is>
      </c>
      <c r="G158" t="inlineStr">
        <is>
          <t>SÄVSJÖ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46248</v>
      </c>
      <c r="F159" t="inlineStr">
        <is>
          <t>JÖNKÖPINGS LÄN</t>
        </is>
      </c>
      <c r="G159" t="inlineStr">
        <is>
          <t>SÄVSJÖ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46248</v>
      </c>
      <c r="F160" t="inlineStr">
        <is>
          <t>JÖNKÖPINGS LÄN</t>
        </is>
      </c>
      <c r="G160" t="inlineStr">
        <is>
          <t>SÄVSJÖ</t>
        </is>
      </c>
      <c r="H160" t="inlineStr">
        <is>
          <t>Kyrkan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46248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45338</v>
      </c>
      <c r="E162" s="1" t="n">
        <v>46248</v>
      </c>
      <c r="F162" t="inlineStr">
        <is>
          <t>JÖNKÖPINGS LÄN</t>
        </is>
      </c>
      <c r="G162" t="inlineStr">
        <is>
          <t>SÄVSJÖ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46248</v>
      </c>
      <c r="F163" t="inlineStr">
        <is>
          <t>JÖNKÖPINGS LÄN</t>
        </is>
      </c>
      <c r="G163" t="inlineStr">
        <is>
          <t>SÄVSJÖ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46248</v>
      </c>
      <c r="F164" t="inlineStr">
        <is>
          <t>JÖNKÖPINGS LÄN</t>
        </is>
      </c>
      <c r="G164" t="inlineStr">
        <is>
          <t>SÄVSJÖ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46248</v>
      </c>
      <c r="F165" t="inlineStr">
        <is>
          <t>JÖNKÖPINGS LÄN</t>
        </is>
      </c>
      <c r="G165" t="inlineStr">
        <is>
          <t>SÄVSJÖ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46248</v>
      </c>
      <c r="F166" t="inlineStr">
        <is>
          <t>JÖNKÖPINGS LÄN</t>
        </is>
      </c>
      <c r="G166" t="inlineStr">
        <is>
          <t>SÄVSJÖ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46248</v>
      </c>
      <c r="F167" t="inlineStr">
        <is>
          <t>JÖNKÖPINGS LÄN</t>
        </is>
      </c>
      <c r="G167" t="inlineStr">
        <is>
          <t>SÄVSJÖ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46248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46248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45301</v>
      </c>
      <c r="E170" s="1" t="n">
        <v>46248</v>
      </c>
      <c r="F170" t="inlineStr">
        <is>
          <t>JÖNKÖPINGS LÄN</t>
        </is>
      </c>
      <c r="G170" t="inlineStr">
        <is>
          <t>SÄVSJÖ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46248</v>
      </c>
      <c r="F171" t="inlineStr">
        <is>
          <t>JÖNKÖPINGS LÄN</t>
        </is>
      </c>
      <c r="G171" t="inlineStr">
        <is>
          <t>SÄVSJÖ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46248</v>
      </c>
      <c r="F172" t="inlineStr">
        <is>
          <t>JÖNKÖPINGS LÄN</t>
        </is>
      </c>
      <c r="G172" t="inlineStr">
        <is>
          <t>SÄVSJÖ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54940-2022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46248</v>
      </c>
      <c r="F173" t="inlineStr">
        <is>
          <t>JÖNKÖPINGS LÄN</t>
        </is>
      </c>
      <c r="G173" t="inlineStr">
        <is>
          <t>SÄVSJÖ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44872</v>
      </c>
      <c r="E174" s="1" t="n">
        <v>46248</v>
      </c>
      <c r="F174" t="inlineStr">
        <is>
          <t>JÖNKÖPINGS LÄN</t>
        </is>
      </c>
      <c r="G174" t="inlineStr">
        <is>
          <t>SÄVSJÖ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45008</v>
      </c>
      <c r="E175" s="1" t="n">
        <v>46248</v>
      </c>
      <c r="F175" t="inlineStr">
        <is>
          <t>JÖNKÖPINGS LÄN</t>
        </is>
      </c>
      <c r="G175" t="inlineStr">
        <is>
          <t>SÄVSJÖ</t>
        </is>
      </c>
      <c r="H175" t="inlineStr">
        <is>
          <t>Kommuner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46248</v>
      </c>
      <c r="F176" t="inlineStr">
        <is>
          <t>JÖNKÖPINGS LÄN</t>
        </is>
      </c>
      <c r="G176" t="inlineStr">
        <is>
          <t>SÄVSJÖ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46248</v>
      </c>
      <c r="F177" t="inlineStr">
        <is>
          <t>JÖNKÖPINGS LÄN</t>
        </is>
      </c>
      <c r="G177" t="inlineStr">
        <is>
          <t>SÄVSJÖ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45104</v>
      </c>
      <c r="E178" s="1" t="n">
        <v>46248</v>
      </c>
      <c r="F178" t="inlineStr">
        <is>
          <t>JÖNKÖPINGS LÄN</t>
        </is>
      </c>
      <c r="G178" t="inlineStr">
        <is>
          <t>SÄVSJÖ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46248</v>
      </c>
      <c r="F179" t="inlineStr">
        <is>
          <t>JÖNKÖPINGS LÄN</t>
        </is>
      </c>
      <c r="G179" t="inlineStr">
        <is>
          <t>SÄVSJÖ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45197</v>
      </c>
      <c r="E180" s="1" t="n">
        <v>46248</v>
      </c>
      <c r="F180" t="inlineStr">
        <is>
          <t>JÖNKÖPINGS LÄN</t>
        </is>
      </c>
      <c r="G180" t="inlineStr">
        <is>
          <t>SÄVSJÖ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44656</v>
      </c>
      <c r="E181" s="1" t="n">
        <v>46248</v>
      </c>
      <c r="F181" t="inlineStr">
        <is>
          <t>JÖNKÖPINGS LÄN</t>
        </is>
      </c>
      <c r="G181" t="inlineStr">
        <is>
          <t>SÄVSJÖ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44781</v>
      </c>
      <c r="E182" s="1" t="n">
        <v>46248</v>
      </c>
      <c r="F182" t="inlineStr">
        <is>
          <t>JÖNKÖPINGS LÄN</t>
        </is>
      </c>
      <c r="G182" t="inlineStr">
        <is>
          <t>SÄVSJÖ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44590</v>
      </c>
      <c r="E183" s="1" t="n">
        <v>46248</v>
      </c>
      <c r="F183" t="inlineStr">
        <is>
          <t>JÖNKÖPINGS LÄN</t>
        </is>
      </c>
      <c r="G183" t="inlineStr">
        <is>
          <t>SÄVSJÖ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45067</v>
      </c>
      <c r="E184" s="1" t="n">
        <v>46248</v>
      </c>
      <c r="F184" t="inlineStr">
        <is>
          <t>JÖNKÖPINGS LÄN</t>
        </is>
      </c>
      <c r="G184" t="inlineStr">
        <is>
          <t>SÄVSJÖ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45407</v>
      </c>
      <c r="E185" s="1" t="n">
        <v>46248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46248</v>
      </c>
      <c r="F186" t="inlineStr">
        <is>
          <t>JÖNKÖPINGS LÄN</t>
        </is>
      </c>
      <c r="G186" t="inlineStr">
        <is>
          <t>SÄVSJÖ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45301</v>
      </c>
      <c r="E187" s="1" t="n">
        <v>46248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45607</v>
      </c>
      <c r="E188" s="1" t="n">
        <v>46248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46248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44826</v>
      </c>
      <c r="E190" s="1" t="n">
        <v>46248</v>
      </c>
      <c r="F190" t="inlineStr">
        <is>
          <t>JÖNKÖPINGS LÄN</t>
        </is>
      </c>
      <c r="G190" t="inlineStr">
        <is>
          <t>SÄVSJÖ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45623</v>
      </c>
      <c r="E191" s="1" t="n">
        <v>46248</v>
      </c>
      <c r="F191" t="inlineStr">
        <is>
          <t>JÖNKÖPINGS LÄN</t>
        </is>
      </c>
      <c r="G191" t="inlineStr">
        <is>
          <t>SÄVSJÖ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45611</v>
      </c>
      <c r="E192" s="1" t="n">
        <v>46248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44447</v>
      </c>
      <c r="E193" s="1" t="n">
        <v>46248</v>
      </c>
      <c r="F193" t="inlineStr">
        <is>
          <t>JÖNKÖPINGS LÄN</t>
        </is>
      </c>
      <c r="G193" t="inlineStr">
        <is>
          <t>SÄVSJÖ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46248</v>
      </c>
      <c r="F194" t="inlineStr">
        <is>
          <t>JÖNKÖPINGS LÄN</t>
        </is>
      </c>
      <c r="G194" t="inlineStr">
        <is>
          <t>SÄVSJÖ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46248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46248</v>
      </c>
      <c r="F196" t="inlineStr">
        <is>
          <t>JÖNKÖPINGS LÄN</t>
        </is>
      </c>
      <c r="G196" t="inlineStr">
        <is>
          <t>SÄVSJÖ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46248</v>
      </c>
      <c r="F197" t="inlineStr">
        <is>
          <t>JÖNKÖPINGS LÄN</t>
        </is>
      </c>
      <c r="G197" t="inlineStr">
        <is>
          <t>SÄVSJÖ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44972</v>
      </c>
      <c r="E198" s="1" t="n">
        <v>46248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46248</v>
      </c>
      <c r="F199" t="inlineStr">
        <is>
          <t>JÖNKÖPINGS LÄN</t>
        </is>
      </c>
      <c r="G199" t="inlineStr">
        <is>
          <t>SÄVSJÖ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46248</v>
      </c>
      <c r="F200" t="inlineStr">
        <is>
          <t>JÖNKÖPINGS LÄN</t>
        </is>
      </c>
      <c r="G200" t="inlineStr">
        <is>
          <t>SÄVSJÖ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45719</v>
      </c>
      <c r="E201" s="1" t="n">
        <v>46248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45454</v>
      </c>
      <c r="E202" s="1" t="n">
        <v>46248</v>
      </c>
      <c r="F202" t="inlineStr">
        <is>
          <t>JÖNKÖPINGS LÄN</t>
        </is>
      </c>
      <c r="G202" t="inlineStr">
        <is>
          <t>SÄVSJÖ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46248</v>
      </c>
      <c r="F203" t="inlineStr">
        <is>
          <t>JÖNKÖPINGS LÄN</t>
        </is>
      </c>
      <c r="G203" t="inlineStr">
        <is>
          <t>SÄVSJÖ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44509</v>
      </c>
      <c r="E204" s="1" t="n">
        <v>46248</v>
      </c>
      <c r="F204" t="inlineStr">
        <is>
          <t>JÖNKÖPINGS LÄN</t>
        </is>
      </c>
      <c r="G204" t="inlineStr">
        <is>
          <t>SÄVSJÖ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46248</v>
      </c>
      <c r="F205" t="inlineStr">
        <is>
          <t>JÖNKÖPINGS LÄN</t>
        </is>
      </c>
      <c r="G205" t="inlineStr">
        <is>
          <t>SÄVSJÖ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46248</v>
      </c>
      <c r="F206" t="inlineStr">
        <is>
          <t>JÖNKÖPINGS LÄN</t>
        </is>
      </c>
      <c r="G206" t="inlineStr">
        <is>
          <t>SÄVSJÖ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46248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46248</v>
      </c>
      <c r="F208" t="inlineStr">
        <is>
          <t>JÖNKÖPINGS LÄN</t>
        </is>
      </c>
      <c r="G208" t="inlineStr">
        <is>
          <t>SÄVSJÖ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45669</v>
      </c>
      <c r="E209" s="1" t="n">
        <v>46248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45029</v>
      </c>
      <c r="E210" s="1" t="n">
        <v>46248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45148</v>
      </c>
      <c r="E211" s="1" t="n">
        <v>46248</v>
      </c>
      <c r="F211" t="inlineStr">
        <is>
          <t>JÖNKÖPINGS LÄN</t>
        </is>
      </c>
      <c r="G211" t="inlineStr">
        <is>
          <t>SÄVSJÖ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46248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53102-2023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45228</v>
      </c>
      <c r="E213" s="1" t="n">
        <v>46248</v>
      </c>
      <c r="F213" t="inlineStr">
        <is>
          <t>JÖNKÖPINGS LÄN</t>
        </is>
      </c>
      <c r="G213" t="inlineStr">
        <is>
          <t>SÄVSJÖ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46248</v>
      </c>
      <c r="F214" t="inlineStr">
        <is>
          <t>JÖNKÖPINGS LÄN</t>
        </is>
      </c>
      <c r="G214" t="inlineStr">
        <is>
          <t>SÄVSJÖ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46248</v>
      </c>
      <c r="F215" t="inlineStr">
        <is>
          <t>JÖNKÖPINGS LÄN</t>
        </is>
      </c>
      <c r="G215" t="inlineStr">
        <is>
          <t>SÄVSJÖ</t>
        </is>
      </c>
      <c r="H215" t="inlineStr">
        <is>
          <t>Övriga Aktiebolag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46248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42212-2021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44426</v>
      </c>
      <c r="E217" s="1" t="n">
        <v>46248</v>
      </c>
      <c r="F217" t="inlineStr">
        <is>
          <t>JÖNKÖPINGS LÄN</t>
        </is>
      </c>
      <c r="G217" t="inlineStr">
        <is>
          <t>SÄVSJÖ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45768</v>
      </c>
      <c r="E218" s="1" t="n">
        <v>46248</v>
      </c>
      <c r="F218" t="inlineStr">
        <is>
          <t>JÖNKÖPINGS LÄN</t>
        </is>
      </c>
      <c r="G218" t="inlineStr">
        <is>
          <t>SÄVSJÖ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44995</v>
      </c>
      <c r="E219" s="1" t="n">
        <v>46248</v>
      </c>
      <c r="F219" t="inlineStr">
        <is>
          <t>JÖNKÖPINGS LÄN</t>
        </is>
      </c>
      <c r="G219" t="inlineStr">
        <is>
          <t>SÄVSJÖ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46248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46248</v>
      </c>
      <c r="F221" t="inlineStr">
        <is>
          <t>JÖNKÖPINGS LÄN</t>
        </is>
      </c>
      <c r="G221" t="inlineStr">
        <is>
          <t>SÄVSJÖ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46248</v>
      </c>
      <c r="F222" t="inlineStr">
        <is>
          <t>JÖNKÖPINGS LÄN</t>
        </is>
      </c>
      <c r="G222" t="inlineStr">
        <is>
          <t>SÄVSJÖ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46248</v>
      </c>
      <c r="F223" t="inlineStr">
        <is>
          <t>JÖNKÖPINGS LÄN</t>
        </is>
      </c>
      <c r="G223" t="inlineStr">
        <is>
          <t>SÄVSJÖ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46248</v>
      </c>
      <c r="F224" t="inlineStr">
        <is>
          <t>JÖNKÖPINGS LÄN</t>
        </is>
      </c>
      <c r="G224" t="inlineStr">
        <is>
          <t>SÄVSJÖ</t>
        </is>
      </c>
      <c r="H224" t="inlineStr">
        <is>
          <t>Kyrkan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46248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45334</v>
      </c>
      <c r="E226" s="1" t="n">
        <v>46248</v>
      </c>
      <c r="F226" t="inlineStr">
        <is>
          <t>JÖNKÖPINGS LÄN</t>
        </is>
      </c>
      <c r="G226" t="inlineStr">
        <is>
          <t>SÄVSJÖ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45102</v>
      </c>
      <c r="E227" s="1" t="n">
        <v>46248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46248</v>
      </c>
      <c r="F228" t="inlineStr">
        <is>
          <t>JÖNKÖPINGS LÄN</t>
        </is>
      </c>
      <c r="G228" t="inlineStr">
        <is>
          <t>SÄVSJÖ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45067</v>
      </c>
      <c r="E229" s="1" t="n">
        <v>46248</v>
      </c>
      <c r="F229" t="inlineStr">
        <is>
          <t>JÖNKÖPINGS LÄN</t>
        </is>
      </c>
      <c r="G229" t="inlineStr">
        <is>
          <t>SÄVSJÖ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38914-2024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45547</v>
      </c>
      <c r="E230" s="1" t="n">
        <v>46248</v>
      </c>
      <c r="F230" t="inlineStr">
        <is>
          <t>JÖNKÖPINGS LÄN</t>
        </is>
      </c>
      <c r="G230" t="inlineStr">
        <is>
          <t>SÄVSJÖ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46248</v>
      </c>
      <c r="F231" t="inlineStr">
        <is>
          <t>JÖNKÖPINGS LÄN</t>
        </is>
      </c>
      <c r="G231" t="inlineStr">
        <is>
          <t>SÄVSJÖ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46248</v>
      </c>
      <c r="F232" t="inlineStr">
        <is>
          <t>JÖNKÖPINGS LÄN</t>
        </is>
      </c>
      <c r="G232" t="inlineStr">
        <is>
          <t>SÄVSJÖ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45267</v>
      </c>
      <c r="E233" s="1" t="n">
        <v>46248</v>
      </c>
      <c r="F233" t="inlineStr">
        <is>
          <t>JÖNKÖPINGS LÄN</t>
        </is>
      </c>
      <c r="G233" t="inlineStr">
        <is>
          <t>SÄVSJÖ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61545-2021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46248</v>
      </c>
      <c r="F234" t="inlineStr">
        <is>
          <t>JÖNKÖPINGS LÄN</t>
        </is>
      </c>
      <c r="G234" t="inlineStr">
        <is>
          <t>SÄVSJÖ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46248</v>
      </c>
      <c r="F235" t="inlineStr">
        <is>
          <t>JÖNKÖPINGS LÄN</t>
        </is>
      </c>
      <c r="G235" t="inlineStr">
        <is>
          <t>SÄVSJÖ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45427</v>
      </c>
      <c r="E236" s="1" t="n">
        <v>46248</v>
      </c>
      <c r="F236" t="inlineStr">
        <is>
          <t>JÖNKÖPINGS LÄN</t>
        </is>
      </c>
      <c r="G236" t="inlineStr">
        <is>
          <t>SÄVSJÖ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44651</v>
      </c>
      <c r="E237" s="1" t="n">
        <v>46248</v>
      </c>
      <c r="F237" t="inlineStr">
        <is>
          <t>JÖNKÖPINGS LÄN</t>
        </is>
      </c>
      <c r="G237" t="inlineStr">
        <is>
          <t>SÄVSJÖ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44838</v>
      </c>
      <c r="E238" s="1" t="n">
        <v>46248</v>
      </c>
      <c r="F238" t="inlineStr">
        <is>
          <t>JÖNKÖPINGS LÄN</t>
        </is>
      </c>
      <c r="G238" t="inlineStr">
        <is>
          <t>SÄVSJÖ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44839</v>
      </c>
      <c r="E239" s="1" t="n">
        <v>46248</v>
      </c>
      <c r="F239" t="inlineStr">
        <is>
          <t>JÖNKÖPINGS LÄN</t>
        </is>
      </c>
      <c r="G239" t="inlineStr">
        <is>
          <t>SÄVSJÖ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46248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46248</v>
      </c>
      <c r="F241" t="inlineStr">
        <is>
          <t>JÖNKÖPINGS LÄN</t>
        </is>
      </c>
      <c r="G241" t="inlineStr">
        <is>
          <t>SÄVSJÖ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49292-2023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45210</v>
      </c>
      <c r="E242" s="1" t="n">
        <v>46248</v>
      </c>
      <c r="F242" t="inlineStr">
        <is>
          <t>JÖNKÖPINGS LÄN</t>
        </is>
      </c>
      <c r="G242" t="inlineStr">
        <is>
          <t>SÄVSJÖ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46248</v>
      </c>
      <c r="F243" t="inlineStr">
        <is>
          <t>JÖNKÖPINGS LÄN</t>
        </is>
      </c>
      <c r="G243" t="inlineStr">
        <is>
          <t>SÄVSJÖ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55909-2024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45623</v>
      </c>
      <c r="E244" s="1" t="n">
        <v>46248</v>
      </c>
      <c r="F244" t="inlineStr">
        <is>
          <t>JÖNKÖPINGS LÄN</t>
        </is>
      </c>
      <c r="G244" t="inlineStr">
        <is>
          <t>SÄVSJÖ</t>
        </is>
      </c>
      <c r="H244" t="inlineStr">
        <is>
          <t>Kommuner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45094</v>
      </c>
      <c r="E245" s="1" t="n">
        <v>46248</v>
      </c>
      <c r="F245" t="inlineStr">
        <is>
          <t>JÖNKÖPINGS LÄN</t>
        </is>
      </c>
      <c r="G245" t="inlineStr">
        <is>
          <t>SÄVSJÖ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45704</v>
      </c>
      <c r="E246" s="1" t="n">
        <v>46248</v>
      </c>
      <c r="F246" t="inlineStr">
        <is>
          <t>JÖNKÖPINGS LÄN</t>
        </is>
      </c>
      <c r="G246" t="inlineStr">
        <is>
          <t>SÄVSJÖ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46248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45317</v>
      </c>
      <c r="E248" s="1" t="n">
        <v>46248</v>
      </c>
      <c r="F248" t="inlineStr">
        <is>
          <t>JÖNKÖPINGS LÄN</t>
        </is>
      </c>
      <c r="G248" t="inlineStr">
        <is>
          <t>SÄVSJÖ</t>
        </is>
      </c>
      <c r="I248" t="n">
        <v>19.9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46248</v>
      </c>
      <c r="F249" t="inlineStr">
        <is>
          <t>JÖNKÖPINGS LÄN</t>
        </is>
      </c>
      <c r="G249" t="inlineStr">
        <is>
          <t>SÄVSJÖ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46248</v>
      </c>
      <c r="F250" t="inlineStr">
        <is>
          <t>JÖNKÖPINGS LÄN</t>
        </is>
      </c>
      <c r="G250" t="inlineStr">
        <is>
          <t>SÄVSJÖ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46248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11258-2024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45371</v>
      </c>
      <c r="E252" s="1" t="n">
        <v>46248</v>
      </c>
      <c r="F252" t="inlineStr">
        <is>
          <t>JÖNKÖPINGS LÄN</t>
        </is>
      </c>
      <c r="G252" t="inlineStr">
        <is>
          <t>SÄVSJÖ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45371</v>
      </c>
      <c r="E253" s="1" t="n">
        <v>46248</v>
      </c>
      <c r="F253" t="inlineStr">
        <is>
          <t>JÖNKÖPINGS LÄN</t>
        </is>
      </c>
      <c r="G253" t="inlineStr">
        <is>
          <t>SÄVSJÖ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53916-2021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44469</v>
      </c>
      <c r="E254" s="1" t="n">
        <v>46248</v>
      </c>
      <c r="F254" t="inlineStr">
        <is>
          <t>JÖNKÖPINGS LÄN</t>
        </is>
      </c>
      <c r="G254" t="inlineStr">
        <is>
          <t>SÄVSJÖ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44830</v>
      </c>
      <c r="E255" s="1" t="n">
        <v>46248</v>
      </c>
      <c r="F255" t="inlineStr">
        <is>
          <t>JÖNKÖPINGS LÄN</t>
        </is>
      </c>
      <c r="G255" t="inlineStr">
        <is>
          <t>SÄVSJÖ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46248</v>
      </c>
      <c r="F256" t="inlineStr">
        <is>
          <t>JÖNKÖPINGS LÄN</t>
        </is>
      </c>
      <c r="G256" t="inlineStr">
        <is>
          <t>SÄVSJÖ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45275</v>
      </c>
      <c r="E257" s="1" t="n">
        <v>46248</v>
      </c>
      <c r="F257" t="inlineStr">
        <is>
          <t>JÖNKÖPINGS LÄN</t>
        </is>
      </c>
      <c r="G257" t="inlineStr">
        <is>
          <t>SÄVSJÖ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54600-2022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46248</v>
      </c>
      <c r="F258" t="inlineStr">
        <is>
          <t>JÖNKÖPINGS LÄN</t>
        </is>
      </c>
      <c r="G258" t="inlineStr">
        <is>
          <t>SÄVSJÖ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60915-2023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46248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30162-2023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45110</v>
      </c>
      <c r="E260" s="1" t="n">
        <v>46248</v>
      </c>
      <c r="F260" t="inlineStr">
        <is>
          <t>JÖNKÖPINGS LÄN</t>
        </is>
      </c>
      <c r="G260" t="inlineStr">
        <is>
          <t>SÄVSJÖ</t>
        </is>
      </c>
      <c r="H260" t="inlineStr">
        <is>
          <t>Kommuner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45884</v>
      </c>
      <c r="E261" s="1" t="n">
        <v>46248</v>
      </c>
      <c r="F261" t="inlineStr">
        <is>
          <t>JÖNKÖPINGS LÄN</t>
        </is>
      </c>
      <c r="G261" t="inlineStr">
        <is>
          <t>SÄVSJÖ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55254-2021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44475</v>
      </c>
      <c r="E262" s="1" t="n">
        <v>46248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45301</v>
      </c>
      <c r="E263" s="1" t="n">
        <v>46248</v>
      </c>
      <c r="F263" t="inlineStr">
        <is>
          <t>JÖNKÖPINGS LÄN</t>
        </is>
      </c>
      <c r="G263" t="inlineStr">
        <is>
          <t>SÄVSJÖ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46248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46248</v>
      </c>
      <c r="F265" t="inlineStr">
        <is>
          <t>JÖNKÖPINGS LÄN</t>
        </is>
      </c>
      <c r="G265" t="inlineStr">
        <is>
          <t>SÄVSJÖ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46248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45094</v>
      </c>
      <c r="E267" s="1" t="n">
        <v>46248</v>
      </c>
      <c r="F267" t="inlineStr">
        <is>
          <t>JÖNKÖPINGS LÄN</t>
        </is>
      </c>
      <c r="G267" t="inlineStr">
        <is>
          <t>SÄVSJÖ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46248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45334</v>
      </c>
      <c r="E269" s="1" t="n">
        <v>46248</v>
      </c>
      <c r="F269" t="inlineStr">
        <is>
          <t>JÖNKÖPINGS LÄN</t>
        </is>
      </c>
      <c r="G269" t="inlineStr">
        <is>
          <t>SÄVSJÖ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46248</v>
      </c>
      <c r="F270" t="inlineStr">
        <is>
          <t>JÖNKÖPINGS LÄN</t>
        </is>
      </c>
      <c r="G270" t="inlineStr">
        <is>
          <t>SÄVSJÖ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46248</v>
      </c>
      <c r="F271" t="inlineStr">
        <is>
          <t>JÖNKÖPINGS LÄN</t>
        </is>
      </c>
      <c r="G271" t="inlineStr">
        <is>
          <t>SÄVSJÖ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31788-2023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46248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46248</v>
      </c>
      <c r="F273" t="inlineStr">
        <is>
          <t>JÖNKÖPINGS LÄN</t>
        </is>
      </c>
      <c r="G273" t="inlineStr">
        <is>
          <t>SÄVSJÖ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51938-2024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45607</v>
      </c>
      <c r="E274" s="1" t="n">
        <v>46248</v>
      </c>
      <c r="F274" t="inlineStr">
        <is>
          <t>JÖNKÖPINGS LÄN</t>
        </is>
      </c>
      <c r="G274" t="inlineStr">
        <is>
          <t>SÄVSJÖ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46248</v>
      </c>
      <c r="F275" t="inlineStr">
        <is>
          <t>JÖNKÖPINGS LÄN</t>
        </is>
      </c>
      <c r="G275" t="inlineStr">
        <is>
          <t>SÄVSJÖ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45833</v>
      </c>
      <c r="E276" s="1" t="n">
        <v>46248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45066</v>
      </c>
      <c r="E277" s="1" t="n">
        <v>46248</v>
      </c>
      <c r="F277" t="inlineStr">
        <is>
          <t>JÖNKÖPINGS LÄN</t>
        </is>
      </c>
      <c r="G277" t="inlineStr">
        <is>
          <t>SÄVSJÖ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46248</v>
      </c>
      <c r="F278" t="inlineStr">
        <is>
          <t>JÖNKÖPINGS LÄN</t>
        </is>
      </c>
      <c r="G278" t="inlineStr">
        <is>
          <t>SÄVSJÖ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46248</v>
      </c>
      <c r="F279" t="inlineStr">
        <is>
          <t>JÖNKÖPINGS LÄN</t>
        </is>
      </c>
      <c r="G279" t="inlineStr">
        <is>
          <t>SÄVSJÖ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46248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46248</v>
      </c>
      <c r="F281" t="inlineStr">
        <is>
          <t>JÖNKÖPINGS LÄN</t>
        </is>
      </c>
      <c r="G281" t="inlineStr">
        <is>
          <t>SÄVSJÖ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45448</v>
      </c>
      <c r="E282" s="1" t="n">
        <v>46248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46248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46248</v>
      </c>
      <c r="F284" t="inlineStr">
        <is>
          <t>JÖNKÖPINGS LÄN</t>
        </is>
      </c>
      <c r="G284" t="inlineStr">
        <is>
          <t>SÄVSJÖ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45839</v>
      </c>
      <c r="E285" s="1" t="n">
        <v>46248</v>
      </c>
      <c r="F285" t="inlineStr">
        <is>
          <t>JÖNKÖPINGS LÄN</t>
        </is>
      </c>
      <c r="G285" t="inlineStr">
        <is>
          <t>SÄVSJÖ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61556-2025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46001</v>
      </c>
      <c r="E286" s="1" t="n">
        <v>46248</v>
      </c>
      <c r="F286" t="inlineStr">
        <is>
          <t>JÖNKÖPINGS LÄN</t>
        </is>
      </c>
      <c r="G286" t="inlineStr">
        <is>
          <t>SÄVSJÖ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46248</v>
      </c>
      <c r="F287" t="inlineStr">
        <is>
          <t>JÖNKÖPINGS LÄN</t>
        </is>
      </c>
      <c r="G287" t="inlineStr">
        <is>
          <t>SÄVSJÖ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45418</v>
      </c>
      <c r="E288" s="1" t="n">
        <v>46248</v>
      </c>
      <c r="F288" t="inlineStr">
        <is>
          <t>JÖNKÖPINGS LÄN</t>
        </is>
      </c>
      <c r="G288" t="inlineStr">
        <is>
          <t>SÄVSJÖ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30162-2023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45110</v>
      </c>
      <c r="E289" s="1" t="n">
        <v>46248</v>
      </c>
      <c r="F289" t="inlineStr">
        <is>
          <t>JÖNKÖPINGS LÄN</t>
        </is>
      </c>
      <c r="G289" t="inlineStr">
        <is>
          <t>SÄVSJÖ</t>
        </is>
      </c>
      <c r="H289" t="inlineStr">
        <is>
          <t>Kommuner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54827-2021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44474</v>
      </c>
      <c r="E290" s="1" t="n">
        <v>46248</v>
      </c>
      <c r="F290" t="inlineStr">
        <is>
          <t>JÖNKÖPINGS LÄN</t>
        </is>
      </c>
      <c r="G290" t="inlineStr">
        <is>
          <t>SÄVSJÖ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45329</v>
      </c>
      <c r="E291" s="1" t="n">
        <v>46248</v>
      </c>
      <c r="F291" t="inlineStr">
        <is>
          <t>JÖNKÖPINGS LÄN</t>
        </is>
      </c>
      <c r="G291" t="inlineStr">
        <is>
          <t>SÄVSJÖ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44833</v>
      </c>
      <c r="E292" s="1" t="n">
        <v>46248</v>
      </c>
      <c r="F292" t="inlineStr">
        <is>
          <t>JÖNKÖPINGS LÄN</t>
        </is>
      </c>
      <c r="G292" t="inlineStr">
        <is>
          <t>SÄVSJÖ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46248</v>
      </c>
      <c r="F293" t="inlineStr">
        <is>
          <t>JÖNKÖPINGS LÄN</t>
        </is>
      </c>
      <c r="G293" t="inlineStr">
        <is>
          <t>SÄVSJÖ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44957</v>
      </c>
      <c r="E294" s="1" t="n">
        <v>46248</v>
      </c>
      <c r="F294" t="inlineStr">
        <is>
          <t>JÖNKÖPINGS LÄN</t>
        </is>
      </c>
      <c r="G294" t="inlineStr">
        <is>
          <t>SÄVSJÖ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46248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46248</v>
      </c>
      <c r="F296" t="inlineStr">
        <is>
          <t>JÖNKÖPINGS LÄN</t>
        </is>
      </c>
      <c r="G296" t="inlineStr">
        <is>
          <t>SÄVSJÖ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46248</v>
      </c>
      <c r="F297" t="inlineStr">
        <is>
          <t>JÖNKÖPINGS LÄN</t>
        </is>
      </c>
      <c r="G297" t="inlineStr">
        <is>
          <t>SÄVSJÖ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46248</v>
      </c>
      <c r="F298" t="inlineStr">
        <is>
          <t>JÖNKÖPINGS LÄN</t>
        </is>
      </c>
      <c r="G298" t="inlineStr">
        <is>
          <t>SÄVSJÖ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46248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45881</v>
      </c>
      <c r="E300" s="1" t="n">
        <v>46248</v>
      </c>
      <c r="F300" t="inlineStr">
        <is>
          <t>JÖNKÖPINGS LÄN</t>
        </is>
      </c>
      <c r="G300" t="inlineStr">
        <is>
          <t>SÄVSJÖ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46248</v>
      </c>
      <c r="F301" t="inlineStr">
        <is>
          <t>JÖNKÖPINGS LÄN</t>
        </is>
      </c>
      <c r="G301" t="inlineStr">
        <is>
          <t>SÄVSJÖ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45414</v>
      </c>
      <c r="E302" s="1" t="n">
        <v>46248</v>
      </c>
      <c r="F302" t="inlineStr">
        <is>
          <t>JÖNKÖPINGS LÄN</t>
        </is>
      </c>
      <c r="G302" t="inlineStr">
        <is>
          <t>SÄVSJÖ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60805-2024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45644</v>
      </c>
      <c r="E303" s="1" t="n">
        <v>46248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44397-2024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45573</v>
      </c>
      <c r="E304" s="1" t="n">
        <v>46248</v>
      </c>
      <c r="F304" t="inlineStr">
        <is>
          <t>JÖNKÖPINGS LÄN</t>
        </is>
      </c>
      <c r="G304" t="inlineStr">
        <is>
          <t>SÄVSJÖ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46248</v>
      </c>
      <c r="F305" t="inlineStr">
        <is>
          <t>JÖNKÖPINGS LÄN</t>
        </is>
      </c>
      <c r="G305" t="inlineStr">
        <is>
          <t>SÄVSJÖ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46248</v>
      </c>
      <c r="F306" t="inlineStr">
        <is>
          <t>JÖNKÖPINGS LÄN</t>
        </is>
      </c>
      <c r="G306" t="inlineStr">
        <is>
          <t>SÄVSJÖ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61331-2024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46248</v>
      </c>
      <c r="F307" t="inlineStr">
        <is>
          <t>JÖNKÖPINGS LÄN</t>
        </is>
      </c>
      <c r="G307" t="inlineStr">
        <is>
          <t>SÄVSJÖ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45725</v>
      </c>
      <c r="E308" s="1" t="n">
        <v>46248</v>
      </c>
      <c r="F308" t="inlineStr">
        <is>
          <t>JÖNKÖPINGS LÄN</t>
        </is>
      </c>
      <c r="G308" t="inlineStr">
        <is>
          <t>SÄVSJÖ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45412</v>
      </c>
      <c r="E309" s="1" t="n">
        <v>46248</v>
      </c>
      <c r="F309" t="inlineStr">
        <is>
          <t>JÖNKÖPINGS LÄN</t>
        </is>
      </c>
      <c r="G309" t="inlineStr">
        <is>
          <t>SÄVSJÖ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45706</v>
      </c>
      <c r="E310" s="1" t="n">
        <v>46248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45910</v>
      </c>
      <c r="E311" s="1" t="n">
        <v>46248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46248</v>
      </c>
      <c r="F312" t="inlineStr">
        <is>
          <t>JÖNKÖPINGS LÄN</t>
        </is>
      </c>
      <c r="G312" t="inlineStr">
        <is>
          <t>SÄVSJÖ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53154-2024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46248</v>
      </c>
      <c r="F313" t="inlineStr">
        <is>
          <t>JÖNKÖPINGS LÄN</t>
        </is>
      </c>
      <c r="G313" t="inlineStr">
        <is>
          <t>SÄVSJÖ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46248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46248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46248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46248</v>
      </c>
      <c r="F317" t="inlineStr">
        <is>
          <t>JÖNKÖPINGS LÄN</t>
        </is>
      </c>
      <c r="G317" t="inlineStr">
        <is>
          <t>SÄVSJÖ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23816-2026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46165</v>
      </c>
      <c r="E318" s="1" t="n">
        <v>46248</v>
      </c>
      <c r="F318" t="inlineStr">
        <is>
          <t>JÖNKÖPINGS LÄN</t>
        </is>
      </c>
      <c r="G318" t="inlineStr">
        <is>
          <t>SÄVSJÖ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46248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46248</v>
      </c>
      <c r="F320" t="inlineStr">
        <is>
          <t>JÖNKÖPINGS LÄN</t>
        </is>
      </c>
      <c r="G320" t="inlineStr">
        <is>
          <t>SÄVSJÖ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46248</v>
      </c>
      <c r="F321" t="inlineStr">
        <is>
          <t>JÖNKÖPINGS LÄN</t>
        </is>
      </c>
      <c r="G321" t="inlineStr">
        <is>
          <t>SÄVSJÖ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52363-2025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45953</v>
      </c>
      <c r="E322" s="1" t="n">
        <v>46248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45957</v>
      </c>
      <c r="E323" s="1" t="n">
        <v>46248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46248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52360-2025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46248</v>
      </c>
      <c r="F325" t="inlineStr">
        <is>
          <t>JÖNKÖPINGS LÄN</t>
        </is>
      </c>
      <c r="G325" t="inlineStr">
        <is>
          <t>SÄVSJÖ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46248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46248</v>
      </c>
      <c r="F327" t="inlineStr">
        <is>
          <t>JÖNKÖPINGS LÄN</t>
        </is>
      </c>
      <c r="G327" t="inlineStr">
        <is>
          <t>SÄVSJÖ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46248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54275-2025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45964</v>
      </c>
      <c r="E329" s="1" t="n">
        <v>46248</v>
      </c>
      <c r="F329" t="inlineStr">
        <is>
          <t>JÖNKÖPINGS LÄN</t>
        </is>
      </c>
      <c r="G329" t="inlineStr">
        <is>
          <t>SÄVSJÖ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46248</v>
      </c>
      <c r="F330" t="inlineStr">
        <is>
          <t>JÖNKÖPINGS LÄN</t>
        </is>
      </c>
      <c r="G330" t="inlineStr">
        <is>
          <t>SÄVSJÖ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46248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46248</v>
      </c>
      <c r="F332" t="inlineStr">
        <is>
          <t>JÖNKÖPINGS LÄN</t>
        </is>
      </c>
      <c r="G332" t="inlineStr">
        <is>
          <t>SÄVSJÖ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46248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46248</v>
      </c>
      <c r="F334" t="inlineStr">
        <is>
          <t>JÖNKÖPINGS LÄN</t>
        </is>
      </c>
      <c r="G334" t="inlineStr">
        <is>
          <t>SÄVSJÖ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46248</v>
      </c>
      <c r="F335" t="inlineStr">
        <is>
          <t>JÖNKÖPINGS LÄN</t>
        </is>
      </c>
      <c r="G335" t="inlineStr">
        <is>
          <t>SÄVSJÖ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46248</v>
      </c>
      <c r="F336" t="inlineStr">
        <is>
          <t>JÖNKÖPINGS LÄN</t>
        </is>
      </c>
      <c r="G336" t="inlineStr">
        <is>
          <t>SÄVSJÖ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46248</v>
      </c>
      <c r="F337" t="inlineStr">
        <is>
          <t>JÖNKÖPINGS LÄN</t>
        </is>
      </c>
      <c r="G337" t="inlineStr">
        <is>
          <t>SÄVSJÖ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46248</v>
      </c>
      <c r="F338" t="inlineStr">
        <is>
          <t>JÖNKÖPINGS LÄN</t>
        </is>
      </c>
      <c r="G338" t="inlineStr">
        <is>
          <t>SÄVSJÖ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31721-2026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46226</v>
      </c>
      <c r="E339" s="1" t="n">
        <v>46248</v>
      </c>
      <c r="F339" t="inlineStr">
        <is>
          <t>JÖNKÖPINGS LÄN</t>
        </is>
      </c>
      <c r="G339" t="inlineStr">
        <is>
          <t>SÄVSJÖ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46248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46248</v>
      </c>
      <c r="F341" t="inlineStr">
        <is>
          <t>JÖNKÖPINGS LÄN</t>
        </is>
      </c>
      <c r="G341" t="inlineStr">
        <is>
          <t>SÄVSJÖ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46248</v>
      </c>
      <c r="F342" t="inlineStr">
        <is>
          <t>JÖNKÖPINGS LÄN</t>
        </is>
      </c>
      <c r="G342" t="inlineStr">
        <is>
          <t>SÄVSJÖ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46248</v>
      </c>
      <c r="F343" t="inlineStr">
        <is>
          <t>JÖNKÖPINGS LÄN</t>
        </is>
      </c>
      <c r="G343" t="inlineStr">
        <is>
          <t>SÄVSJÖ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46248</v>
      </c>
      <c r="F344" t="inlineStr">
        <is>
          <t>JÖNKÖPINGS LÄN</t>
        </is>
      </c>
      <c r="G344" t="inlineStr">
        <is>
          <t>SÄVSJÖ</t>
        </is>
      </c>
      <c r="H344" t="inlineStr">
        <is>
          <t>Kommuner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46248</v>
      </c>
      <c r="F345" t="inlineStr">
        <is>
          <t>JÖNKÖPINGS LÄN</t>
        </is>
      </c>
      <c r="G345" t="inlineStr">
        <is>
          <t>SÄVSJÖ</t>
        </is>
      </c>
      <c r="H345" t="inlineStr">
        <is>
          <t>Kommuner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46248</v>
      </c>
      <c r="F346" t="inlineStr">
        <is>
          <t>JÖNKÖPINGS LÄN</t>
        </is>
      </c>
      <c r="G346" t="inlineStr">
        <is>
          <t>SÄVSJÖ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46248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60331-2025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45993</v>
      </c>
      <c r="E348" s="1" t="n">
        <v>46248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62870-2025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46008</v>
      </c>
      <c r="E349" s="1" t="n">
        <v>46248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63352-2025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46248</v>
      </c>
      <c r="F350" t="inlineStr">
        <is>
          <t>JÖNKÖPINGS LÄN</t>
        </is>
      </c>
      <c r="G350" t="inlineStr">
        <is>
          <t>SÄVSJÖ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63599-2025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46014</v>
      </c>
      <c r="E351" s="1" t="n">
        <v>46248</v>
      </c>
      <c r="F351" t="inlineStr">
        <is>
          <t>JÖNKÖPINGS LÄN</t>
        </is>
      </c>
      <c r="G351" t="inlineStr">
        <is>
          <t>SÄVSJÖ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46014</v>
      </c>
      <c r="E352" s="1" t="n">
        <v>46248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46014</v>
      </c>
      <c r="E353" s="1" t="n">
        <v>46248</v>
      </c>
      <c r="F353" t="inlineStr">
        <is>
          <t>JÖNKÖPINGS LÄN</t>
        </is>
      </c>
      <c r="G353" t="inlineStr">
        <is>
          <t>SÄVSJÖ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46014</v>
      </c>
      <c r="E354" s="1" t="n">
        <v>46248</v>
      </c>
      <c r="F354" t="inlineStr">
        <is>
          <t>JÖNKÖPINGS LÄN</t>
        </is>
      </c>
      <c r="G354" t="inlineStr">
        <is>
          <t>SÄVSJÖ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46017</v>
      </c>
      <c r="E355" s="1" t="n">
        <v>46248</v>
      </c>
      <c r="F355" t="inlineStr">
        <is>
          <t>JÖNKÖPINGS LÄN</t>
        </is>
      </c>
      <c r="G355" t="inlineStr">
        <is>
          <t>SÄVSJÖ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46017</v>
      </c>
      <c r="E356" s="1" t="n">
        <v>46248</v>
      </c>
      <c r="F356" t="inlineStr">
        <is>
          <t>JÖNKÖPINGS LÄN</t>
        </is>
      </c>
      <c r="G356" t="inlineStr">
        <is>
          <t>SÄVSJÖ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46248</v>
      </c>
      <c r="F357" t="inlineStr">
        <is>
          <t>JÖNKÖPINGS LÄN</t>
        </is>
      </c>
      <c r="G357" t="inlineStr">
        <is>
          <t>SÄVSJÖ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46248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46248</v>
      </c>
      <c r="F359" t="inlineStr">
        <is>
          <t>JÖNKÖPINGS LÄN</t>
        </is>
      </c>
      <c r="G359" t="inlineStr">
        <is>
          <t>SÄVSJÖ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46248</v>
      </c>
      <c r="F360" t="inlineStr">
        <is>
          <t>JÖNKÖPINGS LÄN</t>
        </is>
      </c>
      <c r="G360" t="inlineStr">
        <is>
          <t>SÄVSJÖ</t>
        </is>
      </c>
      <c r="H360" t="inlineStr">
        <is>
          <t>Kyrkan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46070</v>
      </c>
      <c r="E361" s="1" t="n">
        <v>46248</v>
      </c>
      <c r="F361" t="inlineStr">
        <is>
          <t>JÖNKÖPINGS LÄN</t>
        </is>
      </c>
      <c r="G361" t="inlineStr">
        <is>
          <t>SÄVSJÖ</t>
        </is>
      </c>
      <c r="H361" t="inlineStr">
        <is>
          <t>Kyrkan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46248</v>
      </c>
      <c r="F362" t="inlineStr">
        <is>
          <t>JÖNKÖPINGS LÄN</t>
        </is>
      </c>
      <c r="G362" t="inlineStr">
        <is>
          <t>SÄVSJÖ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46248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46248</v>
      </c>
      <c r="F364" t="inlineStr">
        <is>
          <t>JÖNKÖPINGS LÄN</t>
        </is>
      </c>
      <c r="G364" t="inlineStr">
        <is>
          <t>SÄVSJÖ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14779-2026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46248</v>
      </c>
      <c r="F365" t="inlineStr">
        <is>
          <t>JÖNKÖPINGS LÄN</t>
        </is>
      </c>
      <c r="G365" t="inlineStr">
        <is>
          <t>SÄVSJÖ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46248</v>
      </c>
      <c r="F366" t="inlineStr">
        <is>
          <t>JÖNKÖPINGS LÄN</t>
        </is>
      </c>
      <c r="G366" t="inlineStr">
        <is>
          <t>SÄVSJÖ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46248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46248</v>
      </c>
      <c r="F368" t="inlineStr">
        <is>
          <t>JÖNKÖPINGS LÄN</t>
        </is>
      </c>
      <c r="G368" t="inlineStr">
        <is>
          <t>SÄVSJÖ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46248</v>
      </c>
      <c r="F369" t="inlineStr">
        <is>
          <t>JÖNKÖPINGS LÄN</t>
        </is>
      </c>
      <c r="G369" t="inlineStr">
        <is>
          <t>SÄVSJÖ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18045-2026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46248</v>
      </c>
      <c r="F370" t="inlineStr">
        <is>
          <t>JÖNKÖPINGS LÄN</t>
        </is>
      </c>
      <c r="G370" t="inlineStr">
        <is>
          <t>SÄVSJÖ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46125</v>
      </c>
      <c r="E371" s="1" t="n">
        <v>46248</v>
      </c>
      <c r="F371" t="inlineStr">
        <is>
          <t>JÖNKÖPINGS LÄN</t>
        </is>
      </c>
      <c r="G371" t="inlineStr">
        <is>
          <t>SÄVSJÖ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45785</v>
      </c>
      <c r="E372" s="1" t="n">
        <v>46248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46248</v>
      </c>
      <c r="F373" t="inlineStr">
        <is>
          <t>JÖNKÖPINGS LÄN</t>
        </is>
      </c>
      <c r="G373" t="inlineStr">
        <is>
          <t>SÄVSJÖ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45879</v>
      </c>
      <c r="E374" s="1" t="n">
        <v>46248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46248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46248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46248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46248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46248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46248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10445-2021</t>
        </is>
      </c>
      <c r="B381" t="inlineStr">
        <is>
          <t>samrådsanmälan</t>
        </is>
      </c>
      <c r="C381" t="inlineStr">
        <is>
          <t>Skogsbilväg</t>
        </is>
      </c>
      <c r="D381" s="1" t="n">
        <v>44558</v>
      </c>
      <c r="E381" s="1" t="n">
        <v>46248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46248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46248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46248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46248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46248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46248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46248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46248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46248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46248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46248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46248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46248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46248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46248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46248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46248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46248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46248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46248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46248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46248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46248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2026-08-14T01:51:30Z</dcterms:created>
  <dcterms:modified xmlns:dcterms="http://purl.org/dc/terms/" xmlns:xsi="http://www.w3.org/2001/XMLSchema-instance" xsi:type="dcterms:W3CDTF">2026-08-14T01:51:31Z</dcterms:modified>
</cp:coreProperties>
</file>