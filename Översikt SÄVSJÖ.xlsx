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46286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46286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46286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46286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46286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46286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46286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45170</v>
      </c>
      <c r="E10" s="1" t="n">
        <v>46286</v>
      </c>
      <c r="F10" t="inlineStr">
        <is>
          <t>JÖNKÖPINGS LÄN</t>
        </is>
      </c>
      <c r="G10" t="inlineStr">
        <is>
          <t>SÄVSJÖ</t>
        </is>
      </c>
      <c r="I10" t="n">
        <v>2.8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Sommarfibbla</t>
        </is>
      </c>
      <c r="W10">
        <f>HYPERLINK("https://klasma.github.io/Logging_0684/artfynd/A 40543-2023 artfynd.xlsx", "A 40543-2023")</f>
        <v/>
      </c>
      <c r="X10">
        <f>HYPERLINK("https://klasma.github.io/Logging_0684/kartor/A 40543-2023 karta.png", "A 40543-2023")</f>
        <v/>
      </c>
      <c r="Y10">
        <f>HYPERLINK("https://klasma.github.io/Logging_0684/kartor_geotiff/A 40543-2023 georefererad karta.tif", "A 40543-2023")</f>
        <v/>
      </c>
      <c r="AA10">
        <f>HYPERLINK("https://klasma.github.io/Logging_0684/klagomål/A 40543-2023 FSC-klagomål.docx", "A 40543-2023")</f>
        <v/>
      </c>
      <c r="AB10">
        <f>HYPERLINK("https://klasma.github.io/Logging_0684/klagomålsmail/A 40543-2023 FSC-klagomål mail.docx", "A 40543-2023")</f>
        <v/>
      </c>
      <c r="AC10">
        <f>HYPERLINK("https://klasma.github.io/Logging_0684/tillsyn/A 40543-2023 tillsynsbegäran.docx", "A 40543-2023")</f>
        <v/>
      </c>
      <c r="AD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46286</v>
      </c>
      <c r="F11" t="inlineStr">
        <is>
          <t>JÖNKÖPINGS LÄN</t>
        </is>
      </c>
      <c r="G11" t="inlineStr">
        <is>
          <t>SÄVSJÖ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1</v>
      </c>
      <c r="V11" s="2" t="inlineStr">
        <is>
          <t>Lungrot</t>
        </is>
      </c>
      <c r="W11">
        <f>HYPERLINK("https://klasma.github.io/Logging_0684/artfynd/A 34214-2025 artfynd.xlsx", "A 34214-2025")</f>
        <v/>
      </c>
      <c r="X11">
        <f>HYPERLINK("https://klasma.github.io/Logging_0684/kartor/A 34214-2025 karta.png", "A 34214-2025")</f>
        <v/>
      </c>
      <c r="Y11">
        <f>HYPERLINK("https://klasma.github.io/Logging_0684/kartor_geotiff/A 34214-2025 georefererad karta.tif", "A 34214-2025")</f>
        <v/>
      </c>
      <c r="AA11">
        <f>HYPERLINK("https://klasma.github.io/Logging_0684/klagomål/A 34214-2025 FSC-klagomål.docx", "A 34214-2025")</f>
        <v/>
      </c>
      <c r="AB11">
        <f>HYPERLINK("https://klasma.github.io/Logging_0684/klagomålsmail/A 34214-2025 FSC-klagomål mail.docx", "A 34214-2025")</f>
        <v/>
      </c>
      <c r="AC11">
        <f>HYPERLINK("https://klasma.github.io/Logging_0684/tillsyn/A 34214-2025 tillsynsbegäran.docx", "A 34214-2025")</f>
        <v/>
      </c>
      <c r="AD11">
        <f>HYPERLINK("https://klasma.github.io/Logging_0684/tillsynsmail/A 34214-2025 tillsynsbegäran mail.docx", "A 34214-2025")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46286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61556-2025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46001</v>
      </c>
      <c r="E13" s="1" t="n">
        <v>46286</v>
      </c>
      <c r="F13" t="inlineStr">
        <is>
          <t>JÖNKÖPINGS LÄN</t>
        </is>
      </c>
      <c r="G13" t="inlineStr">
        <is>
          <t>SÄVSJÖ</t>
        </is>
      </c>
      <c r="I13" t="n">
        <v>0.9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HYPERLINK("https://klasma.github.io/Logging_0684/artfynd/A 61556-2025 artfynd.xlsx", "A 61556-2025")</f>
        <v/>
      </c>
      <c r="X13">
        <f>HYPERLINK("https://klasma.github.io/Logging_0684/kartor/A 61556-2025 karta.png", "A 61556-2025")</f>
        <v/>
      </c>
      <c r="Y13">
        <f>HYPERLINK("https://klasma.github.io/Logging_0684/kartor_geotiff/A 61556-2025 georefererad karta.tif", "A 61556-2025")</f>
        <v/>
      </c>
      <c r="AA13">
        <f>HYPERLINK("https://klasma.github.io/Logging_0684/klagomål/A 61556-2025 FSC-klagomål.docx", "A 61556-2025")</f>
        <v/>
      </c>
      <c r="AB13">
        <f>HYPERLINK("https://klasma.github.io/Logging_0684/klagomålsmail/A 61556-2025 FSC-klagomål mail.docx", "A 61556-2025")</f>
        <v/>
      </c>
      <c r="AC13">
        <f>HYPERLINK("https://klasma.github.io/Logging_0684/tillsyn/A 61556-2025 tillsynsbegäran.docx", "A 61556-2025")</f>
        <v/>
      </c>
      <c r="AD13">
        <f>HYPERLINK("https://klasma.github.io/Logging_0684/tillsynsmail/A 61556-2025 tillsynsbegäran mail.docx", "A 61556-2025")</f>
        <v/>
      </c>
      <c r="AE13">
        <f>HYPERLINK("https://klasma.github.io/Logging_0684/fåglar/A 61556-2025 prioriterade fågelarter.docx", "A 61556-2025")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46286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8198-2024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45351</v>
      </c>
      <c r="E15" s="1" t="n">
        <v>46286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Småfruktigt blågryn</t>
        </is>
      </c>
      <c r="W15">
        <f>HYPERLINK("https://klasma.github.io/Logging_0684/artfynd/A 8198-2024 artfynd.xlsx", "A 8198-2024")</f>
        <v/>
      </c>
      <c r="X15">
        <f>HYPERLINK("https://klasma.github.io/Logging_0684/kartor/A 8198-2024 karta.png", "A 8198-2024")</f>
        <v/>
      </c>
      <c r="Y15">
        <f>HYPERLINK("https://klasma.github.io/Logging_0684/kartor_geotiff/A 8198-2024 georefererad karta.tif", "A 8198-2024")</f>
        <v/>
      </c>
      <c r="AA15">
        <f>HYPERLINK("https://klasma.github.io/Logging_0684/klagomål/A 8198-2024 FSC-klagomål.docx", "A 8198-2024")</f>
        <v/>
      </c>
      <c r="AB15">
        <f>HYPERLINK("https://klasma.github.io/Logging_0684/klagomålsmail/A 8198-2024 FSC-klagomål mail.docx", "A 8198-2024")</f>
        <v/>
      </c>
      <c r="AC15">
        <f>HYPERLINK("https://klasma.github.io/Logging_0684/tillsyn/A 8198-2024 tillsynsbegäran.docx", "A 8198-2024")</f>
        <v/>
      </c>
      <c r="AD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46286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57846-2025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45981</v>
      </c>
      <c r="E17" s="1" t="n">
        <v>46286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4</v>
      </c>
      <c r="U17" t="n">
        <v>0</v>
      </c>
      <c r="V17" s="2" t="inlineStr">
        <is>
          <t>Ask</t>
        </is>
      </c>
      <c r="W17">
        <f>HYPERLINK("https://klasma.github.io/Logging_0684/artfynd/A 57846-2025 artfynd.xlsx", "A 57846-2025")</f>
        <v/>
      </c>
      <c r="X17">
        <f>HYPERLINK("https://klasma.github.io/Logging_0684/kartor/A 57846-2025 karta.png", "A 57846-2025")</f>
        <v/>
      </c>
      <c r="Y17">
        <f>HYPERLINK("https://klasma.github.io/Logging_0684/kartor_geotiff/A 57846-2025 georefererad karta.tif", "A 57846-2025")</f>
        <v/>
      </c>
      <c r="AA17">
        <f>HYPERLINK("https://klasma.github.io/Logging_0684/klagomål/A 57846-2025 FSC-klagomål.docx", "A 57846-2025")</f>
        <v/>
      </c>
      <c r="AB17">
        <f>HYPERLINK("https://klasma.github.io/Logging_0684/klagomålsmail/A 57846-2025 FSC-klagomål mail.docx", "A 57846-2025")</f>
        <v/>
      </c>
      <c r="AC17">
        <f>HYPERLINK("https://klasma.github.io/Logging_0684/tillsyn/A 57846-2025 tillsynsbegäran.docx", "A 57846-2025")</f>
        <v/>
      </c>
      <c r="AD17">
        <f>HYPERLINK("https://klasma.github.io/Logging_0684/tillsynsmail/A 57846-2025 tillsynsbegäran mail.docx", "A 57846-2025")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46286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46286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46286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46286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10046-2025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46286</v>
      </c>
      <c r="F22" t="inlineStr">
        <is>
          <t>JÖNKÖPINGS LÄN</t>
        </is>
      </c>
      <c r="G22" t="inlineStr">
        <is>
          <t>SÄVSJÖ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HYPERLINK("https://klasma.github.io/Logging_0684/artfynd/A 10046-2025 artfynd.xlsx", "A 10046-2025")</f>
        <v/>
      </c>
      <c r="X22">
        <f>HYPERLINK("https://klasma.github.io/Logging_0684/kartor/A 10046-2025 karta.png", "A 10046-2025")</f>
        <v/>
      </c>
      <c r="Y22">
        <f>HYPERLINK("https://klasma.github.io/Logging_0684/kartor_geotiff/A 10046-2025 georefererad karta.tif", "A 10046-2025")</f>
        <v/>
      </c>
      <c r="AA22">
        <f>HYPERLINK("https://klasma.github.io/Logging_0684/klagomål/A 10046-2025 FSC-klagomål.docx", "A 10046-2025")</f>
        <v/>
      </c>
      <c r="AB22">
        <f>HYPERLINK("https://klasma.github.io/Logging_0684/klagomålsmail/A 10046-2025 FSC-klagomål mail.docx", "A 10046-2025")</f>
        <v/>
      </c>
      <c r="AC22">
        <f>HYPERLINK("https://klasma.github.io/Logging_0684/tillsyn/A 10046-2025 tillsynsbegäran.docx", "A 10046-2025")</f>
        <v/>
      </c>
      <c r="AD22">
        <f>HYPERLINK("https://klasma.github.io/Logging_0684/tillsynsmail/A 10046-2025 tillsynsbegäran mail.docx", "A 10046-2025")</f>
        <v/>
      </c>
    </row>
    <row r="23" ht="15" customHeight="1">
      <c r="A23" t="inlineStr">
        <is>
          <t>A 10775-2025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45722</v>
      </c>
      <c r="E23" s="1" t="n">
        <v>46286</v>
      </c>
      <c r="F23" t="inlineStr">
        <is>
          <t>JÖNKÖPINGS LÄN</t>
        </is>
      </c>
      <c r="G23" t="inlineStr">
        <is>
          <t>SÄVSJÖ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Solvända</t>
        </is>
      </c>
      <c r="W23">
        <f>HYPERLINK("https://klasma.github.io/Logging_0684/artfynd/A 10775-2025 artfynd.xlsx", "A 10775-2025")</f>
        <v/>
      </c>
      <c r="X23">
        <f>HYPERLINK("https://klasma.github.io/Logging_0684/kartor/A 10775-2025 karta.png", "A 10775-2025")</f>
        <v/>
      </c>
      <c r="Y23">
        <f>HYPERLINK("https://klasma.github.io/Logging_0684/kartor_geotiff/A 10775-2025 georefererad karta.tif", "A 10775-2025")</f>
        <v/>
      </c>
      <c r="AA23">
        <f>HYPERLINK("https://klasma.github.io/Logging_0684/klagomål/A 10775-2025 FSC-klagomål.docx", "A 10775-2025")</f>
        <v/>
      </c>
      <c r="AB23">
        <f>HYPERLINK("https://klasma.github.io/Logging_0684/klagomålsmail/A 10775-2025 FSC-klagomål mail.docx", "A 10775-2025")</f>
        <v/>
      </c>
      <c r="AC23">
        <f>HYPERLINK("https://klasma.github.io/Logging_0684/tillsyn/A 10775-2025 tillsynsbegäran.docx", "A 10775-2025")</f>
        <v/>
      </c>
      <c r="AD23">
        <f>HYPERLINK("https://klasma.github.io/Logging_0684/tillsynsmail/A 10775-2025 tillsynsbegäran mail.docx", "A 10775-2025")</f>
        <v/>
      </c>
    </row>
    <row r="24" ht="15" customHeight="1">
      <c r="A24" t="inlineStr">
        <is>
          <t>S 689-2026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46091</v>
      </c>
      <c r="E24" s="1" t="n">
        <v>46286</v>
      </c>
      <c r="F24" t="inlineStr">
        <is>
          <t>JÖNKÖPINGS LÄN</t>
        </is>
      </c>
      <c r="G24" t="inlineStr">
        <is>
          <t>SÄVSJÖ</t>
        </is>
      </c>
      <c r="I24" t="n">
        <v>21.4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HYPERLINK("https://klasma.github.io/Logging_0684/artfynd/S 689-2026 artfynd.xlsx", "S 689-2026")</f>
        <v/>
      </c>
      <c r="X24">
        <f>HYPERLINK("https://klasma.github.io/Logging_0684/kartor/S 689-2026 karta.png", "S 689-2026")</f>
        <v/>
      </c>
      <c r="Y24">
        <f>HYPERLINK("https://klasma.github.io/Logging_0684/kartor_geotiff/S 689-2026 georefererad karta.tif", "S 689-2026")</f>
        <v/>
      </c>
      <c r="AA24">
        <f>HYPERLINK("https://klasma.github.io/Logging_0684/klagomål/S 689-2026 FSC-klagomål.docx", "S 689-2026")</f>
        <v/>
      </c>
      <c r="AB24">
        <f>HYPERLINK("https://klasma.github.io/Logging_0684/klagomålsmail/S 689-2026 FSC-klagomål mail.docx", "S 689-2026")</f>
        <v/>
      </c>
      <c r="AC24">
        <f>HYPERLINK("https://klasma.github.io/Logging_0684/tillsyn/S 689-2026 tillsynsbegäran.docx", "S 689-2026")</f>
        <v/>
      </c>
      <c r="AD24">
        <f>HYPERLINK("https://klasma.github.io/Logging_0684/tillsynsmail/S 689-2026 tillsynsbegäran mail.docx", "S 689-2026")</f>
        <v/>
      </c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46286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53099-2022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44876</v>
      </c>
      <c r="E26" s="1" t="n">
        <v>46286</v>
      </c>
      <c r="F26" t="inlineStr">
        <is>
          <t>JÖNKÖPINGS LÄN</t>
        </is>
      </c>
      <c r="G26" t="inlineStr">
        <is>
          <t>SÄVSJÖ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69990-2021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46286</v>
      </c>
      <c r="F27" t="inlineStr">
        <is>
          <t>JÖNKÖPINGS LÄN</t>
        </is>
      </c>
      <c r="G27" t="inlineStr">
        <is>
          <t>SÄVSJÖ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46286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44805</v>
      </c>
      <c r="E29" s="1" t="n">
        <v>46286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46286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46286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44809</v>
      </c>
      <c r="E32" s="1" t="n">
        <v>46286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46286</v>
      </c>
      <c r="F33" t="inlineStr">
        <is>
          <t>JÖNKÖPINGS LÄN</t>
        </is>
      </c>
      <c r="G33" t="inlineStr">
        <is>
          <t>SÄVSJÖ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46286</v>
      </c>
      <c r="F34" t="inlineStr">
        <is>
          <t>JÖNKÖPINGS LÄN</t>
        </is>
      </c>
      <c r="G34" t="inlineStr">
        <is>
          <t>SÄVSJÖ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46286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46286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46286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46286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46286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46286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46286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46286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46286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46286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46286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46286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46286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46286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46286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46286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46286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46286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46286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46286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46286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46286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46286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46286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46286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46286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46286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46286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46286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46286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46286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46286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46286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46286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46286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46286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46286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45094</v>
      </c>
      <c r="E72" s="1" t="n">
        <v>46286</v>
      </c>
      <c r="F72" t="inlineStr">
        <is>
          <t>JÖNKÖPINGS LÄN</t>
        </is>
      </c>
      <c r="G72" t="inlineStr">
        <is>
          <t>SÄVSJÖ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46286</v>
      </c>
      <c r="F73" t="inlineStr">
        <is>
          <t>JÖNKÖPINGS LÄN</t>
        </is>
      </c>
      <c r="G73" t="inlineStr">
        <is>
          <t>SÄVSJÖ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44664</v>
      </c>
      <c r="E74" s="1" t="n">
        <v>46286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46286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46286</v>
      </c>
      <c r="F76" t="inlineStr">
        <is>
          <t>JÖNKÖPINGS LÄN</t>
        </is>
      </c>
      <c r="G76" t="inlineStr">
        <is>
          <t>SÄVSJÖ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46286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46906-2023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46286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46286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46286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46286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46286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45350</v>
      </c>
      <c r="E83" s="1" t="n">
        <v>46286</v>
      </c>
      <c r="F83" t="inlineStr">
        <is>
          <t>JÖNKÖPINGS LÄN</t>
        </is>
      </c>
      <c r="G83" t="inlineStr">
        <is>
          <t>SÄVSJÖ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46286</v>
      </c>
      <c r="F84" t="inlineStr">
        <is>
          <t>JÖNKÖPINGS LÄN</t>
        </is>
      </c>
      <c r="G84" t="inlineStr">
        <is>
          <t>SÄVSJÖ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19017-2025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45764</v>
      </c>
      <c r="E85" s="1" t="n">
        <v>46286</v>
      </c>
      <c r="F85" t="inlineStr">
        <is>
          <t>JÖNKÖPINGS LÄN</t>
        </is>
      </c>
      <c r="G85" t="inlineStr">
        <is>
          <t>SÄVSJÖ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46286</v>
      </c>
      <c r="F86" t="inlineStr">
        <is>
          <t>JÖNKÖPINGS LÄN</t>
        </is>
      </c>
      <c r="G86" t="inlineStr">
        <is>
          <t>SÄVSJÖ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46286</v>
      </c>
      <c r="F87" t="inlineStr">
        <is>
          <t>JÖNKÖPINGS LÄN</t>
        </is>
      </c>
      <c r="G87" t="inlineStr">
        <is>
          <t>SÄVSJÖ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36391-2024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45534</v>
      </c>
      <c r="E88" s="1" t="n">
        <v>46286</v>
      </c>
      <c r="F88" t="inlineStr">
        <is>
          <t>JÖNKÖPINGS LÄN</t>
        </is>
      </c>
      <c r="G88" t="inlineStr">
        <is>
          <t>SÄVSJÖ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45518</v>
      </c>
      <c r="E89" s="1" t="n">
        <v>46286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46286</v>
      </c>
      <c r="F90" t="inlineStr">
        <is>
          <t>JÖNKÖPINGS LÄN</t>
        </is>
      </c>
      <c r="G90" t="inlineStr">
        <is>
          <t>SÄVSJÖ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55801-2021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46286</v>
      </c>
      <c r="F91" t="inlineStr">
        <is>
          <t>JÖNKÖPINGS LÄN</t>
        </is>
      </c>
      <c r="G91" t="inlineStr">
        <is>
          <t>SÄVSJÖ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46286</v>
      </c>
      <c r="F92" t="inlineStr">
        <is>
          <t>JÖNKÖPINGS LÄN</t>
        </is>
      </c>
      <c r="G92" t="inlineStr">
        <is>
          <t>SÄVSJÖ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45634</v>
      </c>
      <c r="E93" s="1" t="n">
        <v>46286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46286</v>
      </c>
      <c r="F94" t="inlineStr">
        <is>
          <t>JÖNKÖPINGS LÄN</t>
        </is>
      </c>
      <c r="G94" t="inlineStr">
        <is>
          <t>SÄVSJÖ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46286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45094</v>
      </c>
      <c r="E96" s="1" t="n">
        <v>46286</v>
      </c>
      <c r="F96" t="inlineStr">
        <is>
          <t>JÖNKÖPINGS LÄN</t>
        </is>
      </c>
      <c r="G96" t="inlineStr">
        <is>
          <t>SÄVSJÖ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46286</v>
      </c>
      <c r="F97" t="inlineStr">
        <is>
          <t>JÖNKÖPINGS LÄN</t>
        </is>
      </c>
      <c r="G97" t="inlineStr">
        <is>
          <t>SÄVSJÖ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46286</v>
      </c>
      <c r="F98" t="inlineStr">
        <is>
          <t>JÖNKÖPINGS LÄN</t>
        </is>
      </c>
      <c r="G98" t="inlineStr">
        <is>
          <t>SÄVSJÖ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46286</v>
      </c>
      <c r="F99" t="inlineStr">
        <is>
          <t>JÖNKÖPINGS LÄN</t>
        </is>
      </c>
      <c r="G99" t="inlineStr">
        <is>
          <t>SÄVSJÖ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46286</v>
      </c>
      <c r="F100" t="inlineStr">
        <is>
          <t>JÖNKÖPINGS LÄN</t>
        </is>
      </c>
      <c r="G100" t="inlineStr">
        <is>
          <t>SÄVSJÖ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45067</v>
      </c>
      <c r="E101" s="1" t="n">
        <v>46286</v>
      </c>
      <c r="F101" t="inlineStr">
        <is>
          <t>JÖNKÖPINGS LÄN</t>
        </is>
      </c>
      <c r="G101" t="inlineStr">
        <is>
          <t>SÄVSJÖ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46286</v>
      </c>
      <c r="F102" t="inlineStr">
        <is>
          <t>JÖNKÖPINGS LÄN</t>
        </is>
      </c>
      <c r="G102" t="inlineStr">
        <is>
          <t>SÄVSJÖ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45267</v>
      </c>
      <c r="E103" s="1" t="n">
        <v>46286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63920-2021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46286</v>
      </c>
      <c r="F104" t="inlineStr">
        <is>
          <t>JÖNKÖPINGS LÄN</t>
        </is>
      </c>
      <c r="G104" t="inlineStr">
        <is>
          <t>SÄVSJÖ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45228</v>
      </c>
      <c r="E105" s="1" t="n">
        <v>46286</v>
      </c>
      <c r="F105" t="inlineStr">
        <is>
          <t>JÖNKÖPINGS LÄN</t>
        </is>
      </c>
      <c r="G105" t="inlineStr">
        <is>
          <t>SÄVSJÖ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46286</v>
      </c>
      <c r="F106" t="inlineStr">
        <is>
          <t>JÖNKÖPINGS LÄN</t>
        </is>
      </c>
      <c r="G106" t="inlineStr">
        <is>
          <t>SÄVSJÖ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44995</v>
      </c>
      <c r="E107" s="1" t="n">
        <v>46286</v>
      </c>
      <c r="F107" t="inlineStr">
        <is>
          <t>JÖNKÖPINGS LÄN</t>
        </is>
      </c>
      <c r="G107" t="inlineStr">
        <is>
          <t>SÄVSJÖ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46286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46286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46286</v>
      </c>
      <c r="F110" t="inlineStr">
        <is>
          <t>JÖNKÖPINGS LÄN</t>
        </is>
      </c>
      <c r="G110" t="inlineStr">
        <is>
          <t>SÄVSJÖ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45371</v>
      </c>
      <c r="E111" s="1" t="n">
        <v>46286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45102</v>
      </c>
      <c r="E112" s="1" t="n">
        <v>46286</v>
      </c>
      <c r="F112" t="inlineStr">
        <is>
          <t>JÖNKÖPINGS LÄN</t>
        </is>
      </c>
      <c r="G112" t="inlineStr">
        <is>
          <t>SÄVSJÖ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46286</v>
      </c>
      <c r="F113" t="inlineStr">
        <is>
          <t>JÖNKÖPINGS LÄN</t>
        </is>
      </c>
      <c r="G113" t="inlineStr">
        <is>
          <t>SÄVSJÖ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46286</v>
      </c>
      <c r="F114" t="inlineStr">
        <is>
          <t>JÖNKÖPINGS LÄN</t>
        </is>
      </c>
      <c r="G114" t="inlineStr">
        <is>
          <t>SÄVSJÖ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38914-2024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45547</v>
      </c>
      <c r="E115" s="1" t="n">
        <v>46286</v>
      </c>
      <c r="F115" t="inlineStr">
        <is>
          <t>JÖNKÖPINGS LÄN</t>
        </is>
      </c>
      <c r="G115" t="inlineStr">
        <is>
          <t>SÄVSJÖ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45302</v>
      </c>
      <c r="E116" s="1" t="n">
        <v>46286</v>
      </c>
      <c r="F116" t="inlineStr">
        <is>
          <t>JÖNKÖPINGS LÄN</t>
        </is>
      </c>
      <c r="G116" t="inlineStr">
        <is>
          <t>SÄVSJÖ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43976-2022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44838</v>
      </c>
      <c r="E117" s="1" t="n">
        <v>46286</v>
      </c>
      <c r="F117" t="inlineStr">
        <is>
          <t>JÖNKÖPINGS LÄN</t>
        </is>
      </c>
      <c r="G117" t="inlineStr">
        <is>
          <t>SÄVSJÖ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46286</v>
      </c>
      <c r="F118" t="inlineStr">
        <is>
          <t>JÖNKÖPINGS LÄN</t>
        </is>
      </c>
      <c r="G118" t="inlineStr">
        <is>
          <t>SÄVSJÖ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45879</v>
      </c>
      <c r="E119" s="1" t="n">
        <v>46286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46286</v>
      </c>
      <c r="F120" t="inlineStr">
        <is>
          <t>JÖNKÖPINGS LÄN</t>
        </is>
      </c>
      <c r="G120" t="inlineStr">
        <is>
          <t>SÄVSJÖ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46286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50627-2022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44866</v>
      </c>
      <c r="E122" s="1" t="n">
        <v>46286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44642</v>
      </c>
      <c r="E123" s="1" t="n">
        <v>46286</v>
      </c>
      <c r="F123" t="inlineStr">
        <is>
          <t>JÖNKÖPINGS LÄN</t>
        </is>
      </c>
      <c r="G123" t="inlineStr">
        <is>
          <t>SÄVSJÖ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46286</v>
      </c>
      <c r="F124" t="inlineStr">
        <is>
          <t>JÖNKÖPINGS LÄN</t>
        </is>
      </c>
      <c r="G124" t="inlineStr">
        <is>
          <t>SÄVSJÖ</t>
        </is>
      </c>
      <c r="H124" t="inlineStr">
        <is>
          <t>Kyrkan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45110</v>
      </c>
      <c r="E125" s="1" t="n">
        <v>46286</v>
      </c>
      <c r="F125" t="inlineStr">
        <is>
          <t>JÖNKÖPINGS LÄN</t>
        </is>
      </c>
      <c r="G125" t="inlineStr">
        <is>
          <t>SÄVSJÖ</t>
        </is>
      </c>
      <c r="H125" t="inlineStr">
        <is>
          <t>Kommuner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46286</v>
      </c>
      <c r="F126" t="inlineStr">
        <is>
          <t>JÖNKÖPINGS LÄN</t>
        </is>
      </c>
      <c r="G126" t="inlineStr">
        <is>
          <t>SÄVSJÖ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46286</v>
      </c>
      <c r="F127" t="inlineStr">
        <is>
          <t>JÖNKÖPINGS LÄN</t>
        </is>
      </c>
      <c r="G127" t="inlineStr">
        <is>
          <t>SÄVSJÖ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46286</v>
      </c>
      <c r="F128" t="inlineStr">
        <is>
          <t>JÖNKÖPINGS LÄN</t>
        </is>
      </c>
      <c r="G128" t="inlineStr">
        <is>
          <t>SÄVSJÖ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46286</v>
      </c>
      <c r="F129" t="inlineStr">
        <is>
          <t>JÖNKÖPINGS LÄN</t>
        </is>
      </c>
      <c r="G129" t="inlineStr">
        <is>
          <t>SÄVSJÖ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46286</v>
      </c>
      <c r="F130" t="inlineStr">
        <is>
          <t>JÖNKÖPINGS LÄN</t>
        </is>
      </c>
      <c r="G130" t="inlineStr">
        <is>
          <t>SÄVSJÖ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46286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46286</v>
      </c>
      <c r="F132" t="inlineStr">
        <is>
          <t>JÖNKÖPINGS LÄN</t>
        </is>
      </c>
      <c r="G132" t="inlineStr">
        <is>
          <t>SÄVSJÖ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45634</v>
      </c>
      <c r="E133" s="1" t="n">
        <v>46286</v>
      </c>
      <c r="F133" t="inlineStr">
        <is>
          <t>JÖNKÖPINGS LÄN</t>
        </is>
      </c>
      <c r="G133" t="inlineStr">
        <is>
          <t>SÄVSJÖ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46286</v>
      </c>
      <c r="F134" t="inlineStr">
        <is>
          <t>JÖNKÖPINGS LÄN</t>
        </is>
      </c>
      <c r="G134" t="inlineStr">
        <is>
          <t>SÄVSJÖ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46286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45433</v>
      </c>
      <c r="E136" s="1" t="n">
        <v>46286</v>
      </c>
      <c r="F136" t="inlineStr">
        <is>
          <t>JÖNKÖPINGS LÄN</t>
        </is>
      </c>
      <c r="G136" t="inlineStr">
        <is>
          <t>SÄVSJÖ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46286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45534</v>
      </c>
      <c r="E138" s="1" t="n">
        <v>46286</v>
      </c>
      <c r="F138" t="inlineStr">
        <is>
          <t>JÖNKÖPINGS LÄN</t>
        </is>
      </c>
      <c r="G138" t="inlineStr">
        <is>
          <t>SÄVSJÖ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45053</v>
      </c>
      <c r="E139" s="1" t="n">
        <v>46286</v>
      </c>
      <c r="F139" t="inlineStr">
        <is>
          <t>JÖNKÖPINGS LÄN</t>
        </is>
      </c>
      <c r="G139" t="inlineStr">
        <is>
          <t>SÄVSJÖ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46286</v>
      </c>
      <c r="F140" t="inlineStr">
        <is>
          <t>JÖNKÖPINGS LÄN</t>
        </is>
      </c>
      <c r="G140" t="inlineStr">
        <is>
          <t>SÄVSJÖ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46286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10887-2023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46286</v>
      </c>
      <c r="F142" t="inlineStr">
        <is>
          <t>JÖNKÖPINGS LÄN</t>
        </is>
      </c>
      <c r="G142" t="inlineStr">
        <is>
          <t>SÄVSJÖ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45593</v>
      </c>
      <c r="E143" s="1" t="n">
        <v>46286</v>
      </c>
      <c r="F143" t="inlineStr">
        <is>
          <t>JÖNKÖPINGS LÄN</t>
        </is>
      </c>
      <c r="G143" t="inlineStr">
        <is>
          <t>SÄVSJÖ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46286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46286</v>
      </c>
      <c r="F145" t="inlineStr">
        <is>
          <t>JÖNKÖPINGS LÄN</t>
        </is>
      </c>
      <c r="G145" t="inlineStr">
        <is>
          <t>SÄVSJÖ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44957</v>
      </c>
      <c r="E146" s="1" t="n">
        <v>46286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46286</v>
      </c>
      <c r="F147" t="inlineStr">
        <is>
          <t>JÖNKÖPINGS LÄN</t>
        </is>
      </c>
      <c r="G147" t="inlineStr">
        <is>
          <t>SÄVSJÖ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46286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46286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45419</v>
      </c>
      <c r="E150" s="1" t="n">
        <v>46286</v>
      </c>
      <c r="F150" t="inlineStr">
        <is>
          <t>JÖNKÖPINGS LÄN</t>
        </is>
      </c>
      <c r="G150" t="inlineStr">
        <is>
          <t>SÄVSJÖ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46286</v>
      </c>
      <c r="F151" t="inlineStr">
        <is>
          <t>JÖNKÖPINGS LÄN</t>
        </is>
      </c>
      <c r="G151" t="inlineStr">
        <is>
          <t>SÄVSJÖ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46286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46286</v>
      </c>
      <c r="F153" t="inlineStr">
        <is>
          <t>JÖNKÖPINGS LÄN</t>
        </is>
      </c>
      <c r="G153" t="inlineStr">
        <is>
          <t>SÄVSJÖ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46286</v>
      </c>
      <c r="F154" t="inlineStr">
        <is>
          <t>JÖNKÖPINGS LÄN</t>
        </is>
      </c>
      <c r="G154" t="inlineStr">
        <is>
          <t>SÄVSJÖ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46286</v>
      </c>
      <c r="F155" t="inlineStr">
        <is>
          <t>JÖNKÖPINGS LÄN</t>
        </is>
      </c>
      <c r="G155" t="inlineStr">
        <is>
          <t>SÄVSJÖ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44951</v>
      </c>
      <c r="E156" s="1" t="n">
        <v>46286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46286</v>
      </c>
      <c r="F157" t="inlineStr">
        <is>
          <t>JÖNKÖPINGS LÄN</t>
        </is>
      </c>
      <c r="G157" t="inlineStr">
        <is>
          <t>SÄVSJÖ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46286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7285-2023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44970</v>
      </c>
      <c r="E159" s="1" t="n">
        <v>46286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46286</v>
      </c>
      <c r="F160" t="inlineStr">
        <is>
          <t>JÖNKÖPINGS LÄN</t>
        </is>
      </c>
      <c r="G160" t="inlineStr">
        <is>
          <t>SÄVSJÖ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50629-2022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44866</v>
      </c>
      <c r="E161" s="1" t="n">
        <v>46286</v>
      </c>
      <c r="F161" t="inlineStr">
        <is>
          <t>JÖNKÖPINGS LÄN</t>
        </is>
      </c>
      <c r="G161" t="inlineStr">
        <is>
          <t>SÄVSJÖ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46286</v>
      </c>
      <c r="F162" t="inlineStr">
        <is>
          <t>JÖNKÖPINGS LÄN</t>
        </is>
      </c>
      <c r="G162" t="inlineStr">
        <is>
          <t>SÄVSJÖ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45953</v>
      </c>
      <c r="E163" s="1" t="n">
        <v>46286</v>
      </c>
      <c r="F163" t="inlineStr">
        <is>
          <t>JÖNKÖPINGS LÄN</t>
        </is>
      </c>
      <c r="G163" t="inlineStr">
        <is>
          <t>SÄVSJÖ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46286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46286</v>
      </c>
      <c r="F165" t="inlineStr">
        <is>
          <t>JÖNKÖPINGS LÄN</t>
        </is>
      </c>
      <c r="G165" t="inlineStr">
        <is>
          <t>SÄVSJÖ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46286</v>
      </c>
      <c r="F166" t="inlineStr">
        <is>
          <t>JÖNKÖPINGS LÄN</t>
        </is>
      </c>
      <c r="G166" t="inlineStr">
        <is>
          <t>SÄVSJÖ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46286</v>
      </c>
      <c r="F167" t="inlineStr">
        <is>
          <t>JÖNKÖPINGS LÄN</t>
        </is>
      </c>
      <c r="G167" t="inlineStr">
        <is>
          <t>SÄVSJÖ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46286</v>
      </c>
      <c r="F168" t="inlineStr">
        <is>
          <t>JÖNKÖPINGS LÄN</t>
        </is>
      </c>
      <c r="G168" t="inlineStr">
        <is>
          <t>SÄVSJÖ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45338</v>
      </c>
      <c r="E169" s="1" t="n">
        <v>46286</v>
      </c>
      <c r="F169" t="inlineStr">
        <is>
          <t>JÖNKÖPINGS LÄN</t>
        </is>
      </c>
      <c r="G169" t="inlineStr">
        <is>
          <t>SÄVSJÖ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46286</v>
      </c>
      <c r="F170" t="inlineStr">
        <is>
          <t>JÖNKÖPINGS LÄN</t>
        </is>
      </c>
      <c r="G170" t="inlineStr">
        <is>
          <t>SÄVSJÖ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46286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46286</v>
      </c>
      <c r="F172" t="inlineStr">
        <is>
          <t>JÖNKÖPINGS LÄN</t>
        </is>
      </c>
      <c r="G172" t="inlineStr">
        <is>
          <t>SÄVSJÖ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46286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46286</v>
      </c>
      <c r="F174" t="inlineStr">
        <is>
          <t>JÖNKÖPINGS LÄN</t>
        </is>
      </c>
      <c r="G174" t="inlineStr">
        <is>
          <t>SÄVSJÖ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45534</v>
      </c>
      <c r="E175" s="1" t="n">
        <v>46286</v>
      </c>
      <c r="F175" t="inlineStr">
        <is>
          <t>JÖNKÖPINGS LÄN</t>
        </is>
      </c>
      <c r="G175" t="inlineStr">
        <is>
          <t>SÄVSJÖ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54275-2025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45964</v>
      </c>
      <c r="E176" s="1" t="n">
        <v>46286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46286</v>
      </c>
      <c r="F177" t="inlineStr">
        <is>
          <t>JÖNKÖPINGS LÄN</t>
        </is>
      </c>
      <c r="G177" t="inlineStr">
        <is>
          <t>SÄVSJÖ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46286</v>
      </c>
      <c r="F178" t="inlineStr">
        <is>
          <t>JÖNKÖPINGS LÄN</t>
        </is>
      </c>
      <c r="G178" t="inlineStr">
        <is>
          <t>SÄVSJÖ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48893-2023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45209</v>
      </c>
      <c r="E179" s="1" t="n">
        <v>46286</v>
      </c>
      <c r="F179" t="inlineStr">
        <is>
          <t>JÖNKÖPINGS LÄN</t>
        </is>
      </c>
      <c r="G179" t="inlineStr">
        <is>
          <t>SÄVSJÖ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46286</v>
      </c>
      <c r="F180" t="inlineStr">
        <is>
          <t>JÖNKÖPINGS LÄN</t>
        </is>
      </c>
      <c r="G180" t="inlineStr">
        <is>
          <t>SÄVSJÖ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46286</v>
      </c>
      <c r="F181" t="inlineStr">
        <is>
          <t>JÖNKÖPINGS LÄN</t>
        </is>
      </c>
      <c r="G181" t="inlineStr">
        <is>
          <t>SÄVSJÖ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46286</v>
      </c>
      <c r="F182" t="inlineStr">
        <is>
          <t>JÖNKÖPINGS LÄN</t>
        </is>
      </c>
      <c r="G182" t="inlineStr">
        <is>
          <t>SÄVSJÖ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46286</v>
      </c>
      <c r="F183" t="inlineStr">
        <is>
          <t>JÖNKÖPINGS LÄN</t>
        </is>
      </c>
      <c r="G183" t="inlineStr">
        <is>
          <t>SÄVSJÖ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45197</v>
      </c>
      <c r="E184" s="1" t="n">
        <v>46286</v>
      </c>
      <c r="F184" t="inlineStr">
        <is>
          <t>JÖNKÖPINGS LÄN</t>
        </is>
      </c>
      <c r="G184" t="inlineStr">
        <is>
          <t>SÄVSJÖ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46286</v>
      </c>
      <c r="F185" t="inlineStr">
        <is>
          <t>JÖNKÖPINGS LÄN</t>
        </is>
      </c>
      <c r="G185" t="inlineStr">
        <is>
          <t>SÄVSJÖ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46286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44656</v>
      </c>
      <c r="E187" s="1" t="n">
        <v>46286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45975</v>
      </c>
      <c r="E188" s="1" t="n">
        <v>46286</v>
      </c>
      <c r="F188" t="inlineStr">
        <is>
          <t>JÖNKÖPINGS LÄN</t>
        </is>
      </c>
      <c r="G188" t="inlineStr">
        <is>
          <t>SÄVSJÖ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46286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46286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45301</v>
      </c>
      <c r="E191" s="1" t="n">
        <v>46286</v>
      </c>
      <c r="F191" t="inlineStr">
        <is>
          <t>JÖNKÖPINGS LÄN</t>
        </is>
      </c>
      <c r="G191" t="inlineStr">
        <is>
          <t>SÄVSJÖ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46286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46286</v>
      </c>
      <c r="F193" t="inlineStr">
        <is>
          <t>JÖNKÖPINGS LÄN</t>
        </is>
      </c>
      <c r="G193" t="inlineStr">
        <is>
          <t>SÄVSJÖ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41391-2022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44826</v>
      </c>
      <c r="E194" s="1" t="n">
        <v>46286</v>
      </c>
      <c r="F194" t="inlineStr">
        <is>
          <t>JÖNKÖPINGS LÄN</t>
        </is>
      </c>
      <c r="G194" t="inlineStr">
        <is>
          <t>SÄVSJÖ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46286</v>
      </c>
      <c r="F195" t="inlineStr">
        <is>
          <t>JÖNKÖPINGS LÄN</t>
        </is>
      </c>
      <c r="G195" t="inlineStr">
        <is>
          <t>SÄVSJÖ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46286</v>
      </c>
      <c r="F196" t="inlineStr">
        <is>
          <t>JÖNKÖPINGS LÄN</t>
        </is>
      </c>
      <c r="G196" t="inlineStr">
        <is>
          <t>SÄVSJÖ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46286</v>
      </c>
      <c r="F197" t="inlineStr">
        <is>
          <t>JÖNKÖPINGS LÄN</t>
        </is>
      </c>
      <c r="G197" t="inlineStr">
        <is>
          <t>SÄVSJÖ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46286</v>
      </c>
      <c r="F198" t="inlineStr">
        <is>
          <t>JÖNKÖPINGS LÄN</t>
        </is>
      </c>
      <c r="G198" t="inlineStr">
        <is>
          <t>SÄVSJÖ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62961-2021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46286</v>
      </c>
      <c r="F199" t="inlineStr">
        <is>
          <t>JÖNKÖPINGS LÄN</t>
        </is>
      </c>
      <c r="G199" t="inlineStr">
        <is>
          <t>SÄVSJÖ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46286</v>
      </c>
      <c r="F200" t="inlineStr">
        <is>
          <t>JÖNKÖPINGS LÄN</t>
        </is>
      </c>
      <c r="G200" t="inlineStr">
        <is>
          <t>SÄVSJÖ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45446</v>
      </c>
      <c r="E201" s="1" t="n">
        <v>46286</v>
      </c>
      <c r="F201" t="inlineStr">
        <is>
          <t>JÖNKÖPINGS LÄN</t>
        </is>
      </c>
      <c r="G201" t="inlineStr">
        <is>
          <t>SÄVSJÖ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46286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46286</v>
      </c>
      <c r="F203" t="inlineStr">
        <is>
          <t>JÖNKÖPINGS LÄN</t>
        </is>
      </c>
      <c r="G203" t="inlineStr">
        <is>
          <t>SÄVSJÖ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46286</v>
      </c>
      <c r="F204" t="inlineStr">
        <is>
          <t>JÖNKÖPINGS LÄN</t>
        </is>
      </c>
      <c r="G204" t="inlineStr">
        <is>
          <t>SÄVSJÖ</t>
        </is>
      </c>
      <c r="H204" t="inlineStr">
        <is>
          <t>Kyrkan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45407</v>
      </c>
      <c r="E205" s="1" t="n">
        <v>46286</v>
      </c>
      <c r="F205" t="inlineStr">
        <is>
          <t>JÖNKÖPINGS LÄN</t>
        </is>
      </c>
      <c r="G205" t="inlineStr">
        <is>
          <t>SÄVSJÖ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45669</v>
      </c>
      <c r="E206" s="1" t="n">
        <v>46286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60331-2025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45993</v>
      </c>
      <c r="E207" s="1" t="n">
        <v>46286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46286</v>
      </c>
      <c r="F208" t="inlineStr">
        <is>
          <t>JÖNKÖPINGS LÄN</t>
        </is>
      </c>
      <c r="G208" t="inlineStr">
        <is>
          <t>SÄVSJÖ</t>
        </is>
      </c>
      <c r="H208" t="inlineStr">
        <is>
          <t>Övriga Aktiebolag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45226</v>
      </c>
      <c r="E209" s="1" t="n">
        <v>46286</v>
      </c>
      <c r="F209" t="inlineStr">
        <is>
          <t>JÖNKÖPINGS LÄN</t>
        </is>
      </c>
      <c r="G209" t="inlineStr">
        <is>
          <t>SÄVSJÖ</t>
        </is>
      </c>
      <c r="H209" t="inlineStr">
        <is>
          <t>Kyrkan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45067</v>
      </c>
      <c r="E210" s="1" t="n">
        <v>46286</v>
      </c>
      <c r="F210" t="inlineStr">
        <is>
          <t>JÖNKÖPINGS LÄN</t>
        </is>
      </c>
      <c r="G210" t="inlineStr">
        <is>
          <t>SÄVSJÖ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46164</v>
      </c>
      <c r="E211" s="1" t="n">
        <v>46286</v>
      </c>
      <c r="F211" t="inlineStr">
        <is>
          <t>JÖNKÖPINGS LÄN</t>
        </is>
      </c>
      <c r="G211" t="inlineStr">
        <is>
          <t>SÄVSJÖ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23816-2026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46165</v>
      </c>
      <c r="E212" s="1" t="n">
        <v>46286</v>
      </c>
      <c r="F212" t="inlineStr">
        <is>
          <t>JÖNKÖPINGS LÄN</t>
        </is>
      </c>
      <c r="G212" t="inlineStr">
        <is>
          <t>SÄVSJÖ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46286</v>
      </c>
      <c r="F213" t="inlineStr">
        <is>
          <t>JÖNKÖPINGS LÄN</t>
        </is>
      </c>
      <c r="G213" t="inlineStr">
        <is>
          <t>SÄVSJÖ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19769-2025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45771</v>
      </c>
      <c r="E214" s="1" t="n">
        <v>46286</v>
      </c>
      <c r="F214" t="inlineStr">
        <is>
          <t>JÖNKÖPINGS LÄN</t>
        </is>
      </c>
      <c r="G214" t="inlineStr">
        <is>
          <t>SÄVSJÖ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46286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46286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44601</v>
      </c>
      <c r="E217" s="1" t="n">
        <v>46286</v>
      </c>
      <c r="F217" t="inlineStr">
        <is>
          <t>JÖNKÖPINGS LÄN</t>
        </is>
      </c>
      <c r="G217" t="inlineStr">
        <is>
          <t>SÄVSJÖ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45755</v>
      </c>
      <c r="E218" s="1" t="n">
        <v>46286</v>
      </c>
      <c r="F218" t="inlineStr">
        <is>
          <t>JÖNKÖPINGS LÄN</t>
        </is>
      </c>
      <c r="G218" t="inlineStr">
        <is>
          <t>SÄVSJÖ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46286</v>
      </c>
      <c r="F219" t="inlineStr">
        <is>
          <t>JÖNKÖPINGS LÄN</t>
        </is>
      </c>
      <c r="G219" t="inlineStr">
        <is>
          <t>SÄVSJÖ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46168</v>
      </c>
      <c r="E220" s="1" t="n">
        <v>46286</v>
      </c>
      <c r="F220" t="inlineStr">
        <is>
          <t>JÖNKÖPINGS LÄN</t>
        </is>
      </c>
      <c r="G220" t="inlineStr">
        <is>
          <t>SÄVSJÖ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46286</v>
      </c>
      <c r="F221" t="inlineStr">
        <is>
          <t>JÖNKÖPINGS LÄN</t>
        </is>
      </c>
      <c r="G221" t="inlineStr">
        <is>
          <t>SÄVSJÖ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46286</v>
      </c>
      <c r="F222" t="inlineStr">
        <is>
          <t>JÖNKÖPINGS LÄN</t>
        </is>
      </c>
      <c r="G222" t="inlineStr">
        <is>
          <t>SÄVSJÖ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46286</v>
      </c>
      <c r="F223" t="inlineStr">
        <is>
          <t>JÖNKÖPINGS LÄN</t>
        </is>
      </c>
      <c r="G223" t="inlineStr">
        <is>
          <t>SÄVSJÖ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46286</v>
      </c>
      <c r="F224" t="inlineStr">
        <is>
          <t>JÖNKÖPINGS LÄN</t>
        </is>
      </c>
      <c r="G224" t="inlineStr">
        <is>
          <t>SÄVSJÖ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46286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46286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46286</v>
      </c>
      <c r="F227" t="inlineStr">
        <is>
          <t>JÖNKÖPINGS LÄN</t>
        </is>
      </c>
      <c r="G227" t="inlineStr">
        <is>
          <t>SÄVSJÖ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63752-2025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46017</v>
      </c>
      <c r="E228" s="1" t="n">
        <v>46286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46286</v>
      </c>
      <c r="F229" t="inlineStr">
        <is>
          <t>JÖNKÖPINGS LÄN</t>
        </is>
      </c>
      <c r="G229" t="inlineStr">
        <is>
          <t>SÄVSJÖ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46286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46286</v>
      </c>
      <c r="F231" t="inlineStr">
        <is>
          <t>JÖNKÖPINGS LÄN</t>
        </is>
      </c>
      <c r="G231" t="inlineStr">
        <is>
          <t>SÄVSJÖ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37108-2022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44806</v>
      </c>
      <c r="E232" s="1" t="n">
        <v>46286</v>
      </c>
      <c r="F232" t="inlineStr">
        <is>
          <t>JÖNKÖPINGS LÄN</t>
        </is>
      </c>
      <c r="G232" t="inlineStr">
        <is>
          <t>SÄVSJÖ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45469</v>
      </c>
      <c r="E233" s="1" t="n">
        <v>46286</v>
      </c>
      <c r="F233" t="inlineStr">
        <is>
          <t>JÖNKÖPINGS LÄN</t>
        </is>
      </c>
      <c r="G233" t="inlineStr">
        <is>
          <t>SÄVSJÖ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46286</v>
      </c>
      <c r="F234" t="inlineStr">
        <is>
          <t>JÖNKÖPINGS LÄN</t>
        </is>
      </c>
      <c r="G234" t="inlineStr">
        <is>
          <t>SÄVSJÖ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46286</v>
      </c>
      <c r="F235" t="inlineStr">
        <is>
          <t>JÖNKÖPINGS LÄN</t>
        </is>
      </c>
      <c r="G235" t="inlineStr">
        <is>
          <t>SÄVSJÖ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46286</v>
      </c>
      <c r="F236" t="inlineStr">
        <is>
          <t>JÖNKÖPINGS LÄN</t>
        </is>
      </c>
      <c r="G236" t="inlineStr">
        <is>
          <t>SÄVSJÖ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45660</v>
      </c>
      <c r="E237" s="1" t="n">
        <v>46286</v>
      </c>
      <c r="F237" t="inlineStr">
        <is>
          <t>JÖNKÖPINGS LÄN</t>
        </is>
      </c>
      <c r="G237" t="inlineStr">
        <is>
          <t>SÄVSJÖ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45127</v>
      </c>
      <c r="E238" s="1" t="n">
        <v>46286</v>
      </c>
      <c r="F238" t="inlineStr">
        <is>
          <t>JÖNKÖPINGS LÄN</t>
        </is>
      </c>
      <c r="G238" t="inlineStr">
        <is>
          <t>SÄVSJÖ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44475</v>
      </c>
      <c r="E239" s="1" t="n">
        <v>46286</v>
      </c>
      <c r="F239" t="inlineStr">
        <is>
          <t>JÖNKÖPINGS LÄN</t>
        </is>
      </c>
      <c r="G239" t="inlineStr">
        <is>
          <t>SÄVSJÖ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46286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46286</v>
      </c>
      <c r="F241" t="inlineStr">
        <is>
          <t>JÖNKÖPINGS LÄN</t>
        </is>
      </c>
      <c r="G241" t="inlineStr">
        <is>
          <t>SÄVSJÖ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64126-2021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44510</v>
      </c>
      <c r="E242" s="1" t="n">
        <v>46286</v>
      </c>
      <c r="F242" t="inlineStr">
        <is>
          <t>JÖNKÖPINGS LÄN</t>
        </is>
      </c>
      <c r="G242" t="inlineStr">
        <is>
          <t>SÄVSJÖ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62421-2023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45268</v>
      </c>
      <c r="E243" s="1" t="n">
        <v>46286</v>
      </c>
      <c r="F243" t="inlineStr">
        <is>
          <t>JÖNKÖPINGS LÄN</t>
        </is>
      </c>
      <c r="G243" t="inlineStr">
        <is>
          <t>SÄVSJÖ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45341</v>
      </c>
      <c r="E244" s="1" t="n">
        <v>46286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8536-2024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45355</v>
      </c>
      <c r="E245" s="1" t="n">
        <v>46286</v>
      </c>
      <c r="F245" t="inlineStr">
        <is>
          <t>JÖNKÖPINGS LÄN</t>
        </is>
      </c>
      <c r="G245" t="inlineStr">
        <is>
          <t>SÄVSJÖ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46286</v>
      </c>
      <c r="F246" t="inlineStr">
        <is>
          <t>JÖNKÖPINGS LÄN</t>
        </is>
      </c>
      <c r="G246" t="inlineStr">
        <is>
          <t>SÄVSJÖ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46286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46286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45252</v>
      </c>
      <c r="E249" s="1" t="n">
        <v>46286</v>
      </c>
      <c r="F249" t="inlineStr">
        <is>
          <t>JÖNKÖPINGS LÄN</t>
        </is>
      </c>
      <c r="G249" t="inlineStr">
        <is>
          <t>SÄVSJÖ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46070</v>
      </c>
      <c r="E250" s="1" t="n">
        <v>46286</v>
      </c>
      <c r="F250" t="inlineStr">
        <is>
          <t>JÖNKÖPINGS LÄN</t>
        </is>
      </c>
      <c r="G250" t="inlineStr">
        <is>
          <t>SÄVSJÖ</t>
        </is>
      </c>
      <c r="H250" t="inlineStr">
        <is>
          <t>Kyrkan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46070</v>
      </c>
      <c r="E251" s="1" t="n">
        <v>46286</v>
      </c>
      <c r="F251" t="inlineStr">
        <is>
          <t>JÖNKÖPINGS LÄN</t>
        </is>
      </c>
      <c r="G251" t="inlineStr">
        <is>
          <t>SÄVSJÖ</t>
        </is>
      </c>
      <c r="H251" t="inlineStr">
        <is>
          <t>Kyrkan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46286</v>
      </c>
      <c r="F252" t="inlineStr">
        <is>
          <t>JÖNKÖPINGS LÄN</t>
        </is>
      </c>
      <c r="G252" t="inlineStr">
        <is>
          <t>SÄVSJÖ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46286</v>
      </c>
      <c r="F253" t="inlineStr">
        <is>
          <t>JÖNKÖPINGS LÄN</t>
        </is>
      </c>
      <c r="G253" t="inlineStr">
        <is>
          <t>SÄVSJÖ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46286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45061</v>
      </c>
      <c r="E255" s="1" t="n">
        <v>46286</v>
      </c>
      <c r="F255" t="inlineStr">
        <is>
          <t>JÖNKÖPINGS LÄN</t>
        </is>
      </c>
      <c r="G255" t="inlineStr">
        <is>
          <t>SÄVSJÖ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46286</v>
      </c>
      <c r="F256" t="inlineStr">
        <is>
          <t>JÖNKÖPINGS LÄN</t>
        </is>
      </c>
      <c r="G256" t="inlineStr">
        <is>
          <t>SÄVSJÖ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45748</v>
      </c>
      <c r="E257" s="1" t="n">
        <v>46286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46286</v>
      </c>
      <c r="F258" t="inlineStr">
        <is>
          <t>JÖNKÖPINGS LÄN</t>
        </is>
      </c>
      <c r="G258" t="inlineStr">
        <is>
          <t>SÄVSJÖ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46286</v>
      </c>
      <c r="F259" t="inlineStr">
        <is>
          <t>JÖNKÖPINGS LÄN</t>
        </is>
      </c>
      <c r="G259" t="inlineStr">
        <is>
          <t>SÄVSJÖ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46286</v>
      </c>
      <c r="F260" t="inlineStr">
        <is>
          <t>JÖNKÖPINGS LÄN</t>
        </is>
      </c>
      <c r="G260" t="inlineStr">
        <is>
          <t>SÄVSJÖ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46286</v>
      </c>
      <c r="F261" t="inlineStr">
        <is>
          <t>JÖNKÖPINGS LÄN</t>
        </is>
      </c>
      <c r="G261" t="inlineStr">
        <is>
          <t>SÄVSJÖ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45301</v>
      </c>
      <c r="E262" s="1" t="n">
        <v>46286</v>
      </c>
      <c r="F262" t="inlineStr">
        <is>
          <t>JÖNKÖPINGS LÄN</t>
        </is>
      </c>
      <c r="G262" t="inlineStr">
        <is>
          <t>SÄVSJÖ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45274</v>
      </c>
      <c r="E263" s="1" t="n">
        <v>46286</v>
      </c>
      <c r="F263" t="inlineStr">
        <is>
          <t>JÖNKÖPINGS LÄN</t>
        </is>
      </c>
      <c r="G263" t="inlineStr">
        <is>
          <t>SÄVSJÖ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46286</v>
      </c>
      <c r="F264" t="inlineStr">
        <is>
          <t>JÖNKÖPINGS LÄN</t>
        </is>
      </c>
      <c r="G264" t="inlineStr">
        <is>
          <t>SÄVSJÖ</t>
        </is>
      </c>
      <c r="H264" t="inlineStr">
        <is>
          <t>Kommuner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44872</v>
      </c>
      <c r="E265" s="1" t="n">
        <v>46286</v>
      </c>
      <c r="F265" t="inlineStr">
        <is>
          <t>JÖNKÖPINGS LÄN</t>
        </is>
      </c>
      <c r="G265" t="inlineStr">
        <is>
          <t>SÄVSJÖ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46097</v>
      </c>
      <c r="E266" s="1" t="n">
        <v>46286</v>
      </c>
      <c r="F266" t="inlineStr">
        <is>
          <t>JÖNKÖPINGS LÄN</t>
        </is>
      </c>
      <c r="G266" t="inlineStr">
        <is>
          <t>SÄVSJÖ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46286</v>
      </c>
      <c r="F267" t="inlineStr">
        <is>
          <t>JÖNKÖPINGS LÄN</t>
        </is>
      </c>
      <c r="G267" t="inlineStr">
        <is>
          <t>SÄVSJÖ</t>
        </is>
      </c>
      <c r="H267" t="inlineStr">
        <is>
          <t>Kommuner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46286</v>
      </c>
      <c r="F268" t="inlineStr">
        <is>
          <t>JÖNKÖPINGS LÄN</t>
        </is>
      </c>
      <c r="G268" t="inlineStr">
        <is>
          <t>SÄVSJÖ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14779-2026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46101</v>
      </c>
      <c r="E269" s="1" t="n">
        <v>46286</v>
      </c>
      <c r="F269" t="inlineStr">
        <is>
          <t>JÖNKÖPINGS LÄN</t>
        </is>
      </c>
      <c r="G269" t="inlineStr">
        <is>
          <t>SÄVSJÖ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46286</v>
      </c>
      <c r="F270" t="inlineStr">
        <is>
          <t>JÖNKÖPINGS LÄN</t>
        </is>
      </c>
      <c r="G270" t="inlineStr">
        <is>
          <t>SÄVSJÖ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45104</v>
      </c>
      <c r="E271" s="1" t="n">
        <v>46286</v>
      </c>
      <c r="F271" t="inlineStr">
        <is>
          <t>JÖNKÖPINGS LÄN</t>
        </is>
      </c>
      <c r="G271" t="inlineStr">
        <is>
          <t>SÄVSJÖ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46286</v>
      </c>
      <c r="F272" t="inlineStr">
        <is>
          <t>JÖNKÖPINGS LÄN</t>
        </is>
      </c>
      <c r="G272" t="inlineStr">
        <is>
          <t>SÄVSJÖ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46286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44590</v>
      </c>
      <c r="E274" s="1" t="n">
        <v>46286</v>
      </c>
      <c r="F274" t="inlineStr">
        <is>
          <t>JÖNKÖPINGS LÄN</t>
        </is>
      </c>
      <c r="G274" t="inlineStr">
        <is>
          <t>SÄVSJÖ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15991-2026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46286</v>
      </c>
      <c r="F275" t="inlineStr">
        <is>
          <t>JÖNKÖPINGS LÄN</t>
        </is>
      </c>
      <c r="G275" t="inlineStr">
        <is>
          <t>SÄVSJÖ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46286</v>
      </c>
      <c r="F276" t="inlineStr">
        <is>
          <t>JÖNKÖPINGS LÄN</t>
        </is>
      </c>
      <c r="G276" t="inlineStr">
        <is>
          <t>SÄVSJÖ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45611</v>
      </c>
      <c r="E277" s="1" t="n">
        <v>46286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46286</v>
      </c>
      <c r="F278" t="inlineStr">
        <is>
          <t>JÖNKÖPINGS LÄN</t>
        </is>
      </c>
      <c r="G278" t="inlineStr">
        <is>
          <t>SÄVSJÖ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55381-2023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46286</v>
      </c>
      <c r="F279" t="inlineStr">
        <is>
          <t>JÖNKÖPINGS LÄN</t>
        </is>
      </c>
      <c r="G279" t="inlineStr">
        <is>
          <t>SÄVSJÖ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46286</v>
      </c>
      <c r="F280" t="inlineStr">
        <is>
          <t>JÖNKÖPINGS LÄN</t>
        </is>
      </c>
      <c r="G280" t="inlineStr">
        <is>
          <t>SÄVSJÖ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46286</v>
      </c>
      <c r="F281" t="inlineStr">
        <is>
          <t>JÖNKÖPINGS LÄN</t>
        </is>
      </c>
      <c r="G281" t="inlineStr">
        <is>
          <t>SÄVSJÖ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46286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46286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46286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45111</v>
      </c>
      <c r="E285" s="1" t="n">
        <v>46286</v>
      </c>
      <c r="F285" t="inlineStr">
        <is>
          <t>JÖNKÖPINGS LÄN</t>
        </is>
      </c>
      <c r="G285" t="inlineStr">
        <is>
          <t>SÄVSJÖ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46286</v>
      </c>
      <c r="F286" t="inlineStr">
        <is>
          <t>JÖNKÖPINGS LÄN</t>
        </is>
      </c>
      <c r="G286" t="inlineStr">
        <is>
          <t>SÄVSJÖ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46286</v>
      </c>
      <c r="F287" t="inlineStr">
        <is>
          <t>JÖNKÖPINGS LÄN</t>
        </is>
      </c>
      <c r="G287" t="inlineStr">
        <is>
          <t>SÄVSJÖ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45029</v>
      </c>
      <c r="E288" s="1" t="n">
        <v>46286</v>
      </c>
      <c r="F288" t="inlineStr">
        <is>
          <t>JÖNKÖPINGS LÄN</t>
        </is>
      </c>
      <c r="G288" t="inlineStr">
        <is>
          <t>SÄVSJÖ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46286</v>
      </c>
      <c r="F289" t="inlineStr">
        <is>
          <t>JÖNKÖPINGS LÄN</t>
        </is>
      </c>
      <c r="G289" t="inlineStr">
        <is>
          <t>SÄVSJÖ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38072-2023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45160</v>
      </c>
      <c r="E290" s="1" t="n">
        <v>46286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44942</v>
      </c>
      <c r="E291" s="1" t="n">
        <v>46286</v>
      </c>
      <c r="F291" t="inlineStr">
        <is>
          <t>JÖNKÖPINGS LÄN</t>
        </is>
      </c>
      <c r="G291" t="inlineStr">
        <is>
          <t>SÄVSJÖ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45334</v>
      </c>
      <c r="E292" s="1" t="n">
        <v>46286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45785</v>
      </c>
      <c r="E293" s="1" t="n">
        <v>46286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45267</v>
      </c>
      <c r="E294" s="1" t="n">
        <v>46286</v>
      </c>
      <c r="F294" t="inlineStr">
        <is>
          <t>JÖNKÖPINGS LÄN</t>
        </is>
      </c>
      <c r="G294" t="inlineStr">
        <is>
          <t>SÄVSJÖ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44944</v>
      </c>
      <c r="E295" s="1" t="n">
        <v>46286</v>
      </c>
      <c r="F295" t="inlineStr">
        <is>
          <t>JÖNKÖPINGS LÄN</t>
        </is>
      </c>
      <c r="G295" t="inlineStr">
        <is>
          <t>SÄVSJÖ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46286</v>
      </c>
      <c r="F296" t="inlineStr">
        <is>
          <t>JÖNKÖPINGS LÄN</t>
        </is>
      </c>
      <c r="G296" t="inlineStr">
        <is>
          <t>SÄVSJÖ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44651</v>
      </c>
      <c r="E297" s="1" t="n">
        <v>46286</v>
      </c>
      <c r="F297" t="inlineStr">
        <is>
          <t>JÖNKÖPINGS LÄN</t>
        </is>
      </c>
      <c r="G297" t="inlineStr">
        <is>
          <t>SÄVSJÖ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46286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49292-2023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45210</v>
      </c>
      <c r="E299" s="1" t="n">
        <v>46286</v>
      </c>
      <c r="F299" t="inlineStr">
        <is>
          <t>JÖNKÖPINGS LÄN</t>
        </is>
      </c>
      <c r="G299" t="inlineStr">
        <is>
          <t>SÄVSJÖ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46286</v>
      </c>
      <c r="F300" t="inlineStr">
        <is>
          <t>JÖNKÖPINGS LÄN</t>
        </is>
      </c>
      <c r="G300" t="inlineStr">
        <is>
          <t>SÄVSJÖ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45094</v>
      </c>
      <c r="E301" s="1" t="n">
        <v>46286</v>
      </c>
      <c r="F301" t="inlineStr">
        <is>
          <t>JÖNKÖPINGS LÄN</t>
        </is>
      </c>
      <c r="G301" t="inlineStr">
        <is>
          <t>SÄVSJÖ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45694</v>
      </c>
      <c r="E302" s="1" t="n">
        <v>46286</v>
      </c>
      <c r="F302" t="inlineStr">
        <is>
          <t>JÖNKÖPINGS LÄN</t>
        </is>
      </c>
      <c r="G302" t="inlineStr">
        <is>
          <t>SÄVSJÖ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46286</v>
      </c>
      <c r="F303" t="inlineStr">
        <is>
          <t>JÖNKÖPINGS LÄN</t>
        </is>
      </c>
      <c r="G303" t="inlineStr">
        <is>
          <t>SÄVSJÖ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45695</v>
      </c>
      <c r="E304" s="1" t="n">
        <v>46286</v>
      </c>
      <c r="F304" t="inlineStr">
        <is>
          <t>JÖNKÖPINGS LÄN</t>
        </is>
      </c>
      <c r="G304" t="inlineStr">
        <is>
          <t>SÄVSJÖ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44245-2022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44839</v>
      </c>
      <c r="E305" s="1" t="n">
        <v>46286</v>
      </c>
      <c r="F305" t="inlineStr">
        <is>
          <t>JÖNKÖPINGS LÄN</t>
        </is>
      </c>
      <c r="G305" t="inlineStr">
        <is>
          <t>SÄVSJÖ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55909-2024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45623</v>
      </c>
      <c r="E306" s="1" t="n">
        <v>46286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45704</v>
      </c>
      <c r="E307" s="1" t="n">
        <v>46286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45317</v>
      </c>
      <c r="E308" s="1" t="n">
        <v>46286</v>
      </c>
      <c r="F308" t="inlineStr">
        <is>
          <t>JÖNKÖPINGS LÄN</t>
        </is>
      </c>
      <c r="G308" t="inlineStr">
        <is>
          <t>SÄVSJÖ</t>
        </is>
      </c>
      <c r="I308" t="n">
        <v>19.9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46286</v>
      </c>
      <c r="F309" t="inlineStr">
        <is>
          <t>JÖNKÖPINGS LÄN</t>
        </is>
      </c>
      <c r="G309" t="inlineStr">
        <is>
          <t>SÄVSJÖ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45371</v>
      </c>
      <c r="E310" s="1" t="n">
        <v>46286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45371</v>
      </c>
      <c r="E311" s="1" t="n">
        <v>46286</v>
      </c>
      <c r="F311" t="inlineStr">
        <is>
          <t>JÖNKÖPINGS LÄN</t>
        </is>
      </c>
      <c r="G311" t="inlineStr">
        <is>
          <t>SÄVSJÖ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53916-2021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44469</v>
      </c>
      <c r="E312" s="1" t="n">
        <v>46286</v>
      </c>
      <c r="F312" t="inlineStr">
        <is>
          <t>JÖNKÖPINGS LÄN</t>
        </is>
      </c>
      <c r="G312" t="inlineStr">
        <is>
          <t>SÄVSJÖ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44830</v>
      </c>
      <c r="E313" s="1" t="n">
        <v>46286</v>
      </c>
      <c r="F313" t="inlineStr">
        <is>
          <t>JÖNKÖPINGS LÄN</t>
        </is>
      </c>
      <c r="G313" t="inlineStr">
        <is>
          <t>SÄVSJÖ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46286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44883</v>
      </c>
      <c r="E315" s="1" t="n">
        <v>46286</v>
      </c>
      <c r="F315" t="inlineStr">
        <is>
          <t>JÖNKÖPINGS LÄN</t>
        </is>
      </c>
      <c r="G315" t="inlineStr">
        <is>
          <t>SÄVSJÖ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46286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55254-2021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44475</v>
      </c>
      <c r="E317" s="1" t="n">
        <v>46286</v>
      </c>
      <c r="F317" t="inlineStr">
        <is>
          <t>JÖNKÖPINGS LÄN</t>
        </is>
      </c>
      <c r="G317" t="inlineStr">
        <is>
          <t>SÄVSJÖ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45301</v>
      </c>
      <c r="E318" s="1" t="n">
        <v>46286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45532</v>
      </c>
      <c r="E319" s="1" t="n">
        <v>46286</v>
      </c>
      <c r="F319" t="inlineStr">
        <is>
          <t>JÖNKÖPINGS LÄN</t>
        </is>
      </c>
      <c r="G319" t="inlineStr">
        <is>
          <t>SÄVSJÖ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45015</v>
      </c>
      <c r="E320" s="1" t="n">
        <v>46286</v>
      </c>
      <c r="F320" t="inlineStr">
        <is>
          <t>JÖNKÖPINGS LÄN</t>
        </is>
      </c>
      <c r="G320" t="inlineStr">
        <is>
          <t>SÄVSJÖ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46286</v>
      </c>
      <c r="F321" t="inlineStr">
        <is>
          <t>JÖNKÖPINGS LÄN</t>
        </is>
      </c>
      <c r="G321" t="inlineStr">
        <is>
          <t>SÄVSJÖ</t>
        </is>
      </c>
      <c r="H321" t="inlineStr">
        <is>
          <t>Kyrkan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46286</v>
      </c>
      <c r="F322" t="inlineStr">
        <is>
          <t>JÖNKÖPINGS LÄN</t>
        </is>
      </c>
      <c r="G322" t="inlineStr">
        <is>
          <t>SÄVSJÖ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31788-2023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45118</v>
      </c>
      <c r="E323" s="1" t="n">
        <v>46286</v>
      </c>
      <c r="F323" t="inlineStr">
        <is>
          <t>JÖNKÖPINGS LÄN</t>
        </is>
      </c>
      <c r="G323" t="inlineStr">
        <is>
          <t>SÄVSJÖ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45685</v>
      </c>
      <c r="E324" s="1" t="n">
        <v>46286</v>
      </c>
      <c r="F324" t="inlineStr">
        <is>
          <t>JÖNKÖPINGS LÄN</t>
        </is>
      </c>
      <c r="G324" t="inlineStr">
        <is>
          <t>SÄVSJÖ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46286</v>
      </c>
      <c r="F325" t="inlineStr">
        <is>
          <t>JÖNKÖPINGS LÄN</t>
        </is>
      </c>
      <c r="G325" t="inlineStr">
        <is>
          <t>SÄVSJÖ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46286</v>
      </c>
      <c r="F326" t="inlineStr">
        <is>
          <t>JÖNKÖPINGS LÄN</t>
        </is>
      </c>
      <c r="G326" t="inlineStr">
        <is>
          <t>SÄVSJÖ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45066</v>
      </c>
      <c r="E327" s="1" t="n">
        <v>46286</v>
      </c>
      <c r="F327" t="inlineStr">
        <is>
          <t>JÖNKÖPINGS LÄN</t>
        </is>
      </c>
      <c r="G327" t="inlineStr">
        <is>
          <t>SÄVSJÖ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45448</v>
      </c>
      <c r="E328" s="1" t="n">
        <v>46286</v>
      </c>
      <c r="F328" t="inlineStr">
        <is>
          <t>JÖNKÖPINGS LÄN</t>
        </is>
      </c>
      <c r="G328" t="inlineStr">
        <is>
          <t>SÄVSJÖ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45607</v>
      </c>
      <c r="E329" s="1" t="n">
        <v>46286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35211-2026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46260</v>
      </c>
      <c r="E330" s="1" t="n">
        <v>46286</v>
      </c>
      <c r="F330" t="inlineStr">
        <is>
          <t>JÖNKÖPINGS LÄN</t>
        </is>
      </c>
      <c r="G330" t="inlineStr">
        <is>
          <t>SÄVSJÖ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46260</v>
      </c>
      <c r="E331" s="1" t="n">
        <v>46286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46286</v>
      </c>
      <c r="F332" t="inlineStr">
        <is>
          <t>JÖNKÖPINGS LÄN</t>
        </is>
      </c>
      <c r="G332" t="inlineStr">
        <is>
          <t>SÄVSJÖ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45366</v>
      </c>
      <c r="E333" s="1" t="n">
        <v>46286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45198</v>
      </c>
      <c r="E334" s="1" t="n">
        <v>46286</v>
      </c>
      <c r="F334" t="inlineStr">
        <is>
          <t>JÖNKÖPINGS LÄN</t>
        </is>
      </c>
      <c r="G334" t="inlineStr">
        <is>
          <t>SÄVSJÖ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46286</v>
      </c>
      <c r="F335" t="inlineStr">
        <is>
          <t>JÖNKÖPINGS LÄN</t>
        </is>
      </c>
      <c r="G335" t="inlineStr">
        <is>
          <t>SÄVSJÖ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46266</v>
      </c>
      <c r="E336" s="1" t="n">
        <v>46286</v>
      </c>
      <c r="F336" t="inlineStr">
        <is>
          <t>JÖNKÖPINGS LÄN</t>
        </is>
      </c>
      <c r="G336" t="inlineStr">
        <is>
          <t>SÄVSJÖ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46286</v>
      </c>
      <c r="F337" t="inlineStr">
        <is>
          <t>JÖNKÖPINGS LÄN</t>
        </is>
      </c>
      <c r="G337" t="inlineStr">
        <is>
          <t>SÄVSJÖ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46266</v>
      </c>
      <c r="E338" s="1" t="n">
        <v>46286</v>
      </c>
      <c r="F338" t="inlineStr">
        <is>
          <t>JÖNKÖPINGS LÄN</t>
        </is>
      </c>
      <c r="G338" t="inlineStr">
        <is>
          <t>SÄVSJÖ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46286</v>
      </c>
      <c r="F339" t="inlineStr">
        <is>
          <t>JÖNKÖPINGS LÄN</t>
        </is>
      </c>
      <c r="G339" t="inlineStr">
        <is>
          <t>SÄVSJÖ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46286</v>
      </c>
      <c r="F340" t="inlineStr">
        <is>
          <t>JÖNKÖPINGS LÄN</t>
        </is>
      </c>
      <c r="G340" t="inlineStr">
        <is>
          <t>SÄVSJÖ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31721-2026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46226</v>
      </c>
      <c r="E341" s="1" t="n">
        <v>46286</v>
      </c>
      <c r="F341" t="inlineStr">
        <is>
          <t>JÖNKÖPINGS LÄN</t>
        </is>
      </c>
      <c r="G341" t="inlineStr">
        <is>
          <t>SÄVSJÖ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37079-2026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46273</v>
      </c>
      <c r="E342" s="1" t="n">
        <v>46286</v>
      </c>
      <c r="F342" t="inlineStr">
        <is>
          <t>JÖNKÖPINGS LÄN</t>
        </is>
      </c>
      <c r="G342" t="inlineStr">
        <is>
          <t>SÄVSJÖ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46248</v>
      </c>
      <c r="E343" s="1" t="n">
        <v>46286</v>
      </c>
      <c r="F343" t="inlineStr">
        <is>
          <t>JÖNKÖPINGS LÄN</t>
        </is>
      </c>
      <c r="G343" t="inlineStr">
        <is>
          <t>SÄVSJÖ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33537-2026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46248</v>
      </c>
      <c r="E344" s="1" t="n">
        <v>46286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46248</v>
      </c>
      <c r="E345" s="1" t="n">
        <v>46286</v>
      </c>
      <c r="F345" t="inlineStr">
        <is>
          <t>JÖNKÖPINGS LÄN</t>
        </is>
      </c>
      <c r="G345" t="inlineStr">
        <is>
          <t>SÄVSJÖ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46286</v>
      </c>
      <c r="F346" t="inlineStr">
        <is>
          <t>JÖNKÖPINGS LÄN</t>
        </is>
      </c>
      <c r="G346" t="inlineStr">
        <is>
          <t>SÄVSJÖ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46272</v>
      </c>
      <c r="E347" s="1" t="n">
        <v>46286</v>
      </c>
      <c r="F347" t="inlineStr">
        <is>
          <t>JÖNKÖPINGS LÄN</t>
        </is>
      </c>
      <c r="G347" t="inlineStr">
        <is>
          <t>SÄVSJÖ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46286</v>
      </c>
      <c r="F348" t="inlineStr">
        <is>
          <t>JÖNKÖPINGS LÄN</t>
        </is>
      </c>
      <c r="G348" t="inlineStr">
        <is>
          <t>SÄVSJÖ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46274</v>
      </c>
      <c r="E349" s="1" t="n">
        <v>46286</v>
      </c>
      <c r="F349" t="inlineStr">
        <is>
          <t>JÖNKÖPINGS LÄN</t>
        </is>
      </c>
      <c r="G349" t="inlineStr">
        <is>
          <t>SÄVSJÖ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60805-2024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45644</v>
      </c>
      <c r="E350" s="1" t="n">
        <v>46286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46286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46276</v>
      </c>
      <c r="E352" s="1" t="n">
        <v>46286</v>
      </c>
      <c r="F352" t="inlineStr">
        <is>
          <t>JÖNKÖPINGS LÄN</t>
        </is>
      </c>
      <c r="G352" t="inlineStr">
        <is>
          <t>SÄVSJÖ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46286</v>
      </c>
      <c r="F353" t="inlineStr">
        <is>
          <t>JÖNKÖPINGS LÄN</t>
        </is>
      </c>
      <c r="G353" t="inlineStr">
        <is>
          <t>SÄVSJÖ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46286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46286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46286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46286</v>
      </c>
      <c r="F357" t="inlineStr">
        <is>
          <t>JÖNKÖPINGS LÄN</t>
        </is>
      </c>
      <c r="G357" t="inlineStr">
        <is>
          <t>SÄVSJÖ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46286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46286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46286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46286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46286</v>
      </c>
      <c r="F362" t="inlineStr">
        <is>
          <t>JÖNKÖPINGS LÄN</t>
        </is>
      </c>
      <c r="G362" t="inlineStr">
        <is>
          <t>SÄVSJÖ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46286</v>
      </c>
      <c r="F363" t="inlineStr">
        <is>
          <t>JÖNKÖPINGS LÄN</t>
        </is>
      </c>
      <c r="G363" t="inlineStr">
        <is>
          <t>SÄVSJÖ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46286</v>
      </c>
      <c r="F364" t="inlineStr">
        <is>
          <t>JÖNKÖPINGS LÄN</t>
        </is>
      </c>
      <c r="G364" t="inlineStr">
        <is>
          <t>SÄVSJÖ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46286</v>
      </c>
      <c r="F365" t="inlineStr">
        <is>
          <t>JÖNKÖPINGS LÄN</t>
        </is>
      </c>
      <c r="G365" t="inlineStr">
        <is>
          <t>SÄVSJÖ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46286</v>
      </c>
      <c r="F366" t="inlineStr">
        <is>
          <t>JÖNKÖPINGS LÄN</t>
        </is>
      </c>
      <c r="G366" t="inlineStr">
        <is>
          <t>SÄVSJÖ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31490-2025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46286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46286</v>
      </c>
      <c r="F368" t="inlineStr">
        <is>
          <t>JÖNKÖPINGS LÄN</t>
        </is>
      </c>
      <c r="G368" t="inlineStr">
        <is>
          <t>SÄVSJÖ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45832</v>
      </c>
      <c r="E369" s="1" t="n">
        <v>46286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46286</v>
      </c>
      <c r="F370" t="inlineStr">
        <is>
          <t>JÖNKÖPINGS LÄN</t>
        </is>
      </c>
      <c r="G370" t="inlineStr">
        <is>
          <t>SÄVSJÖ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46286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46286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46286</v>
      </c>
      <c r="F373" t="inlineStr">
        <is>
          <t>JÖNKÖPINGS LÄN</t>
        </is>
      </c>
      <c r="G373" t="inlineStr">
        <is>
          <t>SÄVSJÖ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30162-2023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45110</v>
      </c>
      <c r="E374" s="1" t="n">
        <v>46286</v>
      </c>
      <c r="F374" t="inlineStr">
        <is>
          <t>JÖNKÖPINGS LÄN</t>
        </is>
      </c>
      <c r="G374" t="inlineStr">
        <is>
          <t>SÄVSJÖ</t>
        </is>
      </c>
      <c r="H374" t="inlineStr">
        <is>
          <t>Kommuner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44474</v>
      </c>
      <c r="E375" s="1" t="n">
        <v>46286</v>
      </c>
      <c r="F375" t="inlineStr">
        <is>
          <t>JÖNKÖPINGS LÄN</t>
        </is>
      </c>
      <c r="G375" t="inlineStr">
        <is>
          <t>SÄVSJÖ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45329</v>
      </c>
      <c r="E376" s="1" t="n">
        <v>46286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44833</v>
      </c>
      <c r="E377" s="1" t="n">
        <v>46286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46286</v>
      </c>
      <c r="F378" t="inlineStr">
        <is>
          <t>JÖNKÖPINGS LÄN</t>
        </is>
      </c>
      <c r="G378" t="inlineStr">
        <is>
          <t>SÄVSJÖ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46286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46286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46286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46286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46286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46286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46286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46286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46286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46286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46286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46286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46286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46286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46286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46286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46286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46286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46286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46286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46286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46286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46286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46286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46286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46286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46286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46286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46286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46286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2026-09-21T02:01:53Z</dcterms:created>
  <dcterms:modified xmlns:dcterms="http://purl.org/dc/terms/" xmlns:xsi="http://www.w3.org/2001/XMLSchema-instance" xsi:type="dcterms:W3CDTF">2026-09-21T02:01:53Z</dcterms:modified>
</cp:coreProperties>
</file>