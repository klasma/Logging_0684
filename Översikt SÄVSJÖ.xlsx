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46280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46280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46280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46280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46280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46280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46280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10046-2025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46280</v>
      </c>
      <c r="F9" t="inlineStr">
        <is>
          <t>JÖNKÖPINGS LÄN</t>
        </is>
      </c>
      <c r="G9" t="inlineStr">
        <is>
          <t>SÄVSJÖ</t>
        </is>
      </c>
      <c r="I9" t="n">
        <v>8.6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HYPERLINK("https://klasma.github.io/Logging_0684/artfynd/A 10046-2025 artfynd.xlsx", "A 10046-2025")</f>
        <v/>
      </c>
      <c r="X9">
        <f>HYPERLINK("https://klasma.github.io/Logging_0684/kartor/A 10046-2025 karta.png", "A 10046-2025")</f>
        <v/>
      </c>
      <c r="Y9">
        <f>HYPERLINK("https://klasma.github.io/Logging_0684/kartor_geotiff/A 10046-2025 georefererad karta.tif", "A 10046-2025")</f>
        <v/>
      </c>
      <c r="AA9">
        <f>HYPERLINK("https://klasma.github.io/Logging_0684/klagomål/A 10046-2025 FSC-klagomål.docx", "A 10046-2025")</f>
        <v/>
      </c>
      <c r="AB9">
        <f>HYPERLINK("https://klasma.github.io/Logging_0684/klagomålsmail/A 10046-2025 FSC-klagomål mail.docx", "A 10046-2025")</f>
        <v/>
      </c>
      <c r="AC9">
        <f>HYPERLINK("https://klasma.github.io/Logging_0684/tillsyn/A 10046-2025 tillsynsbegäran.docx", "A 10046-2025")</f>
        <v/>
      </c>
      <c r="AD9">
        <f>HYPERLINK("https://klasma.github.io/Logging_0684/tillsynsmail/A 10046-2025 tillsynsbegäran mail.docx", "A 10046-2025")</f>
        <v/>
      </c>
    </row>
    <row r="10" ht="15" customHeight="1">
      <c r="A10" t="inlineStr">
        <is>
          <t>A 10775-2025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45722</v>
      </c>
      <c r="E10" s="1" t="n">
        <v>46280</v>
      </c>
      <c r="F10" t="inlineStr">
        <is>
          <t>JÖNKÖPINGS LÄN</t>
        </is>
      </c>
      <c r="G10" t="inlineStr">
        <is>
          <t>SÄVSJÖ</t>
        </is>
      </c>
      <c r="I10" t="n">
        <v>10.1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10775-2025 artfynd.xlsx", "A 10775-2025")</f>
        <v/>
      </c>
      <c r="X10">
        <f>HYPERLINK("https://klasma.github.io/Logging_0684/kartor/A 10775-2025 karta.png", "A 10775-2025")</f>
        <v/>
      </c>
      <c r="Y10">
        <f>HYPERLINK("https://klasma.github.io/Logging_0684/kartor_geotiff/A 10775-2025 georefererad karta.tif", "A 10775-2025")</f>
        <v/>
      </c>
      <c r="AA10">
        <f>HYPERLINK("https://klasma.github.io/Logging_0684/klagomål/A 10775-2025 FSC-klagomål.docx", "A 10775-2025")</f>
        <v/>
      </c>
      <c r="AB10">
        <f>HYPERLINK("https://klasma.github.io/Logging_0684/klagomålsmail/A 10775-2025 FSC-klagomål mail.docx", "A 10775-2025")</f>
        <v/>
      </c>
      <c r="AC10">
        <f>HYPERLINK("https://klasma.github.io/Logging_0684/tillsyn/A 10775-2025 tillsynsbegäran.docx", "A 10775-2025")</f>
        <v/>
      </c>
      <c r="AD10">
        <f>HYPERLINK("https://klasma.github.io/Logging_0684/tillsynsmail/A 10775-2025 tillsynsbegäran mail.docx", "A 10775-2025")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46280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46280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46280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11797-2026 artfynd.xlsx", "A 11797-2026")</f>
        <v/>
      </c>
      <c r="X13">
        <f>HYPERLINK("https://klasma.github.io/Logging_0684/kartor/A 11797-2026 karta.png", "A 11797-2026")</f>
        <v/>
      </c>
      <c r="Y13">
        <f>HYPERLINK("https://klasma.github.io/Logging_0684/kartor_geotiff/A 11797-2026 georefererad karta.tif", "A 11797-2026")</f>
        <v/>
      </c>
      <c r="AA13">
        <f>HYPERLINK("https://klasma.github.io/Logging_0684/klagomål/A 11797-2026 FSC-klagomål.docx", "A 11797-2026")</f>
        <v/>
      </c>
      <c r="AB13">
        <f>HYPERLINK("https://klasma.github.io/Logging_0684/klagomålsmail/A 11797-2026 FSC-klagomål mail.docx", "A 11797-2026")</f>
        <v/>
      </c>
      <c r="AC13">
        <f>HYPERLINK("https://klasma.github.io/Logging_0684/tillsyn/A 11797-2026 tillsynsbegäran.docx", "A 11797-2026")</f>
        <v/>
      </c>
      <c r="AD13">
        <f>HYPERLINK("https://klasma.github.io/Logging_0684/tillsynsmail/A 11797-2026 tillsynsbegäran mail.docx", "A 11797-2026")</f>
        <v/>
      </c>
    </row>
    <row r="14" ht="15" customHeight="1">
      <c r="A14" t="inlineStr">
        <is>
          <t>A 40543-2023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45170</v>
      </c>
      <c r="E14" s="1" t="n">
        <v>46280</v>
      </c>
      <c r="F14" t="inlineStr">
        <is>
          <t>JÖNKÖPINGS LÄN</t>
        </is>
      </c>
      <c r="G14" t="inlineStr">
        <is>
          <t>SÄVSJÖ</t>
        </is>
      </c>
      <c r="I14" t="n">
        <v>2.8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Sommarfibbla</t>
        </is>
      </c>
      <c r="W14">
        <f>HYPERLINK("https://klasma.github.io/Logging_0684/artfynd/A 40543-2023 artfynd.xlsx", "A 40543-2023")</f>
        <v/>
      </c>
      <c r="X14">
        <f>HYPERLINK("https://klasma.github.io/Logging_0684/kartor/A 40543-2023 karta.png", "A 40543-2023")</f>
        <v/>
      </c>
      <c r="Y14">
        <f>HYPERLINK("https://klasma.github.io/Logging_0684/kartor_geotiff/A 40543-2023 georefererad karta.tif", "A 40543-2023")</f>
        <v/>
      </c>
      <c r="AA14">
        <f>HYPERLINK("https://klasma.github.io/Logging_0684/klagomål/A 40543-2023 FSC-klagomål.docx", "A 40543-2023")</f>
        <v/>
      </c>
      <c r="AB14">
        <f>HYPERLINK("https://klasma.github.io/Logging_0684/klagomålsmail/A 40543-2023 FSC-klagomål mail.docx", "A 40543-2023")</f>
        <v/>
      </c>
      <c r="AC14">
        <f>HYPERLINK("https://klasma.github.io/Logging_0684/tillsyn/A 40543-2023 tillsynsbegäran.docx", "A 40543-2023")</f>
        <v/>
      </c>
      <c r="AD14">
        <f>HYPERLINK("https://klasma.github.io/Logging_0684/tillsynsmail/A 40543-2023 tillsynsbegäran mail.docx", "A 40543-2023")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46280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34214-2025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45845</v>
      </c>
      <c r="E16" s="1" t="n">
        <v>46280</v>
      </c>
      <c r="F16" t="inlineStr">
        <is>
          <t>JÖNKÖPINGS LÄN</t>
        </is>
      </c>
      <c r="G16" t="inlineStr">
        <is>
          <t>SÄVSJÖ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Lungrot</t>
        </is>
      </c>
      <c r="W16">
        <f>HYPERLINK("https://klasma.github.io/Logging_0684/artfynd/A 34214-2025 artfynd.xlsx", "A 34214-2025")</f>
        <v/>
      </c>
      <c r="X16">
        <f>HYPERLINK("https://klasma.github.io/Logging_0684/kartor/A 34214-2025 karta.png", "A 34214-2025")</f>
        <v/>
      </c>
      <c r="Y16">
        <f>HYPERLINK("https://klasma.github.io/Logging_0684/kartor_geotiff/A 34214-2025 georefererad karta.tif", "A 34214-2025")</f>
        <v/>
      </c>
      <c r="AA16">
        <f>HYPERLINK("https://klasma.github.io/Logging_0684/klagomål/A 34214-2025 FSC-klagomål.docx", "A 34214-2025")</f>
        <v/>
      </c>
      <c r="AB16">
        <f>HYPERLINK("https://klasma.github.io/Logging_0684/klagomålsmail/A 34214-2025 FSC-klagomål mail.docx", "A 34214-2025")</f>
        <v/>
      </c>
      <c r="AC16">
        <f>HYPERLINK("https://klasma.github.io/Logging_0684/tillsyn/A 34214-2025 tillsynsbegäran.docx", "A 34214-2025")</f>
        <v/>
      </c>
      <c r="AD16">
        <f>HYPERLINK("https://klasma.github.io/Logging_0684/tillsynsmail/A 34214-2025 tillsynsbegäran mail.docx", "A 34214-2025")</f>
        <v/>
      </c>
    </row>
    <row r="17" ht="15" customHeight="1">
      <c r="A17" t="inlineStr">
        <is>
          <t>A 61556-2025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46001</v>
      </c>
      <c r="E17" s="1" t="n">
        <v>46280</v>
      </c>
      <c r="F17" t="inlineStr">
        <is>
          <t>JÖNKÖPINGS LÄN</t>
        </is>
      </c>
      <c r="G17" t="inlineStr">
        <is>
          <t>SÄVSJÖ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Törnskata</t>
        </is>
      </c>
      <c r="W17">
        <f>HYPERLINK("https://klasma.github.io/Logging_0684/artfynd/A 61556-2025 artfynd.xlsx", "A 61556-2025")</f>
        <v/>
      </c>
      <c r="X17">
        <f>HYPERLINK("https://klasma.github.io/Logging_0684/kartor/A 61556-2025 karta.png", "A 61556-2025")</f>
        <v/>
      </c>
      <c r="Y17">
        <f>HYPERLINK("https://klasma.github.io/Logging_0684/kartor_geotiff/A 61556-2025 georefererad karta.tif", "A 61556-2025")</f>
        <v/>
      </c>
      <c r="AA17">
        <f>HYPERLINK("https://klasma.github.io/Logging_0684/klagomål/A 61556-2025 FSC-klagomål.docx", "A 61556-2025")</f>
        <v/>
      </c>
      <c r="AB17">
        <f>HYPERLINK("https://klasma.github.io/Logging_0684/klagomålsmail/A 61556-2025 FSC-klagomål mail.docx", "A 61556-2025")</f>
        <v/>
      </c>
      <c r="AC17">
        <f>HYPERLINK("https://klasma.github.io/Logging_0684/tillsyn/A 61556-2025 tillsynsbegäran.docx", "A 61556-2025")</f>
        <v/>
      </c>
      <c r="AD17">
        <f>HYPERLINK("https://klasma.github.io/Logging_0684/tillsynsmail/A 61556-2025 tillsynsbegäran mail.docx", "A 61556-2025")</f>
        <v/>
      </c>
      <c r="AE17">
        <f>HYPERLINK("https://klasma.github.io/Logging_0684/fåglar/A 61556-2025 prioriterade fågelarter.docx", "A 61556-2025")</f>
        <v/>
      </c>
    </row>
    <row r="18" ht="15" customHeight="1">
      <c r="A18" t="inlineStr">
        <is>
          <t>A 61482-2024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45646</v>
      </c>
      <c r="E18" s="1" t="n">
        <v>46280</v>
      </c>
      <c r="F18" t="inlineStr">
        <is>
          <t>JÖNKÖPINGS LÄN</t>
        </is>
      </c>
      <c r="G18" t="inlineStr">
        <is>
          <t>SÄVSJÖ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61482-2024 artfynd.xlsx", "A 61482-2024")</f>
        <v/>
      </c>
      <c r="X18">
        <f>HYPERLINK("https://klasma.github.io/Logging_0684/kartor/A 61482-2024 karta.png", "A 61482-2024")</f>
        <v/>
      </c>
      <c r="Y18">
        <f>HYPERLINK("https://klasma.github.io/Logging_0684/kartor_geotiff/A 61482-2024 georefererad karta.tif", "A 61482-2024")</f>
        <v/>
      </c>
      <c r="AA18">
        <f>HYPERLINK("https://klasma.github.io/Logging_0684/klagomål/A 61482-2024 FSC-klagomål.docx", "A 61482-2024")</f>
        <v/>
      </c>
      <c r="AB18">
        <f>HYPERLINK("https://klasma.github.io/Logging_0684/klagomålsmail/A 61482-2024 FSC-klagomål mail.docx", "A 61482-2024")</f>
        <v/>
      </c>
      <c r="AC18">
        <f>HYPERLINK("https://klasma.github.io/Logging_0684/tillsyn/A 61482-2024 tillsynsbegäran.docx", "A 61482-2024")</f>
        <v/>
      </c>
      <c r="AD18">
        <f>HYPERLINK("https://klasma.github.io/Logging_0684/tillsynsmail/A 61482-2024 tillsynsbegäran mail.docx", "A 61482-2024")</f>
        <v/>
      </c>
    </row>
    <row r="19" ht="15" customHeight="1">
      <c r="A19" t="inlineStr">
        <is>
          <t>A 8198-2024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46280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Småfruktigt blågryn</t>
        </is>
      </c>
      <c r="W19">
        <f>HYPERLINK("https://klasma.github.io/Logging_0684/artfynd/A 8198-2024 artfynd.xlsx", "A 8198-2024")</f>
        <v/>
      </c>
      <c r="X19">
        <f>HYPERLINK("https://klasma.github.io/Logging_0684/kartor/A 8198-2024 karta.png", "A 8198-2024")</f>
        <v/>
      </c>
      <c r="Y19">
        <f>HYPERLINK("https://klasma.github.io/Logging_0684/kartor_geotiff/A 8198-2024 georefererad karta.tif", "A 8198-2024")</f>
        <v/>
      </c>
      <c r="AA19">
        <f>HYPERLINK("https://klasma.github.io/Logging_0684/klagomål/A 8198-2024 FSC-klagomål.docx", "A 8198-2024")</f>
        <v/>
      </c>
      <c r="AB19">
        <f>HYPERLINK("https://klasma.github.io/Logging_0684/klagomålsmail/A 8198-2024 FSC-klagomål mail.docx", "A 8198-2024")</f>
        <v/>
      </c>
      <c r="AC19">
        <f>HYPERLINK("https://klasma.github.io/Logging_0684/tillsyn/A 8198-2024 tillsynsbegäran.docx", "A 8198-2024")</f>
        <v/>
      </c>
      <c r="AD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46280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35891-2026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46280</v>
      </c>
      <c r="F21" t="inlineStr">
        <is>
          <t>JÖNKÖPINGS LÄN</t>
        </is>
      </c>
      <c r="G21" t="inlineStr">
        <is>
          <t>SÄVSJÖ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Pilfibbla</t>
        </is>
      </c>
      <c r="W21">
        <f>HYPERLINK("https://klasma.github.io/Logging_0684/artfynd/A 35891-2026 artfynd.xlsx", "A 35891-2026")</f>
        <v/>
      </c>
      <c r="X21">
        <f>HYPERLINK("https://klasma.github.io/Logging_0684/kartor/A 35891-2026 karta.png", "A 35891-2026")</f>
        <v/>
      </c>
      <c r="Y21">
        <f>HYPERLINK("https://klasma.github.io/Logging_0684/kartor_geotiff/A 35891-2026 georefererad karta.tif", "A 35891-2026")</f>
        <v/>
      </c>
      <c r="AA21">
        <f>HYPERLINK("https://klasma.github.io/Logging_0684/klagomål/A 35891-2026 FSC-klagomål.docx", "A 35891-2026")</f>
        <v/>
      </c>
      <c r="AB21">
        <f>HYPERLINK("https://klasma.github.io/Logging_0684/klagomålsmail/A 35891-2026 FSC-klagomål mail.docx", "A 35891-2026")</f>
        <v/>
      </c>
      <c r="AC21">
        <f>HYPERLINK("https://klasma.github.io/Logging_0684/tillsyn/A 35891-2026 tillsynsbegäran.docx", "A 35891-2026")</f>
        <v/>
      </c>
      <c r="AD21">
        <f>HYPERLINK("https://klasma.github.io/Logging_0684/tillsynsmail/A 35891-2026 tillsynsbegäran mail.docx", "A 35891-2026")</f>
        <v/>
      </c>
    </row>
    <row r="22" ht="15" customHeight="1">
      <c r="A22" t="inlineStr">
        <is>
          <t>A 19123-2025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45768</v>
      </c>
      <c r="E22" s="1" t="n">
        <v>46280</v>
      </c>
      <c r="F22" t="inlineStr">
        <is>
          <t>JÖNKÖPINGS LÄN</t>
        </is>
      </c>
      <c r="G22" t="inlineStr">
        <is>
          <t>SÄVSJÖ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HYPERLINK("https://klasma.github.io/Logging_0684/artfynd/A 19123-2025 artfynd.xlsx", "A 19123-2025")</f>
        <v/>
      </c>
      <c r="X22">
        <f>HYPERLINK("https://klasma.github.io/Logging_0684/kartor/A 19123-2025 karta.png", "A 19123-2025")</f>
        <v/>
      </c>
      <c r="Y22">
        <f>HYPERLINK("https://klasma.github.io/Logging_0684/kartor_geotiff/A 19123-2025 georefererad karta.tif", "A 19123-2025")</f>
        <v/>
      </c>
      <c r="AA22">
        <f>HYPERLINK("https://klasma.github.io/Logging_0684/klagomål/A 19123-2025 FSC-klagomål.docx", "A 19123-2025")</f>
        <v/>
      </c>
      <c r="AB22">
        <f>HYPERLINK("https://klasma.github.io/Logging_0684/klagomålsmail/A 19123-2025 FSC-klagomål mail.docx", "A 19123-2025")</f>
        <v/>
      </c>
      <c r="AC22">
        <f>HYPERLINK("https://klasma.github.io/Logging_0684/tillsyn/A 19123-2025 tillsynsbegäran.docx", "A 19123-2025")</f>
        <v/>
      </c>
      <c r="AD22">
        <f>HYPERLINK("https://klasma.github.io/Logging_0684/tillsynsmail/A 19123-2025 tillsynsbegäran mail.docx", "A 19123-2025")</f>
        <v/>
      </c>
      <c r="AE22">
        <f>HYPERLINK("https://klasma.github.io/Logging_0684/fåglar/A 19123-2025 prioriterade fågelarter.docx", "A 19123-2025")</f>
        <v/>
      </c>
    </row>
    <row r="23" ht="15" customHeight="1">
      <c r="A23" t="inlineStr">
        <is>
          <t>A 51095-2023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45218</v>
      </c>
      <c r="E23" s="1" t="n">
        <v>46280</v>
      </c>
      <c r="F23" t="inlineStr">
        <is>
          <t>JÖNKÖPINGS LÄN</t>
        </is>
      </c>
      <c r="G23" t="inlineStr">
        <is>
          <t>SÄVSJÖ</t>
        </is>
      </c>
      <c r="I23" t="n">
        <v>3.6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HYPERLINK("https://klasma.github.io/Logging_0684/artfynd/A 51095-2023 artfynd.xlsx", "A 51095-2023")</f>
        <v/>
      </c>
      <c r="X23">
        <f>HYPERLINK("https://klasma.github.io/Logging_0684/kartor/A 51095-2023 karta.png", "A 51095-2023")</f>
        <v/>
      </c>
      <c r="Y23">
        <f>HYPERLINK("https://klasma.github.io/Logging_0684/kartor_geotiff/A 51095-2023 georefererad karta.tif", "A 51095-2023")</f>
        <v/>
      </c>
      <c r="AA23">
        <f>HYPERLINK("https://klasma.github.io/Logging_0684/klagomål/A 51095-2023 FSC-klagomål.docx", "A 51095-2023")</f>
        <v/>
      </c>
      <c r="AB23">
        <f>HYPERLINK("https://klasma.github.io/Logging_0684/klagomålsmail/A 51095-2023 FSC-klagomål mail.docx", "A 51095-2023")</f>
        <v/>
      </c>
      <c r="AC23">
        <f>HYPERLINK("https://klasma.github.io/Logging_0684/tillsyn/A 51095-2023 tillsynsbegäran.docx", "A 51095-2023")</f>
        <v/>
      </c>
      <c r="AD23">
        <f>HYPERLINK("https://klasma.github.io/Logging_0684/tillsynsmail/A 51095-2023 tillsynsbegäran mail.docx", "A 51095-2023")</f>
        <v/>
      </c>
    </row>
    <row r="24" ht="15" customHeight="1">
      <c r="A24" t="inlineStr">
        <is>
          <t>S 689-2026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46091</v>
      </c>
      <c r="E24" s="1" t="n">
        <v>46280</v>
      </c>
      <c r="F24" t="inlineStr">
        <is>
          <t>JÖNKÖPINGS LÄN</t>
        </is>
      </c>
      <c r="G24" t="inlineStr">
        <is>
          <t>SÄVSJÖ</t>
        </is>
      </c>
      <c r="I24" t="n">
        <v>21.4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Igelkott</t>
        </is>
      </c>
      <c r="W24">
        <f>HYPERLINK("https://klasma.github.io/Logging_0684/artfynd/S 689-2026 artfynd.xlsx", "S 689-2026")</f>
        <v/>
      </c>
      <c r="X24">
        <f>HYPERLINK("https://klasma.github.io/Logging_0684/kartor/S 689-2026 karta.png", "S 689-2026")</f>
        <v/>
      </c>
      <c r="Y24">
        <f>HYPERLINK("https://klasma.github.io/Logging_0684/kartor_geotiff/S 689-2026 georefererad karta.tif", "S 689-2026")</f>
        <v/>
      </c>
      <c r="AA24">
        <f>HYPERLINK("https://klasma.github.io/Logging_0684/klagomål/S 689-2026 FSC-klagomål.docx", "S 689-2026")</f>
        <v/>
      </c>
      <c r="AB24">
        <f>HYPERLINK("https://klasma.github.io/Logging_0684/klagomålsmail/S 689-2026 FSC-klagomål mail.docx", "S 689-2026")</f>
        <v/>
      </c>
      <c r="AC24">
        <f>HYPERLINK("https://klasma.github.io/Logging_0684/tillsyn/S 689-2026 tillsynsbegäran.docx", "S 689-2026")</f>
        <v/>
      </c>
      <c r="AD24">
        <f>HYPERLINK("https://klasma.github.io/Logging_0684/tillsynsmail/S 689-2026 tillsynsbegäran mail.docx", "S 689-2026")</f>
        <v/>
      </c>
    </row>
    <row r="25" ht="15" customHeight="1">
      <c r="A25" t="inlineStr">
        <is>
          <t>A 49668-2022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44862</v>
      </c>
      <c r="E25" s="1" t="n">
        <v>46280</v>
      </c>
      <c r="F25" t="inlineStr">
        <is>
          <t>JÖNKÖPINGS LÄN</t>
        </is>
      </c>
      <c r="G25" t="inlineStr">
        <is>
          <t>SÄVSJÖ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53099-2022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44876</v>
      </c>
      <c r="E26" s="1" t="n">
        <v>46280</v>
      </c>
      <c r="F26" t="inlineStr">
        <is>
          <t>JÖNKÖPINGS LÄN</t>
        </is>
      </c>
      <c r="G26" t="inlineStr">
        <is>
          <t>SÄVSJÖ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69990-2021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46280</v>
      </c>
      <c r="F27" t="inlineStr">
        <is>
          <t>JÖNKÖPINGS LÄN</t>
        </is>
      </c>
      <c r="G27" t="inlineStr">
        <is>
          <t>SÄVSJÖ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46280</v>
      </c>
      <c r="F28" t="inlineStr">
        <is>
          <t>JÖNKÖPINGS LÄN</t>
        </is>
      </c>
      <c r="G28" t="inlineStr">
        <is>
          <t>SÄVSJÖ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44805</v>
      </c>
      <c r="E29" s="1" t="n">
        <v>46280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46280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47957-2022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44855</v>
      </c>
      <c r="E31" s="1" t="n">
        <v>46280</v>
      </c>
      <c r="F31" t="inlineStr">
        <is>
          <t>JÖNKÖPINGS LÄN</t>
        </is>
      </c>
      <c r="G31" t="inlineStr">
        <is>
          <t>SÄVSJÖ</t>
        </is>
      </c>
      <c r="H31" t="inlineStr">
        <is>
          <t>Sveaskog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44809</v>
      </c>
      <c r="E32" s="1" t="n">
        <v>46280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46280</v>
      </c>
      <c r="F33" t="inlineStr">
        <is>
          <t>JÖNKÖPINGS LÄN</t>
        </is>
      </c>
      <c r="G33" t="inlineStr">
        <is>
          <t>SÄVSJÖ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46280</v>
      </c>
      <c r="F34" t="inlineStr">
        <is>
          <t>JÖNKÖPINGS LÄN</t>
        </is>
      </c>
      <c r="G34" t="inlineStr">
        <is>
          <t>SÄVSJÖ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46280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46280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46280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46280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46280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46280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46280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46280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46280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46280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46280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46280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46280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46280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46280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46280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46280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46280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46280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46280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46280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46280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46280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46280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46280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46280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46280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46280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46280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46280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46280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46280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46280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46280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46280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46280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46280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46280</v>
      </c>
      <c r="F72" t="inlineStr">
        <is>
          <t>JÖNKÖPINGS LÄN</t>
        </is>
      </c>
      <c r="G72" t="inlineStr">
        <is>
          <t>SÄVSJÖ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45094</v>
      </c>
      <c r="E73" s="1" t="n">
        <v>46280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44664</v>
      </c>
      <c r="E74" s="1" t="n">
        <v>46280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46280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59057-2023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46280</v>
      </c>
      <c r="F76" t="inlineStr">
        <is>
          <t>JÖNKÖPINGS LÄN</t>
        </is>
      </c>
      <c r="G76" t="inlineStr">
        <is>
          <t>SÄVSJÖ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44952</v>
      </c>
      <c r="E77" s="1" t="n">
        <v>46280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45212</v>
      </c>
      <c r="E78" s="1" t="n">
        <v>46280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46280</v>
      </c>
      <c r="F79" t="inlineStr">
        <is>
          <t>JÖNKÖPINGS LÄN</t>
        </is>
      </c>
      <c r="G79" t="inlineStr">
        <is>
          <t>SÄVSJÖ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46280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46280</v>
      </c>
      <c r="F81" t="inlineStr">
        <is>
          <t>JÖNKÖPINGS LÄN</t>
        </is>
      </c>
      <c r="G81" t="inlineStr">
        <is>
          <t>SÄVSJÖ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46280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46280</v>
      </c>
      <c r="F83" t="inlineStr">
        <is>
          <t>JÖNKÖPINGS LÄN</t>
        </is>
      </c>
      <c r="G83" t="inlineStr">
        <is>
          <t>SÄVSJÖ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46280</v>
      </c>
      <c r="F84" t="inlineStr">
        <is>
          <t>JÖNKÖPINGS LÄN</t>
        </is>
      </c>
      <c r="G84" t="inlineStr">
        <is>
          <t>SÄVSJÖ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45646</v>
      </c>
      <c r="E85" s="1" t="n">
        <v>46280</v>
      </c>
      <c r="F85" t="inlineStr">
        <is>
          <t>JÖNKÖPINGS LÄN</t>
        </is>
      </c>
      <c r="G85" t="inlineStr">
        <is>
          <t>SÄVSJÖ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24703-2024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45460</v>
      </c>
      <c r="E86" s="1" t="n">
        <v>46280</v>
      </c>
      <c r="F86" t="inlineStr">
        <is>
          <t>JÖNKÖPINGS LÄN</t>
        </is>
      </c>
      <c r="G86" t="inlineStr">
        <is>
          <t>SÄVSJÖ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45733</v>
      </c>
      <c r="E87" s="1" t="n">
        <v>46280</v>
      </c>
      <c r="F87" t="inlineStr">
        <is>
          <t>JÖNKÖPINGS LÄN</t>
        </is>
      </c>
      <c r="G87" t="inlineStr">
        <is>
          <t>SÄVSJÖ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62870-2025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46008</v>
      </c>
      <c r="E88" s="1" t="n">
        <v>46280</v>
      </c>
      <c r="F88" t="inlineStr">
        <is>
          <t>JÖNKÖPINGS LÄN</t>
        </is>
      </c>
      <c r="G88" t="inlineStr">
        <is>
          <t>SÄVSJÖ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45733</v>
      </c>
      <c r="E89" s="1" t="n">
        <v>46280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46280</v>
      </c>
      <c r="F90" t="inlineStr">
        <is>
          <t>JÖNKÖPINGS LÄN</t>
        </is>
      </c>
      <c r="G90" t="inlineStr">
        <is>
          <t>SÄVSJÖ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45727</v>
      </c>
      <c r="E91" s="1" t="n">
        <v>46280</v>
      </c>
      <c r="F91" t="inlineStr">
        <is>
          <t>JÖNKÖPINGS LÄN</t>
        </is>
      </c>
      <c r="G91" t="inlineStr">
        <is>
          <t>SÄVSJÖ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46010</v>
      </c>
      <c r="E92" s="1" t="n">
        <v>46280</v>
      </c>
      <c r="F92" t="inlineStr">
        <is>
          <t>JÖNKÖPINGS LÄN</t>
        </is>
      </c>
      <c r="G92" t="inlineStr">
        <is>
          <t>SÄVSJÖ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46014</v>
      </c>
      <c r="E93" s="1" t="n">
        <v>46280</v>
      </c>
      <c r="F93" t="inlineStr">
        <is>
          <t>JÖNKÖPINGS LÄN</t>
        </is>
      </c>
      <c r="G93" t="inlineStr">
        <is>
          <t>SÄVSJÖ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46014</v>
      </c>
      <c r="E94" s="1" t="n">
        <v>46280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63668-2025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46014</v>
      </c>
      <c r="E95" s="1" t="n">
        <v>46280</v>
      </c>
      <c r="F95" t="inlineStr">
        <is>
          <t>JÖNKÖPINGS LÄN</t>
        </is>
      </c>
      <c r="G95" t="inlineStr">
        <is>
          <t>SÄVSJÖ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46014</v>
      </c>
      <c r="E96" s="1" t="n">
        <v>46280</v>
      </c>
      <c r="F96" t="inlineStr">
        <is>
          <t>JÖNKÖPINGS LÄN</t>
        </is>
      </c>
      <c r="G96" t="inlineStr">
        <is>
          <t>SÄVSJÖ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46017</v>
      </c>
      <c r="E97" s="1" t="n">
        <v>46280</v>
      </c>
      <c r="F97" t="inlineStr">
        <is>
          <t>JÖNKÖPINGS LÄN</t>
        </is>
      </c>
      <c r="G97" t="inlineStr">
        <is>
          <t>SÄVSJÖ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7917-2024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45350</v>
      </c>
      <c r="E98" s="1" t="n">
        <v>46280</v>
      </c>
      <c r="F98" t="inlineStr">
        <is>
          <t>JÖNKÖPINGS LÄN</t>
        </is>
      </c>
      <c r="G98" t="inlineStr">
        <is>
          <t>SÄVSJÖ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46280</v>
      </c>
      <c r="F99" t="inlineStr">
        <is>
          <t>JÖNKÖPINGS LÄN</t>
        </is>
      </c>
      <c r="G99" t="inlineStr">
        <is>
          <t>SÄVSJÖ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46280</v>
      </c>
      <c r="F100" t="inlineStr">
        <is>
          <t>JÖNKÖPINGS LÄN</t>
        </is>
      </c>
      <c r="G100" t="inlineStr">
        <is>
          <t>SÄVSJÖ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27713-2023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46280</v>
      </c>
      <c r="F101" t="inlineStr">
        <is>
          <t>JÖNKÖPINGS LÄN</t>
        </is>
      </c>
      <c r="G101" t="inlineStr">
        <is>
          <t>SÄVSJÖ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46280</v>
      </c>
      <c r="F102" t="inlineStr">
        <is>
          <t>JÖNKÖPINGS LÄN</t>
        </is>
      </c>
      <c r="G102" t="inlineStr">
        <is>
          <t>SÄVSJÖ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45534</v>
      </c>
      <c r="E103" s="1" t="n">
        <v>46280</v>
      </c>
      <c r="F103" t="inlineStr">
        <is>
          <t>JÖNKÖPINGS LÄN</t>
        </is>
      </c>
      <c r="G103" t="inlineStr">
        <is>
          <t>SÄVSJÖ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46280</v>
      </c>
      <c r="F104" t="inlineStr">
        <is>
          <t>JÖNKÖPINGS LÄN</t>
        </is>
      </c>
      <c r="G104" t="inlineStr">
        <is>
          <t>SÄVSJÖ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46280</v>
      </c>
      <c r="F105" t="inlineStr">
        <is>
          <t>JÖNKÖPINGS LÄN</t>
        </is>
      </c>
      <c r="G105" t="inlineStr">
        <is>
          <t>SÄVSJÖ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44476</v>
      </c>
      <c r="E106" s="1" t="n">
        <v>46280</v>
      </c>
      <c r="F106" t="inlineStr">
        <is>
          <t>JÖNKÖPINGS LÄN</t>
        </is>
      </c>
      <c r="G106" t="inlineStr">
        <is>
          <t>SÄVSJÖ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46280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45518</v>
      </c>
      <c r="E108" s="1" t="n">
        <v>46280</v>
      </c>
      <c r="F108" t="inlineStr">
        <is>
          <t>JÖNKÖPINGS LÄN</t>
        </is>
      </c>
      <c r="G108" t="inlineStr">
        <is>
          <t>SÄVSJÖ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46280</v>
      </c>
      <c r="F109" t="inlineStr">
        <is>
          <t>JÖNKÖPINGS LÄN</t>
        </is>
      </c>
      <c r="G109" t="inlineStr">
        <is>
          <t>SÄVSJÖ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45106</v>
      </c>
      <c r="E110" s="1" t="n">
        <v>46280</v>
      </c>
      <c r="F110" t="inlineStr">
        <is>
          <t>JÖNKÖPINGS LÄN</t>
        </is>
      </c>
      <c r="G110" t="inlineStr">
        <is>
          <t>SÄVSJÖ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45634</v>
      </c>
      <c r="E111" s="1" t="n">
        <v>46280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45634</v>
      </c>
      <c r="E112" s="1" t="n">
        <v>46280</v>
      </c>
      <c r="F112" t="inlineStr">
        <is>
          <t>JÖNKÖPINGS LÄN</t>
        </is>
      </c>
      <c r="G112" t="inlineStr">
        <is>
          <t>SÄVSJÖ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46280</v>
      </c>
      <c r="F113" t="inlineStr">
        <is>
          <t>JÖNKÖPINGS LÄN</t>
        </is>
      </c>
      <c r="G113" t="inlineStr">
        <is>
          <t>SÄVSJÖ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46280</v>
      </c>
      <c r="F114" t="inlineStr">
        <is>
          <t>JÖNKÖPINGS LÄN</t>
        </is>
      </c>
      <c r="G114" t="inlineStr">
        <is>
          <t>SÄVSJÖ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43303-2025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46280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45833</v>
      </c>
      <c r="E116" s="1" t="n">
        <v>46280</v>
      </c>
      <c r="F116" t="inlineStr">
        <is>
          <t>JÖNKÖPINGS LÄN</t>
        </is>
      </c>
      <c r="G116" t="inlineStr">
        <is>
          <t>SÄVSJÖ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46280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46280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46280</v>
      </c>
      <c r="F119" t="inlineStr">
        <is>
          <t>JÖNKÖPINGS LÄN</t>
        </is>
      </c>
      <c r="G119" t="inlineStr">
        <is>
          <t>SÄVSJÖ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45839</v>
      </c>
      <c r="E120" s="1" t="n">
        <v>46280</v>
      </c>
      <c r="F120" t="inlineStr">
        <is>
          <t>JÖNKÖPINGS LÄN</t>
        </is>
      </c>
      <c r="G120" t="inlineStr">
        <is>
          <t>SÄVSJÖ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45094</v>
      </c>
      <c r="E121" s="1" t="n">
        <v>46280</v>
      </c>
      <c r="F121" t="inlineStr">
        <is>
          <t>JÖNKÖPINGS LÄN</t>
        </is>
      </c>
      <c r="G121" t="inlineStr">
        <is>
          <t>SÄVSJÖ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45455</v>
      </c>
      <c r="E122" s="1" t="n">
        <v>46280</v>
      </c>
      <c r="F122" t="inlineStr">
        <is>
          <t>JÖNKÖPINGS LÄN</t>
        </is>
      </c>
      <c r="G122" t="inlineStr">
        <is>
          <t>SÄVSJÖ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46280</v>
      </c>
      <c r="F123" t="inlineStr">
        <is>
          <t>JÖNKÖPINGS LÄN</t>
        </is>
      </c>
      <c r="G123" t="inlineStr">
        <is>
          <t>SÄVSJÖ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46280</v>
      </c>
      <c r="F124" t="inlineStr">
        <is>
          <t>JÖNKÖPINGS LÄN</t>
        </is>
      </c>
      <c r="G124" t="inlineStr">
        <is>
          <t>SÄVSJÖ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18135-2023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45040</v>
      </c>
      <c r="E125" s="1" t="n">
        <v>46280</v>
      </c>
      <c r="F125" t="inlineStr">
        <is>
          <t>JÖNKÖPINGS LÄN</t>
        </is>
      </c>
      <c r="G125" t="inlineStr">
        <is>
          <t>SÄVSJÖ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45418</v>
      </c>
      <c r="E126" s="1" t="n">
        <v>46280</v>
      </c>
      <c r="F126" t="inlineStr">
        <is>
          <t>JÖNKÖPINGS LÄN</t>
        </is>
      </c>
      <c r="G126" t="inlineStr">
        <is>
          <t>SÄVSJÖ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8723-2026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46280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46066</v>
      </c>
      <c r="E128" s="1" t="n">
        <v>46280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46280</v>
      </c>
      <c r="F129" t="inlineStr">
        <is>
          <t>JÖNKÖPINGS LÄN</t>
        </is>
      </c>
      <c r="G129" t="inlineStr">
        <is>
          <t>SÄVSJÖ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45110</v>
      </c>
      <c r="E130" s="1" t="n">
        <v>46280</v>
      </c>
      <c r="F130" t="inlineStr">
        <is>
          <t>JÖNKÖPINGS LÄN</t>
        </is>
      </c>
      <c r="G130" t="inlineStr">
        <is>
          <t>SÄVSJÖ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54827-2021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44474</v>
      </c>
      <c r="E131" s="1" t="n">
        <v>46280</v>
      </c>
      <c r="F131" t="inlineStr">
        <is>
          <t>JÖNKÖPINGS LÄN</t>
        </is>
      </c>
      <c r="G131" t="inlineStr">
        <is>
          <t>SÄVSJÖ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45329</v>
      </c>
      <c r="E132" s="1" t="n">
        <v>46280</v>
      </c>
      <c r="F132" t="inlineStr">
        <is>
          <t>JÖNKÖPINGS LÄN</t>
        </is>
      </c>
      <c r="G132" t="inlineStr">
        <is>
          <t>SÄVSJÖ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44833</v>
      </c>
      <c r="E133" s="1" t="n">
        <v>46280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46070</v>
      </c>
      <c r="E134" s="1" t="n">
        <v>46280</v>
      </c>
      <c r="F134" t="inlineStr">
        <is>
          <t>JÖNKÖPINGS LÄN</t>
        </is>
      </c>
      <c r="G134" t="inlineStr">
        <is>
          <t>SÄVSJÖ</t>
        </is>
      </c>
      <c r="H134" t="inlineStr">
        <is>
          <t>Kyrkan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46070</v>
      </c>
      <c r="E135" s="1" t="n">
        <v>46280</v>
      </c>
      <c r="F135" t="inlineStr">
        <is>
          <t>JÖNKÖPINGS LÄN</t>
        </is>
      </c>
      <c r="G135" t="inlineStr">
        <is>
          <t>SÄVSJÖ</t>
        </is>
      </c>
      <c r="H135" t="inlineStr">
        <is>
          <t>Kyrkan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45881</v>
      </c>
      <c r="E136" s="1" t="n">
        <v>46280</v>
      </c>
      <c r="F136" t="inlineStr">
        <is>
          <t>JÖNKÖPINGS LÄN</t>
        </is>
      </c>
      <c r="G136" t="inlineStr">
        <is>
          <t>SÄVSJÖ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46280</v>
      </c>
      <c r="F137" t="inlineStr">
        <is>
          <t>JÖNKÖPINGS LÄN</t>
        </is>
      </c>
      <c r="G137" t="inlineStr">
        <is>
          <t>SÄVSJÖ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46280</v>
      </c>
      <c r="F138" t="inlineStr">
        <is>
          <t>JÖNKÖPINGS LÄN</t>
        </is>
      </c>
      <c r="G138" t="inlineStr">
        <is>
          <t>SÄVSJÖ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45067</v>
      </c>
      <c r="E139" s="1" t="n">
        <v>46280</v>
      </c>
      <c r="F139" t="inlineStr">
        <is>
          <t>JÖNKÖPINGS LÄN</t>
        </is>
      </c>
      <c r="G139" t="inlineStr">
        <is>
          <t>SÄVSJÖ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46087</v>
      </c>
      <c r="E140" s="1" t="n">
        <v>46280</v>
      </c>
      <c r="F140" t="inlineStr">
        <is>
          <t>JÖNKÖPINGS LÄN</t>
        </is>
      </c>
      <c r="G140" t="inlineStr">
        <is>
          <t>SÄVSJÖ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30162-2023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45110</v>
      </c>
      <c r="E141" s="1" t="n">
        <v>46280</v>
      </c>
      <c r="F141" t="inlineStr">
        <is>
          <t>JÖNKÖPINGS LÄN</t>
        </is>
      </c>
      <c r="G141" t="inlineStr">
        <is>
          <t>SÄVSJÖ</t>
        </is>
      </c>
      <c r="H141" t="inlineStr">
        <is>
          <t>Kommuner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46280</v>
      </c>
      <c r="F142" t="inlineStr">
        <is>
          <t>JÖNKÖPINGS LÄN</t>
        </is>
      </c>
      <c r="G142" t="inlineStr">
        <is>
          <t>SÄVSJÖ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46280</v>
      </c>
      <c r="F143" t="inlineStr">
        <is>
          <t>JÖNKÖPINGS LÄN</t>
        </is>
      </c>
      <c r="G143" t="inlineStr">
        <is>
          <t>SÄVSJÖ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45267</v>
      </c>
      <c r="E144" s="1" t="n">
        <v>46280</v>
      </c>
      <c r="F144" t="inlineStr">
        <is>
          <t>JÖNKÖPINGS LÄN</t>
        </is>
      </c>
      <c r="G144" t="inlineStr">
        <is>
          <t>SÄVSJÖ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63920-2021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46280</v>
      </c>
      <c r="F145" t="inlineStr">
        <is>
          <t>JÖNKÖPINGS LÄN</t>
        </is>
      </c>
      <c r="G145" t="inlineStr">
        <is>
          <t>SÄVSJÖ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45671</v>
      </c>
      <c r="E146" s="1" t="n">
        <v>46280</v>
      </c>
      <c r="F146" t="inlineStr">
        <is>
          <t>JÖNKÖPINGS LÄN</t>
        </is>
      </c>
      <c r="G146" t="inlineStr">
        <is>
          <t>SÄVSJÖ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45228</v>
      </c>
      <c r="E147" s="1" t="n">
        <v>46280</v>
      </c>
      <c r="F147" t="inlineStr">
        <is>
          <t>JÖNKÖPINGS LÄN</t>
        </is>
      </c>
      <c r="G147" t="inlineStr">
        <is>
          <t>SÄVSJÖ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46280</v>
      </c>
      <c r="F148" t="inlineStr">
        <is>
          <t>JÖNKÖPINGS LÄN</t>
        </is>
      </c>
      <c r="G148" t="inlineStr">
        <is>
          <t>SÄVSJÖ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46280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44995</v>
      </c>
      <c r="E150" s="1" t="n">
        <v>46280</v>
      </c>
      <c r="F150" t="inlineStr">
        <is>
          <t>JÖNKÖPINGS LÄN</t>
        </is>
      </c>
      <c r="G150" t="inlineStr">
        <is>
          <t>SÄVSJÖ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46097</v>
      </c>
      <c r="E151" s="1" t="n">
        <v>46280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52363-2025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45953</v>
      </c>
      <c r="E152" s="1" t="n">
        <v>46280</v>
      </c>
      <c r="F152" t="inlineStr">
        <is>
          <t>JÖNKÖPINGS LÄN</t>
        </is>
      </c>
      <c r="G152" t="inlineStr">
        <is>
          <t>SÄVSJÖ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14779-2026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46280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46280</v>
      </c>
      <c r="F154" t="inlineStr">
        <is>
          <t>JÖNKÖPINGS LÄN</t>
        </is>
      </c>
      <c r="G154" t="inlineStr">
        <is>
          <t>SÄVSJÖ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46280</v>
      </c>
      <c r="F155" t="inlineStr">
        <is>
          <t>JÖNKÖPINGS LÄN</t>
        </is>
      </c>
      <c r="G155" t="inlineStr">
        <is>
          <t>SÄVSJÖ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46280</v>
      </c>
      <c r="F156" t="inlineStr">
        <is>
          <t>JÖNKÖPINGS LÄN</t>
        </is>
      </c>
      <c r="G156" t="inlineStr">
        <is>
          <t>SÄVSJÖ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46101</v>
      </c>
      <c r="E157" s="1" t="n">
        <v>46280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46101</v>
      </c>
      <c r="E158" s="1" t="n">
        <v>46280</v>
      </c>
      <c r="F158" t="inlineStr">
        <is>
          <t>JÖNKÖPINGS LÄN</t>
        </is>
      </c>
      <c r="G158" t="inlineStr">
        <is>
          <t>SÄVSJÖ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46280</v>
      </c>
      <c r="F159" t="inlineStr">
        <is>
          <t>JÖNKÖPINGS LÄN</t>
        </is>
      </c>
      <c r="G159" t="inlineStr">
        <is>
          <t>SÄVSJÖ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46280</v>
      </c>
      <c r="F160" t="inlineStr">
        <is>
          <t>JÖNKÖPINGS LÄN</t>
        </is>
      </c>
      <c r="G160" t="inlineStr">
        <is>
          <t>SÄVSJÖ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46280</v>
      </c>
      <c r="F161" t="inlineStr">
        <is>
          <t>JÖNKÖPINGS LÄN</t>
        </is>
      </c>
      <c r="G161" t="inlineStr">
        <is>
          <t>SÄVSJÖ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46280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46280</v>
      </c>
      <c r="F163" t="inlineStr">
        <is>
          <t>JÖNKÖPINGS LÄN</t>
        </is>
      </c>
      <c r="G163" t="inlineStr">
        <is>
          <t>SÄVSJÖ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46280</v>
      </c>
      <c r="F164" t="inlineStr">
        <is>
          <t>JÖNKÖPINGS LÄN</t>
        </is>
      </c>
      <c r="G164" t="inlineStr">
        <is>
          <t>SÄVSJÖ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46280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54275-2025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45964</v>
      </c>
      <c r="E166" s="1" t="n">
        <v>46280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28423-2023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45102</v>
      </c>
      <c r="E167" s="1" t="n">
        <v>46280</v>
      </c>
      <c r="F167" t="inlineStr">
        <is>
          <t>JÖNKÖPINGS LÄN</t>
        </is>
      </c>
      <c r="G167" t="inlineStr">
        <is>
          <t>SÄVSJÖ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46280</v>
      </c>
      <c r="F168" t="inlineStr">
        <is>
          <t>JÖNKÖPINGS LÄN</t>
        </is>
      </c>
      <c r="G168" t="inlineStr">
        <is>
          <t>SÄVSJÖ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46280</v>
      </c>
      <c r="F169" t="inlineStr">
        <is>
          <t>JÖNKÖPINGS LÄN</t>
        </is>
      </c>
      <c r="G169" t="inlineStr">
        <is>
          <t>SÄVSJÖ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18045-2026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46280</v>
      </c>
      <c r="F170" t="inlineStr">
        <is>
          <t>JÖNKÖPINGS LÄN</t>
        </is>
      </c>
      <c r="G170" t="inlineStr">
        <is>
          <t>SÄVSJÖ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46125</v>
      </c>
      <c r="E171" s="1" t="n">
        <v>46280</v>
      </c>
      <c r="F171" t="inlineStr">
        <is>
          <t>JÖNKÖPINGS LÄN</t>
        </is>
      </c>
      <c r="G171" t="inlineStr">
        <is>
          <t>SÄVSJÖ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46280</v>
      </c>
      <c r="F172" t="inlineStr">
        <is>
          <t>JÖNKÖPINGS LÄN</t>
        </is>
      </c>
      <c r="G172" t="inlineStr">
        <is>
          <t>SÄVSJÖ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38914-2024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45547</v>
      </c>
      <c r="E173" s="1" t="n">
        <v>46280</v>
      </c>
      <c r="F173" t="inlineStr">
        <is>
          <t>JÖNKÖPINGS LÄN</t>
        </is>
      </c>
      <c r="G173" t="inlineStr">
        <is>
          <t>SÄVSJÖ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45302</v>
      </c>
      <c r="E174" s="1" t="n">
        <v>46280</v>
      </c>
      <c r="F174" t="inlineStr">
        <is>
          <t>JÖNKÖPINGS LÄN</t>
        </is>
      </c>
      <c r="G174" t="inlineStr">
        <is>
          <t>SÄVSJÖ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44501</v>
      </c>
      <c r="E175" s="1" t="n">
        <v>46280</v>
      </c>
      <c r="F175" t="inlineStr">
        <is>
          <t>JÖNKÖPINGS LÄN</t>
        </is>
      </c>
      <c r="G175" t="inlineStr">
        <is>
          <t>SÄVSJÖ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46280</v>
      </c>
      <c r="F176" t="inlineStr">
        <is>
          <t>JÖNKÖPINGS LÄN</t>
        </is>
      </c>
      <c r="G176" t="inlineStr">
        <is>
          <t>SÄVSJÖ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46280</v>
      </c>
      <c r="F177" t="inlineStr">
        <is>
          <t>JÖNKÖPINGS LÄN</t>
        </is>
      </c>
      <c r="G177" t="inlineStr">
        <is>
          <t>SÄVSJÖ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44893</v>
      </c>
      <c r="E178" s="1" t="n">
        <v>46280</v>
      </c>
      <c r="F178" t="inlineStr">
        <is>
          <t>JÖNKÖPINGS LÄN</t>
        </is>
      </c>
      <c r="G178" t="inlineStr">
        <is>
          <t>SÄVSJÖ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46280</v>
      </c>
      <c r="F179" t="inlineStr">
        <is>
          <t>JÖNKÖPINGS LÄN</t>
        </is>
      </c>
      <c r="G179" t="inlineStr">
        <is>
          <t>SÄVSJÖ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44929</v>
      </c>
      <c r="E180" s="1" t="n">
        <v>46280</v>
      </c>
      <c r="F180" t="inlineStr">
        <is>
          <t>JÖNKÖPINGS LÄN</t>
        </is>
      </c>
      <c r="G180" t="inlineStr">
        <is>
          <t>SÄVSJÖ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46280</v>
      </c>
      <c r="F181" t="inlineStr">
        <is>
          <t>JÖNKÖPINGS LÄN</t>
        </is>
      </c>
      <c r="G181" t="inlineStr">
        <is>
          <t>SÄVSJÖ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46280</v>
      </c>
      <c r="F182" t="inlineStr">
        <is>
          <t>JÖNKÖPINGS LÄN</t>
        </is>
      </c>
      <c r="G182" t="inlineStr">
        <is>
          <t>SÄVSJÖ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45975</v>
      </c>
      <c r="E183" s="1" t="n">
        <v>46280</v>
      </c>
      <c r="F183" t="inlineStr">
        <is>
          <t>JÖNKÖPINGS LÄN</t>
        </is>
      </c>
      <c r="G183" t="inlineStr">
        <is>
          <t>SÄVSJÖ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45785</v>
      </c>
      <c r="E184" s="1" t="n">
        <v>46280</v>
      </c>
      <c r="F184" t="inlineStr">
        <is>
          <t>JÖNKÖPINGS LÄN</t>
        </is>
      </c>
      <c r="G184" t="inlineStr">
        <is>
          <t>SÄVSJÖ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46280</v>
      </c>
      <c r="F185" t="inlineStr">
        <is>
          <t>JÖNKÖPINGS LÄN</t>
        </is>
      </c>
      <c r="G185" t="inlineStr">
        <is>
          <t>SÄVSJÖ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46280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46280</v>
      </c>
      <c r="F187" t="inlineStr">
        <is>
          <t>JÖNKÖPINGS LÄN</t>
        </is>
      </c>
      <c r="G187" t="inlineStr">
        <is>
          <t>SÄVSJÖ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46280</v>
      </c>
      <c r="F188" t="inlineStr">
        <is>
          <t>JÖNKÖPINGS LÄN</t>
        </is>
      </c>
      <c r="G188" t="inlineStr">
        <is>
          <t>SÄVSJÖ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50627-2022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44866</v>
      </c>
      <c r="E189" s="1" t="n">
        <v>46280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46280</v>
      </c>
      <c r="F190" t="inlineStr">
        <is>
          <t>JÖNKÖPINGS LÄN</t>
        </is>
      </c>
      <c r="G190" t="inlineStr">
        <is>
          <t>SÄVSJÖ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46280</v>
      </c>
      <c r="F191" t="inlineStr">
        <is>
          <t>JÖNKÖPINGS LÄN</t>
        </is>
      </c>
      <c r="G191" t="inlineStr">
        <is>
          <t>SÄVSJÖ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45879</v>
      </c>
      <c r="E192" s="1" t="n">
        <v>46280</v>
      </c>
      <c r="F192" t="inlineStr">
        <is>
          <t>JÖNKÖPINGS LÄN</t>
        </is>
      </c>
      <c r="G192" t="inlineStr">
        <is>
          <t>SÄVSJÖ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46280</v>
      </c>
      <c r="F193" t="inlineStr">
        <is>
          <t>JÖNKÖPINGS LÄN</t>
        </is>
      </c>
      <c r="G193" t="inlineStr">
        <is>
          <t>SÄVSJÖ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46280</v>
      </c>
      <c r="F194" t="inlineStr">
        <is>
          <t>JÖNKÖPINGS LÄN</t>
        </is>
      </c>
      <c r="G194" t="inlineStr">
        <is>
          <t>SÄVSJÖ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46280</v>
      </c>
      <c r="F195" t="inlineStr">
        <is>
          <t>JÖNKÖPINGS LÄN</t>
        </is>
      </c>
      <c r="G195" t="inlineStr">
        <is>
          <t>SÄVSJÖ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60331-2025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45993</v>
      </c>
      <c r="E196" s="1" t="n">
        <v>46280</v>
      </c>
      <c r="F196" t="inlineStr">
        <is>
          <t>JÖNKÖPINGS LÄN</t>
        </is>
      </c>
      <c r="G196" t="inlineStr">
        <is>
          <t>SÄVSJÖ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45226</v>
      </c>
      <c r="E197" s="1" t="n">
        <v>46280</v>
      </c>
      <c r="F197" t="inlineStr">
        <is>
          <t>JÖNKÖPINGS LÄN</t>
        </is>
      </c>
      <c r="G197" t="inlineStr">
        <is>
          <t>SÄVSJÖ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46280</v>
      </c>
      <c r="F198" t="inlineStr">
        <is>
          <t>JÖNKÖPINGS LÄN</t>
        </is>
      </c>
      <c r="G198" t="inlineStr">
        <is>
          <t>SÄVSJÖ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34287-2024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46280</v>
      </c>
      <c r="F199" t="inlineStr">
        <is>
          <t>JÖNKÖPINGS LÄN</t>
        </is>
      </c>
      <c r="G199" t="inlineStr">
        <is>
          <t>SÄVSJÖ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10865-2023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44991</v>
      </c>
      <c r="E200" s="1" t="n">
        <v>46280</v>
      </c>
      <c r="F200" t="inlineStr">
        <is>
          <t>JÖNKÖPINGS LÄN</t>
        </is>
      </c>
      <c r="G200" t="inlineStr">
        <is>
          <t>SÄVSJÖ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45247</v>
      </c>
      <c r="E201" s="1" t="n">
        <v>46280</v>
      </c>
      <c r="F201" t="inlineStr">
        <is>
          <t>JÖNKÖPINGS LÄN</t>
        </is>
      </c>
      <c r="G201" t="inlineStr">
        <is>
          <t>SÄVSJÖ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46280</v>
      </c>
      <c r="F202" t="inlineStr">
        <is>
          <t>JÖNKÖPINGS LÄN</t>
        </is>
      </c>
      <c r="G202" t="inlineStr">
        <is>
          <t>SÄVSJÖ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45634</v>
      </c>
      <c r="E203" s="1" t="n">
        <v>46280</v>
      </c>
      <c r="F203" t="inlineStr">
        <is>
          <t>JÖNKÖPINGS LÄN</t>
        </is>
      </c>
      <c r="G203" t="inlineStr">
        <is>
          <t>SÄVSJÖ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45433</v>
      </c>
      <c r="E204" s="1" t="n">
        <v>46280</v>
      </c>
      <c r="F204" t="inlineStr">
        <is>
          <t>JÖNKÖPINGS LÄN</t>
        </is>
      </c>
      <c r="G204" t="inlineStr">
        <is>
          <t>SÄVSJÖ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45534</v>
      </c>
      <c r="E205" s="1" t="n">
        <v>46280</v>
      </c>
      <c r="F205" t="inlineStr">
        <is>
          <t>JÖNKÖPINGS LÄN</t>
        </is>
      </c>
      <c r="G205" t="inlineStr">
        <is>
          <t>SÄVSJÖ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45053</v>
      </c>
      <c r="E206" s="1" t="n">
        <v>46280</v>
      </c>
      <c r="F206" t="inlineStr">
        <is>
          <t>JÖNKÖPINGS LÄN</t>
        </is>
      </c>
      <c r="G206" t="inlineStr">
        <is>
          <t>SÄVSJÖ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44991</v>
      </c>
      <c r="E207" s="1" t="n">
        <v>46280</v>
      </c>
      <c r="F207" t="inlineStr">
        <is>
          <t>JÖNKÖPINGS LÄN</t>
        </is>
      </c>
      <c r="G207" t="inlineStr">
        <is>
          <t>SÄVSJÖ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46280</v>
      </c>
      <c r="F208" t="inlineStr">
        <is>
          <t>JÖNKÖPINGS LÄN</t>
        </is>
      </c>
      <c r="G208" t="inlineStr">
        <is>
          <t>SÄVSJÖ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44957</v>
      </c>
      <c r="E209" s="1" t="n">
        <v>46280</v>
      </c>
      <c r="F209" t="inlineStr">
        <is>
          <t>JÖNKÖPINGS LÄN</t>
        </is>
      </c>
      <c r="G209" t="inlineStr">
        <is>
          <t>SÄVSJÖ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46280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12959-2023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45001</v>
      </c>
      <c r="E211" s="1" t="n">
        <v>46280</v>
      </c>
      <c r="F211" t="inlineStr">
        <is>
          <t>JÖNKÖPINGS LÄN</t>
        </is>
      </c>
      <c r="G211" t="inlineStr">
        <is>
          <t>SÄVSJÖ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45315</v>
      </c>
      <c r="E212" s="1" t="n">
        <v>46280</v>
      </c>
      <c r="F212" t="inlineStr">
        <is>
          <t>JÖNKÖPINGS LÄN</t>
        </is>
      </c>
      <c r="G212" t="inlineStr">
        <is>
          <t>SÄVSJÖ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40111-2022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46280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46280</v>
      </c>
      <c r="F214" t="inlineStr">
        <is>
          <t>JÖNKÖPINGS LÄN</t>
        </is>
      </c>
      <c r="G214" t="inlineStr">
        <is>
          <t>SÄVSJÖ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46280</v>
      </c>
      <c r="F215" t="inlineStr">
        <is>
          <t>JÖNKÖPINGS LÄN</t>
        </is>
      </c>
      <c r="G215" t="inlineStr">
        <is>
          <t>SÄVSJÖ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46280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45320</v>
      </c>
      <c r="E217" s="1" t="n">
        <v>46280</v>
      </c>
      <c r="F217" t="inlineStr">
        <is>
          <t>JÖNKÖPINGS LÄN</t>
        </is>
      </c>
      <c r="G217" t="inlineStr">
        <is>
          <t>SÄVSJÖ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45054</v>
      </c>
      <c r="E218" s="1" t="n">
        <v>46280</v>
      </c>
      <c r="F218" t="inlineStr">
        <is>
          <t>JÖNKÖPINGS LÄN</t>
        </is>
      </c>
      <c r="G218" t="inlineStr">
        <is>
          <t>SÄVSJÖ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45694</v>
      </c>
      <c r="E219" s="1" t="n">
        <v>46280</v>
      </c>
      <c r="F219" t="inlineStr">
        <is>
          <t>JÖNKÖPINGS LÄN</t>
        </is>
      </c>
      <c r="G219" t="inlineStr">
        <is>
          <t>SÄVSJÖ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46280</v>
      </c>
      <c r="F220" t="inlineStr">
        <is>
          <t>JÖNKÖPINGS LÄN</t>
        </is>
      </c>
      <c r="G220" t="inlineStr">
        <is>
          <t>SÄVSJÖ</t>
        </is>
      </c>
      <c r="H220" t="inlineStr">
        <is>
          <t>Sveaskog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46280</v>
      </c>
      <c r="F221" t="inlineStr">
        <is>
          <t>JÖNKÖPINGS LÄN</t>
        </is>
      </c>
      <c r="G221" t="inlineStr">
        <is>
          <t>SÄVSJÖ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46280</v>
      </c>
      <c r="F222" t="inlineStr">
        <is>
          <t>JÖNKÖPINGS LÄN</t>
        </is>
      </c>
      <c r="G222" t="inlineStr">
        <is>
          <t>SÄVSJÖ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46280</v>
      </c>
      <c r="F223" t="inlineStr">
        <is>
          <t>JÖNKÖPINGS LÄN</t>
        </is>
      </c>
      <c r="G223" t="inlineStr">
        <is>
          <t>SÄVSJÖ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23776-2026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46164</v>
      </c>
      <c r="E224" s="1" t="n">
        <v>46280</v>
      </c>
      <c r="F224" t="inlineStr">
        <is>
          <t>JÖNKÖPINGS LÄN</t>
        </is>
      </c>
      <c r="G224" t="inlineStr">
        <is>
          <t>SÄVSJÖ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23816-2026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46165</v>
      </c>
      <c r="E225" s="1" t="n">
        <v>46280</v>
      </c>
      <c r="F225" t="inlineStr">
        <is>
          <t>JÖNKÖPINGS LÄN</t>
        </is>
      </c>
      <c r="G225" t="inlineStr">
        <is>
          <t>SÄVSJÖ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46280</v>
      </c>
      <c r="F226" t="inlineStr">
        <is>
          <t>JÖNKÖPINGS LÄN</t>
        </is>
      </c>
      <c r="G226" t="inlineStr">
        <is>
          <t>SÄVSJÖ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46280</v>
      </c>
      <c r="F227" t="inlineStr">
        <is>
          <t>JÖNKÖPINGS LÄN</t>
        </is>
      </c>
      <c r="G227" t="inlineStr">
        <is>
          <t>SÄVSJÖ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7285-2023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44970</v>
      </c>
      <c r="E228" s="1" t="n">
        <v>46280</v>
      </c>
      <c r="F228" t="inlineStr">
        <is>
          <t>JÖNKÖPINGS LÄN</t>
        </is>
      </c>
      <c r="G228" t="inlineStr">
        <is>
          <t>SÄVSJÖ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26673-2026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46280</v>
      </c>
      <c r="F229" t="inlineStr">
        <is>
          <t>JÖNKÖPINGS LÄN</t>
        </is>
      </c>
      <c r="G229" t="inlineStr">
        <is>
          <t>SÄVSJÖ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46191</v>
      </c>
      <c r="E230" s="1" t="n">
        <v>46280</v>
      </c>
      <c r="F230" t="inlineStr">
        <is>
          <t>JÖNKÖPINGS LÄN</t>
        </is>
      </c>
      <c r="G230" t="inlineStr">
        <is>
          <t>SÄVSJÖ</t>
        </is>
      </c>
      <c r="H230" t="inlineStr">
        <is>
          <t>Kommuner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46191</v>
      </c>
      <c r="E231" s="1" t="n">
        <v>46280</v>
      </c>
      <c r="F231" t="inlineStr">
        <is>
          <t>JÖNKÖPINGS LÄN</t>
        </is>
      </c>
      <c r="G231" t="inlineStr">
        <is>
          <t>SÄVSJÖ</t>
        </is>
      </c>
      <c r="H231" t="inlineStr">
        <is>
          <t>Kommuner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50629-2022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44866</v>
      </c>
      <c r="E232" s="1" t="n">
        <v>46280</v>
      </c>
      <c r="F232" t="inlineStr">
        <is>
          <t>JÖNKÖPINGS LÄN</t>
        </is>
      </c>
      <c r="G232" t="inlineStr">
        <is>
          <t>SÄVSJÖ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46280</v>
      </c>
      <c r="F233" t="inlineStr">
        <is>
          <t>JÖNKÖPINGS LÄN</t>
        </is>
      </c>
      <c r="G233" t="inlineStr">
        <is>
          <t>SÄVSJÖ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45338</v>
      </c>
      <c r="E234" s="1" t="n">
        <v>46280</v>
      </c>
      <c r="F234" t="inlineStr">
        <is>
          <t>JÖNKÖPINGS LÄN</t>
        </is>
      </c>
      <c r="G234" t="inlineStr">
        <is>
          <t>SÄVSJÖ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33736-2026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46251</v>
      </c>
      <c r="E235" s="1" t="n">
        <v>46280</v>
      </c>
      <c r="F235" t="inlineStr">
        <is>
          <t>JÖNKÖPINGS LÄN</t>
        </is>
      </c>
      <c r="G235" t="inlineStr">
        <is>
          <t>SÄVSJÖ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45170</v>
      </c>
      <c r="E236" s="1" t="n">
        <v>46280</v>
      </c>
      <c r="F236" t="inlineStr">
        <is>
          <t>JÖNKÖPINGS LÄN</t>
        </is>
      </c>
      <c r="G236" t="inlineStr">
        <is>
          <t>SÄVSJÖ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46280</v>
      </c>
      <c r="F237" t="inlineStr">
        <is>
          <t>JÖNKÖPINGS LÄN</t>
        </is>
      </c>
      <c r="G237" t="inlineStr">
        <is>
          <t>SÄVSJÖ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46280</v>
      </c>
      <c r="F238" t="inlineStr">
        <is>
          <t>JÖNKÖPINGS LÄN</t>
        </is>
      </c>
      <c r="G238" t="inlineStr">
        <is>
          <t>SÄVSJÖ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45534</v>
      </c>
      <c r="E239" s="1" t="n">
        <v>46280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54940-2022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44886</v>
      </c>
      <c r="E240" s="1" t="n">
        <v>46280</v>
      </c>
      <c r="F240" t="inlineStr">
        <is>
          <t>JÖNKÖPINGS LÄN</t>
        </is>
      </c>
      <c r="G240" t="inlineStr">
        <is>
          <t>SÄVSJÖ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45209</v>
      </c>
      <c r="E241" s="1" t="n">
        <v>46280</v>
      </c>
      <c r="F241" t="inlineStr">
        <is>
          <t>JÖNKÖPINGS LÄN</t>
        </is>
      </c>
      <c r="G241" t="inlineStr">
        <is>
          <t>SÄVSJÖ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46280</v>
      </c>
      <c r="F242" t="inlineStr">
        <is>
          <t>JÖNKÖPINGS LÄN</t>
        </is>
      </c>
      <c r="G242" t="inlineStr">
        <is>
          <t>SÄVSJÖ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46280</v>
      </c>
      <c r="F243" t="inlineStr">
        <is>
          <t>JÖNKÖPINGS LÄN</t>
        </is>
      </c>
      <c r="G243" t="inlineStr">
        <is>
          <t>SÄVSJÖ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45197</v>
      </c>
      <c r="E244" s="1" t="n">
        <v>46280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35211-2026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46260</v>
      </c>
      <c r="E245" s="1" t="n">
        <v>46280</v>
      </c>
      <c r="F245" t="inlineStr">
        <is>
          <t>JÖNKÖPINGS LÄN</t>
        </is>
      </c>
      <c r="G245" t="inlineStr">
        <is>
          <t>SÄVSJÖ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46260</v>
      </c>
      <c r="E246" s="1" t="n">
        <v>46280</v>
      </c>
      <c r="F246" t="inlineStr">
        <is>
          <t>JÖNKÖPINGS LÄN</t>
        </is>
      </c>
      <c r="G246" t="inlineStr">
        <is>
          <t>SÄVSJÖ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46260</v>
      </c>
      <c r="E247" s="1" t="n">
        <v>46280</v>
      </c>
      <c r="F247" t="inlineStr">
        <is>
          <t>JÖNKÖPINGS LÄN</t>
        </is>
      </c>
      <c r="G247" t="inlineStr">
        <is>
          <t>SÄVSJÖ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44656</v>
      </c>
      <c r="E248" s="1" t="n">
        <v>46280</v>
      </c>
      <c r="F248" t="inlineStr">
        <is>
          <t>JÖNKÖPINGS LÄN</t>
        </is>
      </c>
      <c r="G248" t="inlineStr">
        <is>
          <t>SÄVSJÖ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45407</v>
      </c>
      <c r="E249" s="1" t="n">
        <v>46280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46280</v>
      </c>
      <c r="F250" t="inlineStr">
        <is>
          <t>JÖNKÖPINGS LÄN</t>
        </is>
      </c>
      <c r="G250" t="inlineStr">
        <is>
          <t>SÄVSJÖ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45301</v>
      </c>
      <c r="E251" s="1" t="n">
        <v>46280</v>
      </c>
      <c r="F251" t="inlineStr">
        <is>
          <t>JÖNKÖPINGS LÄN</t>
        </is>
      </c>
      <c r="G251" t="inlineStr">
        <is>
          <t>SÄVSJÖ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46280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41391-2022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44826</v>
      </c>
      <c r="E253" s="1" t="n">
        <v>46280</v>
      </c>
      <c r="F253" t="inlineStr">
        <is>
          <t>JÖNKÖPINGS LÄN</t>
        </is>
      </c>
      <c r="G253" t="inlineStr">
        <is>
          <t>SÄVSJÖ</t>
        </is>
      </c>
      <c r="H253" t="inlineStr">
        <is>
          <t>Sveaskog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35882-2026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46266</v>
      </c>
      <c r="E254" s="1" t="n">
        <v>46280</v>
      </c>
      <c r="F254" t="inlineStr">
        <is>
          <t>JÖNKÖPINGS LÄN</t>
        </is>
      </c>
      <c r="G254" t="inlineStr">
        <is>
          <t>SÄVSJÖ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46266</v>
      </c>
      <c r="E255" s="1" t="n">
        <v>46280</v>
      </c>
      <c r="F255" t="inlineStr">
        <is>
          <t>JÖNKÖPINGS LÄN</t>
        </is>
      </c>
      <c r="G255" t="inlineStr">
        <is>
          <t>SÄVSJÖ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45315</v>
      </c>
      <c r="E256" s="1" t="n">
        <v>46280</v>
      </c>
      <c r="F256" t="inlineStr">
        <is>
          <t>JÖNKÖPINGS LÄN</t>
        </is>
      </c>
      <c r="G256" t="inlineStr">
        <is>
          <t>SÄVSJÖ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46266</v>
      </c>
      <c r="E257" s="1" t="n">
        <v>46280</v>
      </c>
      <c r="F257" t="inlineStr">
        <is>
          <t>JÖNKÖPINGS LÄN</t>
        </is>
      </c>
      <c r="G257" t="inlineStr">
        <is>
          <t>SÄVSJÖ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62961-2021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44505</v>
      </c>
      <c r="E258" s="1" t="n">
        <v>46280</v>
      </c>
      <c r="F258" t="inlineStr">
        <is>
          <t>JÖNKÖPINGS LÄN</t>
        </is>
      </c>
      <c r="G258" t="inlineStr">
        <is>
          <t>SÄVSJÖ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46280</v>
      </c>
      <c r="F259" t="inlineStr">
        <is>
          <t>JÖNKÖPINGS LÄN</t>
        </is>
      </c>
      <c r="G259" t="inlineStr">
        <is>
          <t>SÄVSJÖ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45719</v>
      </c>
      <c r="E260" s="1" t="n">
        <v>46280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31721-2026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46226</v>
      </c>
      <c r="E261" s="1" t="n">
        <v>46280</v>
      </c>
      <c r="F261" t="inlineStr">
        <is>
          <t>JÖNKÖPINGS LÄN</t>
        </is>
      </c>
      <c r="G261" t="inlineStr">
        <is>
          <t>SÄVSJÖ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37079-2026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46273</v>
      </c>
      <c r="E262" s="1" t="n">
        <v>46280</v>
      </c>
      <c r="F262" t="inlineStr">
        <is>
          <t>JÖNKÖPINGS LÄN</t>
        </is>
      </c>
      <c r="G262" t="inlineStr">
        <is>
          <t>SÄVSJÖ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33536-2026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46248</v>
      </c>
      <c r="E263" s="1" t="n">
        <v>46280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16379-2024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45407</v>
      </c>
      <c r="E264" s="1" t="n">
        <v>46280</v>
      </c>
      <c r="F264" t="inlineStr">
        <is>
          <t>JÖNKÖPINGS LÄN</t>
        </is>
      </c>
      <c r="G264" t="inlineStr">
        <is>
          <t>SÄVSJÖ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46248</v>
      </c>
      <c r="E265" s="1" t="n">
        <v>46280</v>
      </c>
      <c r="F265" t="inlineStr">
        <is>
          <t>JÖNKÖPINGS LÄN</t>
        </is>
      </c>
      <c r="G265" t="inlineStr">
        <is>
          <t>SÄVSJÖ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46248</v>
      </c>
      <c r="E266" s="1" t="n">
        <v>46280</v>
      </c>
      <c r="F266" t="inlineStr">
        <is>
          <t>JÖNKÖPINGS LÄN</t>
        </is>
      </c>
      <c r="G266" t="inlineStr">
        <is>
          <t>SÄVSJÖ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45669</v>
      </c>
      <c r="E267" s="1" t="n">
        <v>46280</v>
      </c>
      <c r="F267" t="inlineStr">
        <is>
          <t>JÖNKÖPINGS LÄN</t>
        </is>
      </c>
      <c r="G267" t="inlineStr">
        <is>
          <t>SÄVSJÖ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46272</v>
      </c>
      <c r="E268" s="1" t="n">
        <v>46280</v>
      </c>
      <c r="F268" t="inlineStr">
        <is>
          <t>JÖNKÖPINGS LÄN</t>
        </is>
      </c>
      <c r="G268" t="inlineStr">
        <is>
          <t>SÄVSJÖ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46280</v>
      </c>
      <c r="F269" t="inlineStr">
        <is>
          <t>JÖNKÖPINGS LÄN</t>
        </is>
      </c>
      <c r="G269" t="inlineStr">
        <is>
          <t>SÄVSJÖ</t>
        </is>
      </c>
      <c r="H269" t="inlineStr">
        <is>
          <t>Övriga Aktiebolag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46274</v>
      </c>
      <c r="E270" s="1" t="n">
        <v>46280</v>
      </c>
      <c r="F270" t="inlineStr">
        <is>
          <t>JÖNKÖPINGS LÄN</t>
        </is>
      </c>
      <c r="G270" t="inlineStr">
        <is>
          <t>SÄVSJÖ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45226</v>
      </c>
      <c r="E271" s="1" t="n">
        <v>46280</v>
      </c>
      <c r="F271" t="inlineStr">
        <is>
          <t>JÖNKÖPINGS LÄN</t>
        </is>
      </c>
      <c r="G271" t="inlineStr">
        <is>
          <t>SÄVSJÖ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21795-2023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45067</v>
      </c>
      <c r="E272" s="1" t="n">
        <v>46280</v>
      </c>
      <c r="F272" t="inlineStr">
        <is>
          <t>JÖNKÖPINGS LÄN</t>
        </is>
      </c>
      <c r="G272" t="inlineStr">
        <is>
          <t>SÄVSJÖ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46276</v>
      </c>
      <c r="E273" s="1" t="n">
        <v>46280</v>
      </c>
      <c r="F273" t="inlineStr">
        <is>
          <t>JÖNKÖPINGS LÄN</t>
        </is>
      </c>
      <c r="G273" t="inlineStr">
        <is>
          <t>SÄVSJÖ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56097-2023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45240</v>
      </c>
      <c r="E274" s="1" t="n">
        <v>46280</v>
      </c>
      <c r="F274" t="inlineStr">
        <is>
          <t>JÖNKÖPINGS LÄN</t>
        </is>
      </c>
      <c r="G274" t="inlineStr">
        <is>
          <t>SÄVSJÖ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45771</v>
      </c>
      <c r="E275" s="1" t="n">
        <v>46280</v>
      </c>
      <c r="F275" t="inlineStr">
        <is>
          <t>JÖNKÖPINGS LÄN</t>
        </is>
      </c>
      <c r="G275" t="inlineStr">
        <is>
          <t>SÄVSJÖ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45546</v>
      </c>
      <c r="E276" s="1" t="n">
        <v>46280</v>
      </c>
      <c r="F276" t="inlineStr">
        <is>
          <t>JÖNKÖPINGS LÄN</t>
        </is>
      </c>
      <c r="G276" t="inlineStr">
        <is>
          <t>SÄVSJÖ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44601</v>
      </c>
      <c r="E277" s="1" t="n">
        <v>46280</v>
      </c>
      <c r="F277" t="inlineStr">
        <is>
          <t>JÖNKÖPINGS LÄN</t>
        </is>
      </c>
      <c r="G277" t="inlineStr">
        <is>
          <t>SÄVSJÖ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45755</v>
      </c>
      <c r="E278" s="1" t="n">
        <v>46280</v>
      </c>
      <c r="F278" t="inlineStr">
        <is>
          <t>JÖNKÖPINGS LÄN</t>
        </is>
      </c>
      <c r="G278" t="inlineStr">
        <is>
          <t>SÄVSJÖ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45084</v>
      </c>
      <c r="E279" s="1" t="n">
        <v>46280</v>
      </c>
      <c r="F279" t="inlineStr">
        <is>
          <t>JÖNKÖPINGS LÄN</t>
        </is>
      </c>
      <c r="G279" t="inlineStr">
        <is>
          <t>SÄVSJÖ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45037</v>
      </c>
      <c r="E280" s="1" t="n">
        <v>46280</v>
      </c>
      <c r="F280" t="inlineStr">
        <is>
          <t>JÖNKÖPINGS LÄN</t>
        </is>
      </c>
      <c r="G280" t="inlineStr">
        <is>
          <t>SÄVSJÖ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64573-2023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45281</v>
      </c>
      <c r="E281" s="1" t="n">
        <v>46280</v>
      </c>
      <c r="F281" t="inlineStr">
        <is>
          <t>JÖNKÖPINGS LÄN</t>
        </is>
      </c>
      <c r="G281" t="inlineStr">
        <is>
          <t>SÄVSJÖ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45237</v>
      </c>
      <c r="E282" s="1" t="n">
        <v>46280</v>
      </c>
      <c r="F282" t="inlineStr">
        <is>
          <t>JÖNKÖPINGS LÄN</t>
        </is>
      </c>
      <c r="G282" t="inlineStr">
        <is>
          <t>SÄVSJÖ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50493-2024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46280</v>
      </c>
      <c r="F283" t="inlineStr">
        <is>
          <t>JÖNKÖPINGS LÄN</t>
        </is>
      </c>
      <c r="G283" t="inlineStr">
        <is>
          <t>SÄVSJÖ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42394-2022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46280</v>
      </c>
      <c r="F284" t="inlineStr">
        <is>
          <t>JÖNKÖPINGS LÄN</t>
        </is>
      </c>
      <c r="G284" t="inlineStr">
        <is>
          <t>SÄVSJÖ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46280</v>
      </c>
      <c r="F285" t="inlineStr">
        <is>
          <t>JÖNKÖPINGS LÄN</t>
        </is>
      </c>
      <c r="G285" t="inlineStr">
        <is>
          <t>SÄVSJÖ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26380-2024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46280</v>
      </c>
      <c r="F286" t="inlineStr">
        <is>
          <t>JÖNKÖPINGS LÄN</t>
        </is>
      </c>
      <c r="G286" t="inlineStr">
        <is>
          <t>SÄVSJÖ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36183-2024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45534</v>
      </c>
      <c r="E287" s="1" t="n">
        <v>46280</v>
      </c>
      <c r="F287" t="inlineStr">
        <is>
          <t>JÖNKÖPINGS LÄN</t>
        </is>
      </c>
      <c r="G287" t="inlineStr">
        <is>
          <t>SÄVSJÖ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46280</v>
      </c>
      <c r="F288" t="inlineStr">
        <is>
          <t>JÖNKÖPINGS LÄN</t>
        </is>
      </c>
      <c r="G288" t="inlineStr">
        <is>
          <t>SÄVSJÖ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38333-2023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46280</v>
      </c>
      <c r="F289" t="inlineStr">
        <is>
          <t>JÖNKÖPINGS LÄN</t>
        </is>
      </c>
      <c r="G289" t="inlineStr">
        <is>
          <t>SÄVSJÖ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45660</v>
      </c>
      <c r="E290" s="1" t="n">
        <v>46280</v>
      </c>
      <c r="F290" t="inlineStr">
        <is>
          <t>JÖNKÖPINGS LÄN</t>
        </is>
      </c>
      <c r="G290" t="inlineStr">
        <is>
          <t>SÄVSJÖ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45127</v>
      </c>
      <c r="E291" s="1" t="n">
        <v>46280</v>
      </c>
      <c r="F291" t="inlineStr">
        <is>
          <t>JÖNKÖPINGS LÄN</t>
        </is>
      </c>
      <c r="G291" t="inlineStr">
        <is>
          <t>SÄVSJÖ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55258-2021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44475</v>
      </c>
      <c r="E292" s="1" t="n">
        <v>46280</v>
      </c>
      <c r="F292" t="inlineStr">
        <is>
          <t>JÖNKÖPINGS LÄN</t>
        </is>
      </c>
      <c r="G292" t="inlineStr">
        <is>
          <t>SÄVSJÖ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45411</v>
      </c>
      <c r="E293" s="1" t="n">
        <v>46280</v>
      </c>
      <c r="F293" t="inlineStr">
        <is>
          <t>JÖNKÖPINGS LÄN</t>
        </is>
      </c>
      <c r="G293" t="inlineStr">
        <is>
          <t>SÄVSJÖ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45253</v>
      </c>
      <c r="E294" s="1" t="n">
        <v>46280</v>
      </c>
      <c r="F294" t="inlineStr">
        <is>
          <t>JÖNKÖPINGS LÄN</t>
        </is>
      </c>
      <c r="G294" t="inlineStr">
        <is>
          <t>SÄVSJÖ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64126-2021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44510</v>
      </c>
      <c r="E295" s="1" t="n">
        <v>46280</v>
      </c>
      <c r="F295" t="inlineStr">
        <is>
          <t>JÖNKÖPINGS LÄN</t>
        </is>
      </c>
      <c r="G295" t="inlineStr">
        <is>
          <t>SÄVSJÖ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62421-2023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45268</v>
      </c>
      <c r="E296" s="1" t="n">
        <v>46280</v>
      </c>
      <c r="F296" t="inlineStr">
        <is>
          <t>JÖNKÖPINGS LÄN</t>
        </is>
      </c>
      <c r="G296" t="inlineStr">
        <is>
          <t>SÄVSJÖ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45341</v>
      </c>
      <c r="E297" s="1" t="n">
        <v>46280</v>
      </c>
      <c r="F297" t="inlineStr">
        <is>
          <t>JÖNKÖPINGS LÄN</t>
        </is>
      </c>
      <c r="G297" t="inlineStr">
        <is>
          <t>SÄVSJÖ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45355</v>
      </c>
      <c r="E298" s="1" t="n">
        <v>46280</v>
      </c>
      <c r="F298" t="inlineStr">
        <is>
          <t>JÖNKÖPINGS LÄN</t>
        </is>
      </c>
      <c r="G298" t="inlineStr">
        <is>
          <t>SÄVSJÖ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46280</v>
      </c>
      <c r="F299" t="inlineStr">
        <is>
          <t>JÖNKÖPINGS LÄN</t>
        </is>
      </c>
      <c r="G299" t="inlineStr">
        <is>
          <t>SÄVSJÖ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38283-2023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45161</v>
      </c>
      <c r="E300" s="1" t="n">
        <v>46280</v>
      </c>
      <c r="F300" t="inlineStr">
        <is>
          <t>JÖNKÖPINGS LÄN</t>
        </is>
      </c>
      <c r="G300" t="inlineStr">
        <is>
          <t>SÄVSJÖ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46280</v>
      </c>
      <c r="F301" t="inlineStr">
        <is>
          <t>JÖNKÖPINGS LÄN</t>
        </is>
      </c>
      <c r="G301" t="inlineStr">
        <is>
          <t>SÄVSJÖ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45079</v>
      </c>
      <c r="E302" s="1" t="n">
        <v>46280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20915-2023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45061</v>
      </c>
      <c r="E303" s="1" t="n">
        <v>46280</v>
      </c>
      <c r="F303" t="inlineStr">
        <is>
          <t>JÖNKÖPINGS LÄN</t>
        </is>
      </c>
      <c r="G303" t="inlineStr">
        <is>
          <t>SÄVSJÖ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15842-2025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45748</v>
      </c>
      <c r="E304" s="1" t="n">
        <v>46280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46280</v>
      </c>
      <c r="F305" t="inlineStr">
        <is>
          <t>JÖNKÖPINGS LÄN</t>
        </is>
      </c>
      <c r="G305" t="inlineStr">
        <is>
          <t>SÄVSJÖ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57928-2023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46280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45211</v>
      </c>
      <c r="E307" s="1" t="n">
        <v>46280</v>
      </c>
      <c r="F307" t="inlineStr">
        <is>
          <t>JÖNKÖPINGS LÄN</t>
        </is>
      </c>
      <c r="G307" t="inlineStr">
        <is>
          <t>SÄVSJÖ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45301</v>
      </c>
      <c r="E308" s="1" t="n">
        <v>46280</v>
      </c>
      <c r="F308" t="inlineStr">
        <is>
          <t>JÖNKÖPINGS LÄN</t>
        </is>
      </c>
      <c r="G308" t="inlineStr">
        <is>
          <t>SÄVSJÖ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63308-2023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45274</v>
      </c>
      <c r="E309" s="1" t="n">
        <v>46280</v>
      </c>
      <c r="F309" t="inlineStr">
        <is>
          <t>JÖNKÖPINGS LÄN</t>
        </is>
      </c>
      <c r="G309" t="inlineStr">
        <is>
          <t>SÄVSJÖ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51795-2022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44872</v>
      </c>
      <c r="E310" s="1" t="n">
        <v>46280</v>
      </c>
      <c r="F310" t="inlineStr">
        <is>
          <t>JÖNKÖPINGS LÄN</t>
        </is>
      </c>
      <c r="G310" t="inlineStr">
        <is>
          <t>SÄVSJÖ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45008</v>
      </c>
      <c r="E311" s="1" t="n">
        <v>46280</v>
      </c>
      <c r="F311" t="inlineStr">
        <is>
          <t>JÖNKÖPINGS LÄN</t>
        </is>
      </c>
      <c r="G311" t="inlineStr">
        <is>
          <t>SÄVSJÖ</t>
        </is>
      </c>
      <c r="H311" t="inlineStr">
        <is>
          <t>Kommuner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46280</v>
      </c>
      <c r="F312" t="inlineStr">
        <is>
          <t>JÖNKÖPINGS LÄN</t>
        </is>
      </c>
      <c r="G312" t="inlineStr">
        <is>
          <t>SÄVSJÖ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45170</v>
      </c>
      <c r="E313" s="1" t="n">
        <v>46280</v>
      </c>
      <c r="F313" t="inlineStr">
        <is>
          <t>JÖNKÖPINGS LÄN</t>
        </is>
      </c>
      <c r="G313" t="inlineStr">
        <is>
          <t>SÄVSJÖ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44590</v>
      </c>
      <c r="E314" s="1" t="n">
        <v>46280</v>
      </c>
      <c r="F314" t="inlineStr">
        <is>
          <t>JÖNKÖPINGS LÄN</t>
        </is>
      </c>
      <c r="G314" t="inlineStr">
        <is>
          <t>SÄVSJÖ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45623</v>
      </c>
      <c r="E315" s="1" t="n">
        <v>46280</v>
      </c>
      <c r="F315" t="inlineStr">
        <is>
          <t>JÖNKÖPINGS LÄN</t>
        </is>
      </c>
      <c r="G315" t="inlineStr">
        <is>
          <t>SÄVSJÖ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52965-2024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46280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57471-2022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44896</v>
      </c>
      <c r="E317" s="1" t="n">
        <v>46280</v>
      </c>
      <c r="F317" t="inlineStr">
        <is>
          <t>JÖNKÖPINGS LÄN</t>
        </is>
      </c>
      <c r="G317" t="inlineStr">
        <is>
          <t>SÄVSJÖ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55381-2023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45238</v>
      </c>
      <c r="E318" s="1" t="n">
        <v>46280</v>
      </c>
      <c r="F318" t="inlineStr">
        <is>
          <t>JÖNKÖPINGS LÄN</t>
        </is>
      </c>
      <c r="G318" t="inlineStr">
        <is>
          <t>SÄVSJÖ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44972</v>
      </c>
      <c r="E319" s="1" t="n">
        <v>46280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46280</v>
      </c>
      <c r="F320" t="inlineStr">
        <is>
          <t>JÖNKÖPINGS LÄN</t>
        </is>
      </c>
      <c r="G320" t="inlineStr">
        <is>
          <t>SÄVSJÖ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45454</v>
      </c>
      <c r="E321" s="1" t="n">
        <v>46280</v>
      </c>
      <c r="F321" t="inlineStr">
        <is>
          <t>JÖNKÖPINGS LÄN</t>
        </is>
      </c>
      <c r="G321" t="inlineStr">
        <is>
          <t>SÄVSJÖ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50564-2024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45601</v>
      </c>
      <c r="E322" s="1" t="n">
        <v>46280</v>
      </c>
      <c r="F322" t="inlineStr">
        <is>
          <t>JÖNKÖPINGS LÄN</t>
        </is>
      </c>
      <c r="G322" t="inlineStr">
        <is>
          <t>SÄVSJÖ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45253</v>
      </c>
      <c r="E323" s="1" t="n">
        <v>46280</v>
      </c>
      <c r="F323" t="inlineStr">
        <is>
          <t>JÖNKÖPINGS LÄN</t>
        </is>
      </c>
      <c r="G323" t="inlineStr">
        <is>
          <t>SÄVSJÖ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45111</v>
      </c>
      <c r="E324" s="1" t="n">
        <v>46280</v>
      </c>
      <c r="F324" t="inlineStr">
        <is>
          <t>JÖNKÖPINGS LÄN</t>
        </is>
      </c>
      <c r="G324" t="inlineStr">
        <is>
          <t>SÄVSJÖ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16403-2023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45029</v>
      </c>
      <c r="E325" s="1" t="n">
        <v>46280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35812-2023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45148</v>
      </c>
      <c r="E326" s="1" t="n">
        <v>46280</v>
      </c>
      <c r="F326" t="inlineStr">
        <is>
          <t>JÖNKÖPINGS LÄN</t>
        </is>
      </c>
      <c r="G326" t="inlineStr">
        <is>
          <t>SÄVSJÖ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38072-2023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45160</v>
      </c>
      <c r="E327" s="1" t="n">
        <v>46280</v>
      </c>
      <c r="F327" t="inlineStr">
        <is>
          <t>JÖNKÖPINGS LÄN</t>
        </is>
      </c>
      <c r="G327" t="inlineStr">
        <is>
          <t>SÄVSJÖ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44942</v>
      </c>
      <c r="E328" s="1" t="n">
        <v>46280</v>
      </c>
      <c r="F328" t="inlineStr">
        <is>
          <t>JÖNKÖPINGS LÄN</t>
        </is>
      </c>
      <c r="G328" t="inlineStr">
        <is>
          <t>SÄVSJÖ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45334</v>
      </c>
      <c r="E329" s="1" t="n">
        <v>46280</v>
      </c>
      <c r="F329" t="inlineStr">
        <is>
          <t>JÖNKÖPINGS LÄN</t>
        </is>
      </c>
      <c r="G329" t="inlineStr">
        <is>
          <t>SÄVSJÖ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62182-2023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45267</v>
      </c>
      <c r="E330" s="1" t="n">
        <v>46280</v>
      </c>
      <c r="F330" t="inlineStr">
        <is>
          <t>JÖNKÖPINGS LÄN</t>
        </is>
      </c>
      <c r="G330" t="inlineStr">
        <is>
          <t>SÄVSJÖ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44944</v>
      </c>
      <c r="E331" s="1" t="n">
        <v>46280</v>
      </c>
      <c r="F331" t="inlineStr">
        <is>
          <t>JÖNKÖPINGS LÄN</t>
        </is>
      </c>
      <c r="G331" t="inlineStr">
        <is>
          <t>SÄVSJÖ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45427</v>
      </c>
      <c r="E332" s="1" t="n">
        <v>46280</v>
      </c>
      <c r="F332" t="inlineStr">
        <is>
          <t>JÖNKÖPINGS LÄN</t>
        </is>
      </c>
      <c r="G332" t="inlineStr">
        <is>
          <t>SÄVSJÖ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14159-2022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44651</v>
      </c>
      <c r="E333" s="1" t="n">
        <v>46280</v>
      </c>
      <c r="F333" t="inlineStr">
        <is>
          <t>JÖNKÖPINGS LÄN</t>
        </is>
      </c>
      <c r="G333" t="inlineStr">
        <is>
          <t>SÄVSJÖ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6914-2023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44964</v>
      </c>
      <c r="E334" s="1" t="n">
        <v>46280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49292-2023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45210</v>
      </c>
      <c r="E335" s="1" t="n">
        <v>46280</v>
      </c>
      <c r="F335" t="inlineStr">
        <is>
          <t>JÖNKÖPINGS LÄN</t>
        </is>
      </c>
      <c r="G335" t="inlineStr">
        <is>
          <t>SÄVSJÖ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45094</v>
      </c>
      <c r="E336" s="1" t="n">
        <v>46280</v>
      </c>
      <c r="F336" t="inlineStr">
        <is>
          <t>JÖNKÖPINGS LÄN</t>
        </is>
      </c>
      <c r="G336" t="inlineStr">
        <is>
          <t>SÄVSJÖ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45694</v>
      </c>
      <c r="E337" s="1" t="n">
        <v>46280</v>
      </c>
      <c r="F337" t="inlineStr">
        <is>
          <t>JÖNKÖPINGS LÄN</t>
        </is>
      </c>
      <c r="G337" t="inlineStr">
        <is>
          <t>SÄVSJÖ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45694</v>
      </c>
      <c r="E338" s="1" t="n">
        <v>46280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45695</v>
      </c>
      <c r="E339" s="1" t="n">
        <v>46280</v>
      </c>
      <c r="F339" t="inlineStr">
        <is>
          <t>JÖNKÖPINGS LÄN</t>
        </is>
      </c>
      <c r="G339" t="inlineStr">
        <is>
          <t>SÄVSJÖ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44245-2022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44839</v>
      </c>
      <c r="E340" s="1" t="n">
        <v>46280</v>
      </c>
      <c r="F340" t="inlineStr">
        <is>
          <t>JÖNKÖPINGS LÄN</t>
        </is>
      </c>
      <c r="G340" t="inlineStr">
        <is>
          <t>SÄVSJÖ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55909-2024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45623</v>
      </c>
      <c r="E341" s="1" t="n">
        <v>46280</v>
      </c>
      <c r="F341" t="inlineStr">
        <is>
          <t>JÖNKÖPINGS LÄN</t>
        </is>
      </c>
      <c r="G341" t="inlineStr">
        <is>
          <t>SÄVSJÖ</t>
        </is>
      </c>
      <c r="H341" t="inlineStr">
        <is>
          <t>Kommuner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45704</v>
      </c>
      <c r="E342" s="1" t="n">
        <v>46280</v>
      </c>
      <c r="F342" t="inlineStr">
        <is>
          <t>JÖNKÖPINGS LÄN</t>
        </is>
      </c>
      <c r="G342" t="inlineStr">
        <is>
          <t>SÄVSJÖ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45317</v>
      </c>
      <c r="E343" s="1" t="n">
        <v>46280</v>
      </c>
      <c r="F343" t="inlineStr">
        <is>
          <t>JÖNKÖPINGS LÄN</t>
        </is>
      </c>
      <c r="G343" t="inlineStr">
        <is>
          <t>SÄVSJÖ</t>
        </is>
      </c>
      <c r="I343" t="n">
        <v>19.9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11258-2024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45371</v>
      </c>
      <c r="E344" s="1" t="n">
        <v>46280</v>
      </c>
      <c r="F344" t="inlineStr">
        <is>
          <t>JÖNKÖPINGS LÄN</t>
        </is>
      </c>
      <c r="G344" t="inlineStr">
        <is>
          <t>SÄVSJÖ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45371</v>
      </c>
      <c r="E345" s="1" t="n">
        <v>46280</v>
      </c>
      <c r="F345" t="inlineStr">
        <is>
          <t>JÖNKÖPINGS LÄN</t>
        </is>
      </c>
      <c r="G345" t="inlineStr">
        <is>
          <t>SÄVSJÖ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53916-2021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44469</v>
      </c>
      <c r="E346" s="1" t="n">
        <v>46280</v>
      </c>
      <c r="F346" t="inlineStr">
        <is>
          <t>JÖNKÖPINGS LÄN</t>
        </is>
      </c>
      <c r="G346" t="inlineStr">
        <is>
          <t>SÄVSJÖ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42400-2022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44830</v>
      </c>
      <c r="E347" s="1" t="n">
        <v>46280</v>
      </c>
      <c r="F347" t="inlineStr">
        <is>
          <t>JÖNKÖPINGS LÄN</t>
        </is>
      </c>
      <c r="G347" t="inlineStr">
        <is>
          <t>SÄVSJÖ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63679-2023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45275</v>
      </c>
      <c r="E348" s="1" t="n">
        <v>46280</v>
      </c>
      <c r="F348" t="inlineStr">
        <is>
          <t>JÖNKÖPINGS LÄN</t>
        </is>
      </c>
      <c r="G348" t="inlineStr">
        <is>
          <t>SÄVSJÖ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54600-2022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44883</v>
      </c>
      <c r="E349" s="1" t="n">
        <v>46280</v>
      </c>
      <c r="F349" t="inlineStr">
        <is>
          <t>JÖNKÖPINGS LÄN</t>
        </is>
      </c>
      <c r="G349" t="inlineStr">
        <is>
          <t>SÄVSJÖ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46280</v>
      </c>
      <c r="F350" t="inlineStr">
        <is>
          <t>JÖNKÖPINGS LÄN</t>
        </is>
      </c>
      <c r="G350" t="inlineStr">
        <is>
          <t>SÄVSJÖ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55254-2021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44475</v>
      </c>
      <c r="E351" s="1" t="n">
        <v>46280</v>
      </c>
      <c r="F351" t="inlineStr">
        <is>
          <t>JÖNKÖPINGS LÄN</t>
        </is>
      </c>
      <c r="G351" t="inlineStr">
        <is>
          <t>SÄVSJÖ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45301</v>
      </c>
      <c r="E352" s="1" t="n">
        <v>46280</v>
      </c>
      <c r="F352" t="inlineStr">
        <is>
          <t>JÖNKÖPINGS LÄN</t>
        </is>
      </c>
      <c r="G352" t="inlineStr">
        <is>
          <t>SÄVSJÖ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45532</v>
      </c>
      <c r="E353" s="1" t="n">
        <v>46280</v>
      </c>
      <c r="F353" t="inlineStr">
        <is>
          <t>JÖNKÖPINGS LÄN</t>
        </is>
      </c>
      <c r="G353" t="inlineStr">
        <is>
          <t>SÄVSJÖ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46280</v>
      </c>
      <c r="F354" t="inlineStr">
        <is>
          <t>JÖNKÖPINGS LÄN</t>
        </is>
      </c>
      <c r="G354" t="inlineStr">
        <is>
          <t>SÄVSJÖ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46280</v>
      </c>
      <c r="F355" t="inlineStr">
        <is>
          <t>JÖNKÖPINGS LÄN</t>
        </is>
      </c>
      <c r="G355" t="inlineStr">
        <is>
          <t>SÄVSJÖ</t>
        </is>
      </c>
      <c r="H355" t="inlineStr">
        <is>
          <t>Kyrkan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45334</v>
      </c>
      <c r="E356" s="1" t="n">
        <v>46280</v>
      </c>
      <c r="F356" t="inlineStr">
        <is>
          <t>JÖNKÖPINGS LÄN</t>
        </is>
      </c>
      <c r="G356" t="inlineStr">
        <is>
          <t>SÄVSJÖ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31788-2023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45118</v>
      </c>
      <c r="E357" s="1" t="n">
        <v>46280</v>
      </c>
      <c r="F357" t="inlineStr">
        <is>
          <t>JÖNKÖPINGS LÄN</t>
        </is>
      </c>
      <c r="G357" t="inlineStr">
        <is>
          <t>SÄVSJÖ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45685</v>
      </c>
      <c r="E358" s="1" t="n">
        <v>46280</v>
      </c>
      <c r="F358" t="inlineStr">
        <is>
          <t>JÖNKÖPINGS LÄN</t>
        </is>
      </c>
      <c r="G358" t="inlineStr">
        <is>
          <t>SÄVSJÖ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45607</v>
      </c>
      <c r="E359" s="1" t="n">
        <v>46280</v>
      </c>
      <c r="F359" t="inlineStr">
        <is>
          <t>JÖNKÖPINGS LÄN</t>
        </is>
      </c>
      <c r="G359" t="inlineStr">
        <is>
          <t>SÄVSJÖ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21788-2023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45066</v>
      </c>
      <c r="E360" s="1" t="n">
        <v>46280</v>
      </c>
      <c r="F360" t="inlineStr">
        <is>
          <t>JÖNKÖPINGS LÄN</t>
        </is>
      </c>
      <c r="G360" t="inlineStr">
        <is>
          <t>SÄVSJÖ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22730-2024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45448</v>
      </c>
      <c r="E361" s="1" t="n">
        <v>46280</v>
      </c>
      <c r="F361" t="inlineStr">
        <is>
          <t>JÖNKÖPINGS LÄN</t>
        </is>
      </c>
      <c r="G361" t="inlineStr">
        <is>
          <t>SÄVSJÖ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51809-2024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46280</v>
      </c>
      <c r="F362" t="inlineStr">
        <is>
          <t>JÖNKÖPINGS LÄN</t>
        </is>
      </c>
      <c r="G362" t="inlineStr">
        <is>
          <t>SÄVSJÖ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10516-2024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45366</v>
      </c>
      <c r="E363" s="1" t="n">
        <v>46280</v>
      </c>
      <c r="F363" t="inlineStr">
        <is>
          <t>JÖNKÖPINGS LÄN</t>
        </is>
      </c>
      <c r="G363" t="inlineStr">
        <is>
          <t>SÄVSJÖ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45198</v>
      </c>
      <c r="E364" s="1" t="n">
        <v>46280</v>
      </c>
      <c r="F364" t="inlineStr">
        <is>
          <t>JÖNKÖPINGS LÄN</t>
        </is>
      </c>
      <c r="G364" t="inlineStr">
        <is>
          <t>SÄVSJÖ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45267</v>
      </c>
      <c r="E365" s="1" t="n">
        <v>46280</v>
      </c>
      <c r="F365" t="inlineStr">
        <is>
          <t>JÖNKÖPINGS LÄN</t>
        </is>
      </c>
      <c r="G365" t="inlineStr">
        <is>
          <t>SÄVSJÖ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45211</v>
      </c>
      <c r="E366" s="1" t="n">
        <v>46280</v>
      </c>
      <c r="F366" t="inlineStr">
        <is>
          <t>JÖNKÖPINGS LÄN</t>
        </is>
      </c>
      <c r="G366" t="inlineStr">
        <is>
          <t>SÄVSJÖ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45104</v>
      </c>
      <c r="E367" s="1" t="n">
        <v>46280</v>
      </c>
      <c r="F367" t="inlineStr">
        <is>
          <t>JÖNKÖPINGS LÄN</t>
        </is>
      </c>
      <c r="G367" t="inlineStr">
        <is>
          <t>SÄVSJÖ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51921-2023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45223</v>
      </c>
      <c r="E368" s="1" t="n">
        <v>46280</v>
      </c>
      <c r="F368" t="inlineStr">
        <is>
          <t>JÖNKÖPINGS LÄN</t>
        </is>
      </c>
      <c r="G368" t="inlineStr">
        <is>
          <t>SÄVSJÖ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45414</v>
      </c>
      <c r="E369" s="1" t="n">
        <v>46280</v>
      </c>
      <c r="F369" t="inlineStr">
        <is>
          <t>JÖNKÖPINGS LÄN</t>
        </is>
      </c>
      <c r="G369" t="inlineStr">
        <is>
          <t>SÄVSJÖ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60805-2024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45644</v>
      </c>
      <c r="E370" s="1" t="n">
        <v>46280</v>
      </c>
      <c r="F370" t="inlineStr">
        <is>
          <t>JÖNKÖPINGS LÄN</t>
        </is>
      </c>
      <c r="G370" t="inlineStr">
        <is>
          <t>SÄVSJÖ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44397-2024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45573</v>
      </c>
      <c r="E371" s="1" t="n">
        <v>46280</v>
      </c>
      <c r="F371" t="inlineStr">
        <is>
          <t>JÖNKÖPINGS LÄN</t>
        </is>
      </c>
      <c r="G371" t="inlineStr">
        <is>
          <t>SÄVSJÖ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22733-2024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45448</v>
      </c>
      <c r="E372" s="1" t="n">
        <v>46280</v>
      </c>
      <c r="F372" t="inlineStr">
        <is>
          <t>JÖNKÖPINGS LÄN</t>
        </is>
      </c>
      <c r="G372" t="inlineStr">
        <is>
          <t>SÄVSJÖ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45646</v>
      </c>
      <c r="E373" s="1" t="n">
        <v>46280</v>
      </c>
      <c r="F373" t="inlineStr">
        <is>
          <t>JÖNKÖPINGS LÄN</t>
        </is>
      </c>
      <c r="G373" t="inlineStr">
        <is>
          <t>SÄVSJÖ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45725</v>
      </c>
      <c r="E374" s="1" t="n">
        <v>46280</v>
      </c>
      <c r="F374" t="inlineStr">
        <is>
          <t>JÖNKÖPINGS LÄN</t>
        </is>
      </c>
      <c r="G374" t="inlineStr">
        <is>
          <t>SÄVSJÖ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17127-2024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45412</v>
      </c>
      <c r="E375" s="1" t="n">
        <v>46280</v>
      </c>
      <c r="F375" t="inlineStr">
        <is>
          <t>JÖNKÖPINGS LÄN</t>
        </is>
      </c>
      <c r="G375" t="inlineStr">
        <is>
          <t>SÄVSJÖ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46280</v>
      </c>
      <c r="F376" t="inlineStr">
        <is>
          <t>JÖNKÖPINGS LÄN</t>
        </is>
      </c>
      <c r="G376" t="inlineStr">
        <is>
          <t>SÄVSJÖ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53154-2024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45611</v>
      </c>
      <c r="E377" s="1" t="n">
        <v>46280</v>
      </c>
      <c r="F377" t="inlineStr">
        <is>
          <t>JÖNKÖPINGS LÄN</t>
        </is>
      </c>
      <c r="G377" t="inlineStr">
        <is>
          <t>SÄVSJÖ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6558-2022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44882</v>
      </c>
      <c r="E378" s="1" t="n">
        <v>46280</v>
      </c>
      <c r="F378" t="inlineStr">
        <is>
          <t>JÖNKÖPINGS LÄN</t>
        </is>
      </c>
      <c r="G378" t="inlineStr">
        <is>
          <t>SÄVSJÖ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2542-2023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45139</v>
      </c>
      <c r="E379" s="1" t="n">
        <v>46280</v>
      </c>
      <c r="F379" t="inlineStr">
        <is>
          <t>JÖNKÖPINGS LÄN</t>
        </is>
      </c>
      <c r="G379" t="inlineStr">
        <is>
          <t>SÄVSJÖ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1675-2023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46280</v>
      </c>
      <c r="F380" t="inlineStr">
        <is>
          <t>JÖNKÖPINGS LÄN</t>
        </is>
      </c>
      <c r="G380" t="inlineStr">
        <is>
          <t>SÄVSJÖ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46280</v>
      </c>
      <c r="F381" t="inlineStr">
        <is>
          <t>JÖNKÖPINGS LÄN</t>
        </is>
      </c>
      <c r="G381" t="inlineStr">
        <is>
          <t>SÄVSJÖ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2964-2023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45173</v>
      </c>
      <c r="E382" s="1" t="n">
        <v>46280</v>
      </c>
      <c r="F382" t="inlineStr">
        <is>
          <t>JÖNKÖPINGS LÄN</t>
        </is>
      </c>
      <c r="G382" t="inlineStr">
        <is>
          <t>SÄVSJÖ</t>
        </is>
      </c>
      <c r="I382" t="n">
        <v>54.6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2661-2023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46280</v>
      </c>
      <c r="F383" t="inlineStr">
        <is>
          <t>JÖNKÖPINGS LÄN</t>
        </is>
      </c>
      <c r="G383" t="inlineStr">
        <is>
          <t>SÄVSJÖ</t>
        </is>
      </c>
      <c r="I383" t="n">
        <v>21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10445-2021</t>
        </is>
      </c>
      <c r="B384" t="inlineStr">
        <is>
          <t>samrådsanmälan</t>
        </is>
      </c>
      <c r="C384" t="inlineStr">
        <is>
          <t>Skogsbilväg</t>
        </is>
      </c>
      <c r="D384" s="1" t="n">
        <v>44558</v>
      </c>
      <c r="E384" s="1" t="n">
        <v>46280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46280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46280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46280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46280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46280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46280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46280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46280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46280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46280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46280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46280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46280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46280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46280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46280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46280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46280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46280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46280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46280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46280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46280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2026-09-15T08:14:36Z</dcterms:created>
  <dcterms:modified xmlns:dcterms="http://purl.org/dc/terms/" xmlns:xsi="http://www.w3.org/2001/XMLSchema-instance" xsi:type="dcterms:W3CDTF">2026-09-15T08:14:36Z</dcterms:modified>
</cp:coreProperties>
</file>