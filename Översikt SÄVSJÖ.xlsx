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46216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46216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46216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s="2" t="inlineStr">
        <is>
          <t>Mosippa
Slåttergubbe
Ladusvala</t>
        </is>
      </c>
      <c r="V4">
        <f>HYPERLINK("https://klasma.github.io/Logging_0684/artfynd/A 46272-2022 artfynd.xlsx", "A 46272-2022")</f>
        <v/>
      </c>
      <c r="W4">
        <f>HYPERLINK("https://klasma.github.io/Logging_0684/kartor/A 46272-2022 karta.png", "A 46272-2022")</f>
        <v/>
      </c>
      <c r="Y4">
        <f>HYPERLINK("https://klasma.github.io/Logging_0684/klagomål/A 46272-2022 FSC-klagomål.docx", "A 46272-2022")</f>
        <v/>
      </c>
      <c r="Z4">
        <f>HYPERLINK("https://klasma.github.io/Logging_0684/klagomålsmail/A 46272-2022 FSC-klagomål mail.docx", "A 46272-2022")</f>
        <v/>
      </c>
      <c r="AA4">
        <f>HYPERLINK("https://klasma.github.io/Logging_0684/tillsyn/A 46272-2022 tillsynsbegäran.docx", "A 46272-2022")</f>
        <v/>
      </c>
      <c r="AB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46216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s="2" t="inlineStr">
        <is>
          <t>Slåttergubbe
Korallrot
Lopplummer (aggregat)</t>
        </is>
      </c>
      <c r="V5">
        <f>HYPERLINK("https://klasma.github.io/Logging_0684/artfynd/A 61151-2025 artfynd.xlsx", "A 61151-2025")</f>
        <v/>
      </c>
      <c r="W5">
        <f>HYPERLINK("https://klasma.github.io/Logging_0684/kartor/A 61151-2025 karta.png", "A 61151-2025")</f>
        <v/>
      </c>
      <c r="Y5">
        <f>HYPERLINK("https://klasma.github.io/Logging_0684/klagomål/A 61151-2025 FSC-klagomål.docx", "A 61151-2025")</f>
        <v/>
      </c>
      <c r="Z5">
        <f>HYPERLINK("https://klasma.github.io/Logging_0684/klagomålsmail/A 61151-2025 FSC-klagomål mail.docx", "A 61151-2025")</f>
        <v/>
      </c>
      <c r="AA5">
        <f>HYPERLINK("https://klasma.github.io/Logging_0684/tillsyn/A 61151-2025 tillsynsbegäran.docx", "A 61151-2025")</f>
        <v/>
      </c>
      <c r="AB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46216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Praktvaxing
Sommarfibbla
Hagfingersvamp</t>
        </is>
      </c>
      <c r="V6">
        <f>HYPERLINK("https://klasma.github.io/Logging_0684/artfynd/A 50816-2023 artfynd.xlsx", "A 50816-2023")</f>
        <v/>
      </c>
      <c r="W6">
        <f>HYPERLINK("https://klasma.github.io/Logging_0684/kartor/A 50816-2023 karta.png", "A 50816-2023")</f>
        <v/>
      </c>
      <c r="Y6">
        <f>HYPERLINK("https://klasma.github.io/Logging_0684/klagomål/A 50816-2023 FSC-klagomål.docx", "A 50816-2023")</f>
        <v/>
      </c>
      <c r="Z6">
        <f>HYPERLINK("https://klasma.github.io/Logging_0684/klagomålsmail/A 50816-2023 FSC-klagomål mail.docx", "A 50816-2023")</f>
        <v/>
      </c>
      <c r="AA6">
        <f>HYPERLINK("https://klasma.github.io/Logging_0684/tillsyn/A 50816-2023 tillsynsbegäran.docx", "A 50816-2023")</f>
        <v/>
      </c>
      <c r="AB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46216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Staketflamlav
Sotlav</t>
        </is>
      </c>
      <c r="V7">
        <f>HYPERLINK("https://klasma.github.io/Logging_0684/artfynd/A 17722-2023 artfynd.xlsx", "A 17722-2023")</f>
        <v/>
      </c>
      <c r="W7">
        <f>HYPERLINK("https://klasma.github.io/Logging_0684/kartor/A 17722-2023 karta.png", "A 17722-2023")</f>
        <v/>
      </c>
      <c r="Y7">
        <f>HYPERLINK("https://klasma.github.io/Logging_0684/klagomål/A 17722-2023 FSC-klagomål.docx", "A 17722-2023")</f>
        <v/>
      </c>
      <c r="Z7">
        <f>HYPERLINK("https://klasma.github.io/Logging_0684/klagomålsmail/A 17722-2023 FSC-klagomål mail.docx", "A 17722-2023")</f>
        <v/>
      </c>
      <c r="AA7">
        <f>HYPERLINK("https://klasma.github.io/Logging_0684/tillsyn/A 17722-2023 tillsynsbegäran.docx", "A 17722-2023")</f>
        <v/>
      </c>
      <c r="AB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46216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Gulpudrad spiklav
Sotlav</t>
        </is>
      </c>
      <c r="V8">
        <f>HYPERLINK("https://klasma.github.io/Logging_0684/artfynd/A 13575-2026 artfynd.xlsx", "A 13575-2026")</f>
        <v/>
      </c>
      <c r="W8">
        <f>HYPERLINK("https://klasma.github.io/Logging_0684/kartor/A 13575-2026 karta.png", "A 13575-2026")</f>
        <v/>
      </c>
      <c r="Y8">
        <f>HYPERLINK("https://klasma.github.io/Logging_0684/klagomål/A 13575-2026 FSC-klagomål.docx", "A 13575-2026")</f>
        <v/>
      </c>
      <c r="Z8">
        <f>HYPERLINK("https://klasma.github.io/Logging_0684/klagomålsmail/A 13575-2026 FSC-klagomål mail.docx", "A 13575-2026")</f>
        <v/>
      </c>
      <c r="AA8">
        <f>HYPERLINK("https://klasma.github.io/Logging_0684/tillsyn/A 13575-2026 tillsynsbegäran.docx", "A 13575-2026")</f>
        <v/>
      </c>
      <c r="AB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46216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46216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Solvända</t>
        </is>
      </c>
      <c r="V10">
        <f>HYPERLINK("https://klasma.github.io/Logging_0684/artfynd/A 40075-2023 artfynd.xlsx", "A 40075-2023")</f>
        <v/>
      </c>
      <c r="W10">
        <f>HYPERLINK("https://klasma.github.io/Logging_0684/kartor/A 40075-2023 karta.png", "A 40075-2023")</f>
        <v/>
      </c>
      <c r="Y10">
        <f>HYPERLINK("https://klasma.github.io/Logging_0684/klagomål/A 40075-2023 FSC-klagomål.docx", "A 40075-2023")</f>
        <v/>
      </c>
      <c r="Z10">
        <f>HYPERLINK("https://klasma.github.io/Logging_0684/klagomålsmail/A 40075-2023 FSC-klagomål mail.docx", "A 40075-2023")</f>
        <v/>
      </c>
      <c r="AA10">
        <f>HYPERLINK("https://klasma.github.io/Logging_0684/tillsyn/A 40075-2023 tillsynsbegäran.docx", "A 40075-2023")</f>
        <v/>
      </c>
      <c r="AB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46216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Bredgentiana</t>
        </is>
      </c>
      <c r="V11">
        <f>HYPERLINK("https://klasma.github.io/Logging_0684/artfynd/A 39632-2025 artfynd.xlsx", "A 39632-2025")</f>
        <v/>
      </c>
      <c r="W11">
        <f>HYPERLINK("https://klasma.github.io/Logging_0684/kartor/A 39632-2025 karta.png", "A 39632-2025")</f>
        <v/>
      </c>
      <c r="Y11">
        <f>HYPERLINK("https://klasma.github.io/Logging_0684/klagomål/A 39632-2025 FSC-klagomål.docx", "A 39632-2025")</f>
        <v/>
      </c>
      <c r="Z11">
        <f>HYPERLINK("https://klasma.github.io/Logging_0684/klagomålsmail/A 39632-2025 FSC-klagomål mail.docx", "A 39632-2025")</f>
        <v/>
      </c>
      <c r="AA11">
        <f>HYPERLINK("https://klasma.github.io/Logging_0684/tillsyn/A 39632-2025 tillsynsbegäran.docx", "A 39632-2025")</f>
        <v/>
      </c>
      <c r="AB11">
        <f>HYPERLINK("https://klasma.github.io/Logging_0684/tillsynsmail/A 39632-2025 tillsynsbegäran mail.docx", "A 39632-2025")</f>
        <v/>
      </c>
    </row>
    <row r="12" ht="15" customHeight="1">
      <c r="A12" t="inlineStr">
        <is>
          <t>A 40543-2023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45170</v>
      </c>
      <c r="E12" s="1" t="n">
        <v>46216</v>
      </c>
      <c r="F12" t="inlineStr">
        <is>
          <t>JÖNKÖPINGS LÄN</t>
        </is>
      </c>
      <c r="G12" t="inlineStr">
        <is>
          <t>SÄVSJÖ</t>
        </is>
      </c>
      <c r="I12" t="n">
        <v>2.8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Sommarfibbla</t>
        </is>
      </c>
      <c r="V12">
        <f>HYPERLINK("https://klasma.github.io/Logging_0684/artfynd/A 40543-2023 artfynd.xlsx", "A 40543-2023")</f>
        <v/>
      </c>
      <c r="W12">
        <f>HYPERLINK("https://klasma.github.io/Logging_0684/kartor/A 40543-2023 karta.png", "A 40543-2023")</f>
        <v/>
      </c>
      <c r="Y12">
        <f>HYPERLINK("https://klasma.github.io/Logging_0684/klagomål/A 40543-2023 FSC-klagomål.docx", "A 40543-2023")</f>
        <v/>
      </c>
      <c r="Z12">
        <f>HYPERLINK("https://klasma.github.io/Logging_0684/klagomålsmail/A 40543-2023 FSC-klagomål mail.docx", "A 40543-2023")</f>
        <v/>
      </c>
      <c r="AA12">
        <f>HYPERLINK("https://klasma.github.io/Logging_0684/tillsyn/A 40543-2023 tillsynsbegäran.docx", "A 40543-2023")</f>
        <v/>
      </c>
      <c r="AB12">
        <f>HYPERLINK("https://klasma.github.io/Logging_0684/tillsynsmail/A 40543-2023 tillsynsbegäran mail.docx", "A 40543-2023")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46216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s="2" t="inlineStr">
        <is>
          <t>Ask</t>
        </is>
      </c>
      <c r="V13">
        <f>HYPERLINK("https://klasma.github.io/Logging_0684/artfynd/A 57846-2025 artfynd.xlsx", "A 57846-2025")</f>
        <v/>
      </c>
      <c r="W13">
        <f>HYPERLINK("https://klasma.github.io/Logging_0684/kartor/A 57846-2025 karta.png", "A 57846-2025")</f>
        <v/>
      </c>
      <c r="Y13">
        <f>HYPERLINK("https://klasma.github.io/Logging_0684/klagomål/A 57846-2025 FSC-klagomål.docx", "A 57846-2025")</f>
        <v/>
      </c>
      <c r="Z13">
        <f>HYPERLINK("https://klasma.github.io/Logging_0684/klagomålsmail/A 57846-2025 FSC-klagomål mail.docx", "A 57846-2025")</f>
        <v/>
      </c>
      <c r="AA13">
        <f>HYPERLINK("https://klasma.github.io/Logging_0684/tillsyn/A 57846-2025 tillsynsbegäran.docx", "A 57846-2025")</f>
        <v/>
      </c>
      <c r="AB13">
        <f>HYPERLINK("https://klasma.github.io/Logging_0684/tillsynsmail/A 57846-2025 tillsynsbegäran mail.docx", "A 57846-2025")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46216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Ask</t>
        </is>
      </c>
      <c r="V14">
        <f>HYPERLINK("https://klasma.github.io/Logging_0684/artfynd/A 61482-2024 artfynd.xlsx", "A 61482-2024")</f>
        <v/>
      </c>
      <c r="W14">
        <f>HYPERLINK("https://klasma.github.io/Logging_0684/kartor/A 61482-2024 karta.png", "A 61482-2024")</f>
        <v/>
      </c>
      <c r="Y14">
        <f>HYPERLINK("https://klasma.github.io/Logging_0684/klagomål/A 61482-2024 FSC-klagomål.docx", "A 61482-2024")</f>
        <v/>
      </c>
      <c r="Z14">
        <f>HYPERLINK("https://klasma.github.io/Logging_0684/klagomålsmail/A 61482-2024 FSC-klagomål mail.docx", "A 61482-2024")</f>
        <v/>
      </c>
      <c r="AA14">
        <f>HYPERLINK("https://klasma.github.io/Logging_0684/tillsyn/A 61482-2024 tillsynsbegäran.docx", "A 61482-2024")</f>
        <v/>
      </c>
      <c r="AB14">
        <f>HYPERLINK("https://klasma.github.io/Logging_0684/tillsynsmail/A 61482-2024 tillsynsbegäran mail.docx", "A 61482-2024")</f>
        <v/>
      </c>
    </row>
    <row r="15" ht="15" customHeight="1">
      <c r="A15" t="inlineStr">
        <is>
          <t>A 11797-2026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46085</v>
      </c>
      <c r="E15" s="1" t="n">
        <v>46216</v>
      </c>
      <c r="F15" t="inlineStr">
        <is>
          <t>JÖNKÖPINGS LÄN</t>
        </is>
      </c>
      <c r="G15" t="inlineStr">
        <is>
          <t>SÄVSJÖ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Ask</t>
        </is>
      </c>
      <c r="V15">
        <f>HYPERLINK("https://klasma.github.io/Logging_0684/artfynd/A 11797-2026 artfynd.xlsx", "A 11797-2026")</f>
        <v/>
      </c>
      <c r="W15">
        <f>HYPERLINK("https://klasma.github.io/Logging_0684/kartor/A 11797-2026 karta.png", "A 11797-2026")</f>
        <v/>
      </c>
      <c r="Y15">
        <f>HYPERLINK("https://klasma.github.io/Logging_0684/klagomål/A 11797-2026 FSC-klagomål.docx", "A 11797-2026")</f>
        <v/>
      </c>
      <c r="Z15">
        <f>HYPERLINK("https://klasma.github.io/Logging_0684/klagomålsmail/A 11797-2026 FSC-klagomål mail.docx", "A 11797-2026")</f>
        <v/>
      </c>
      <c r="AA15">
        <f>HYPERLINK("https://klasma.github.io/Logging_0684/tillsyn/A 11797-2026 tillsynsbegäran.docx", "A 11797-2026")</f>
        <v/>
      </c>
      <c r="AB15">
        <f>HYPERLINK("https://klasma.github.io/Logging_0684/tillsynsmail/A 11797-2026 tillsynsbegäran mail.docx", "A 11797-2026")</f>
        <v/>
      </c>
    </row>
    <row r="16" ht="15" customHeight="1">
      <c r="A16" t="inlineStr">
        <is>
          <t>A 8198-2024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46216</v>
      </c>
      <c r="F16" t="inlineStr">
        <is>
          <t>JÖNKÖPINGS LÄN</t>
        </is>
      </c>
      <c r="G16" t="inlineStr">
        <is>
          <t>SÄVSJÖ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Småfruktigt blågryn</t>
        </is>
      </c>
      <c r="V16">
        <f>HYPERLINK("https://klasma.github.io/Logging_0684/artfynd/A 8198-2024 artfynd.xlsx", "A 8198-2024")</f>
        <v/>
      </c>
      <c r="W16">
        <f>HYPERLINK("https://klasma.github.io/Logging_0684/kartor/A 8198-2024 karta.png", "A 8198-2024")</f>
        <v/>
      </c>
      <c r="Y16">
        <f>HYPERLINK("https://klasma.github.io/Logging_0684/klagomål/A 8198-2024 FSC-klagomål.docx", "A 8198-2024")</f>
        <v/>
      </c>
      <c r="Z16">
        <f>HYPERLINK("https://klasma.github.io/Logging_0684/klagomålsmail/A 8198-2024 FSC-klagomål mail.docx", "A 8198-2024")</f>
        <v/>
      </c>
      <c r="AA16">
        <f>HYPERLINK("https://klasma.github.io/Logging_0684/tillsyn/A 8198-2024 tillsynsbegäran.docx", "A 8198-2024")</f>
        <v/>
      </c>
      <c r="AB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45530</v>
      </c>
      <c r="E17" s="1" t="n">
        <v>46216</v>
      </c>
      <c r="F17" t="inlineStr">
        <is>
          <t>JÖNKÖPINGS LÄN</t>
        </is>
      </c>
      <c r="G17" t="inlineStr">
        <is>
          <t>SÄVSJÖ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Ask</t>
        </is>
      </c>
      <c r="V17">
        <f>HYPERLINK("https://klasma.github.io/Logging_0684/artfynd/A 35136-2024 artfynd.xlsx", "A 35136-2024")</f>
        <v/>
      </c>
      <c r="W17">
        <f>HYPERLINK("https://klasma.github.io/Logging_0684/kartor/A 35136-2024 karta.png", "A 35136-2024")</f>
        <v/>
      </c>
      <c r="Y17">
        <f>HYPERLINK("https://klasma.github.io/Logging_0684/klagomål/A 35136-2024 FSC-klagomål.docx", "A 35136-2024")</f>
        <v/>
      </c>
      <c r="Z17">
        <f>HYPERLINK("https://klasma.github.io/Logging_0684/klagomålsmail/A 35136-2024 FSC-klagomål mail.docx", "A 35136-2024")</f>
        <v/>
      </c>
      <c r="AA17">
        <f>HYPERLINK("https://klasma.github.io/Logging_0684/tillsyn/A 35136-2024 tillsynsbegäran.docx", "A 35136-2024")</f>
        <v/>
      </c>
      <c r="AB17">
        <f>HYPERLINK("https://klasma.github.io/Logging_0684/tillsynsmail/A 35136-2024 tillsynsbegäran mail.docx", "A 35136-2024")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46216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s="2" t="inlineStr">
        <is>
          <t>Lungrot</t>
        </is>
      </c>
      <c r="V18">
        <f>HYPERLINK("https://klasma.github.io/Logging_0684/artfynd/A 34214-2025 artfynd.xlsx", "A 34214-2025")</f>
        <v/>
      </c>
      <c r="W18">
        <f>HYPERLINK("https://klasma.github.io/Logging_0684/kartor/A 34214-2025 karta.png", "A 34214-2025")</f>
        <v/>
      </c>
      <c r="Y18">
        <f>HYPERLINK("https://klasma.github.io/Logging_0684/klagomål/A 34214-2025 FSC-klagomål.docx", "A 34214-2025")</f>
        <v/>
      </c>
      <c r="Z18">
        <f>HYPERLINK("https://klasma.github.io/Logging_0684/klagomålsmail/A 34214-2025 FSC-klagomål mail.docx", "A 34214-2025")</f>
        <v/>
      </c>
      <c r="AA18">
        <f>HYPERLINK("https://klasma.github.io/Logging_0684/tillsyn/A 34214-2025 tillsynsbegäran.docx", "A 34214-2025")</f>
        <v/>
      </c>
      <c r="AB18">
        <f>HYPERLINK("https://klasma.github.io/Logging_0684/tillsynsmail/A 34214-2025 tillsynsbegäran mail.docx", "A 34214-2025")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46216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Korallrot</t>
        </is>
      </c>
      <c r="V19">
        <f>HYPERLINK("https://klasma.github.io/Logging_0684/artfynd/A 51095-2023 artfynd.xlsx", "A 51095-2023")</f>
        <v/>
      </c>
      <c r="W19">
        <f>HYPERLINK("https://klasma.github.io/Logging_0684/kartor/A 51095-2023 karta.png", "A 51095-2023")</f>
        <v/>
      </c>
      <c r="Y19">
        <f>HYPERLINK("https://klasma.github.io/Logging_0684/klagomål/A 51095-2023 FSC-klagomål.docx", "A 51095-2023")</f>
        <v/>
      </c>
      <c r="Z19">
        <f>HYPERLINK("https://klasma.github.io/Logging_0684/klagomålsmail/A 51095-2023 FSC-klagomål mail.docx", "A 51095-2023")</f>
        <v/>
      </c>
      <c r="AA19">
        <f>HYPERLINK("https://klasma.github.io/Logging_0684/tillsyn/A 51095-2023 tillsynsbegäran.docx", "A 51095-2023")</f>
        <v/>
      </c>
      <c r="AB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46216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Blåsippa</t>
        </is>
      </c>
      <c r="V20">
        <f>HYPERLINK("https://klasma.github.io/Logging_0684/artfynd/A 10046-2025 artfynd.xlsx", "A 10046-2025")</f>
        <v/>
      </c>
      <c r="W20">
        <f>HYPERLINK("https://klasma.github.io/Logging_0684/kartor/A 10046-2025 karta.png", "A 10046-2025")</f>
        <v/>
      </c>
      <c r="Y20">
        <f>HYPERLINK("https://klasma.github.io/Logging_0684/klagomål/A 10046-2025 FSC-klagomål.docx", "A 10046-2025")</f>
        <v/>
      </c>
      <c r="Z20">
        <f>HYPERLINK("https://klasma.github.io/Logging_0684/klagomålsmail/A 10046-2025 FSC-klagomål mail.docx", "A 10046-2025")</f>
        <v/>
      </c>
      <c r="AA20">
        <f>HYPERLINK("https://klasma.github.io/Logging_0684/tillsyn/A 10046-2025 tillsynsbegäran.docx", "A 10046-2025")</f>
        <v/>
      </c>
      <c r="AB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46216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Solvända</t>
        </is>
      </c>
      <c r="V21">
        <f>HYPERLINK("https://klasma.github.io/Logging_0684/artfynd/A 10775-2025 artfynd.xlsx", "A 10775-2025")</f>
        <v/>
      </c>
      <c r="W21">
        <f>HYPERLINK("https://klasma.github.io/Logging_0684/kartor/A 10775-2025 karta.png", "A 10775-2025")</f>
        <v/>
      </c>
      <c r="Y21">
        <f>HYPERLINK("https://klasma.github.io/Logging_0684/klagomål/A 10775-2025 FSC-klagomål.docx", "A 10775-2025")</f>
        <v/>
      </c>
      <c r="Z21">
        <f>HYPERLINK("https://klasma.github.io/Logging_0684/klagomålsmail/A 10775-2025 FSC-klagomål mail.docx", "A 10775-2025")</f>
        <v/>
      </c>
      <c r="AA21">
        <f>HYPERLINK("https://klasma.github.io/Logging_0684/tillsyn/A 10775-2025 tillsynsbegäran.docx", "A 10775-2025")</f>
        <v/>
      </c>
      <c r="AB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46216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46216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46216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46216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46216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46216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46216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46216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46216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46216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46216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46216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46216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46216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46216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46216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46216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46216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46216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46216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46216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46216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46216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43604-2021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46216</v>
      </c>
      <c r="F45" t="inlineStr">
        <is>
          <t>JÖNKÖPINGS LÄN</t>
        </is>
      </c>
      <c r="G45" t="inlineStr">
        <is>
          <t>SÄVSJÖ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38265-2021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44405</v>
      </c>
      <c r="E46" s="1" t="n">
        <v>46216</v>
      </c>
      <c r="F46" t="inlineStr">
        <is>
          <t>JÖNKÖPINGS LÄN</t>
        </is>
      </c>
      <c r="G46" t="inlineStr">
        <is>
          <t>SÄVSJÖ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46216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46216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46216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46216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46216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46216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43566-2021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44433</v>
      </c>
      <c r="E53" s="1" t="n">
        <v>46216</v>
      </c>
      <c r="F53" t="inlineStr">
        <is>
          <t>JÖNKÖPINGS LÄN</t>
        </is>
      </c>
      <c r="G53" t="inlineStr">
        <is>
          <t>SÄVSJÖ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46216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46216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46216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46216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46216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46216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46216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46216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46216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46216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46216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46216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46216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46216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36268-2021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44390</v>
      </c>
      <c r="E68" s="1" t="n">
        <v>46216</v>
      </c>
      <c r="F68" t="inlineStr">
        <is>
          <t>JÖNKÖPINGS LÄN</t>
        </is>
      </c>
      <c r="G68" t="inlineStr">
        <is>
          <t>SÄVSJÖ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46216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46216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10592-2022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46216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46514-2021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46216</v>
      </c>
      <c r="F72" t="inlineStr">
        <is>
          <t>JÖNKÖPINGS LÄN</t>
        </is>
      </c>
      <c r="G72" t="inlineStr">
        <is>
          <t>SÄVSJÖ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20603-2022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44700</v>
      </c>
      <c r="E73" s="1" t="n">
        <v>46216</v>
      </c>
      <c r="F73" t="inlineStr">
        <is>
          <t>JÖNKÖPINGS LÄN</t>
        </is>
      </c>
      <c r="G73" t="inlineStr">
        <is>
          <t>SÄVSJÖ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38176-2022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46216</v>
      </c>
      <c r="F74" t="inlineStr">
        <is>
          <t>JÖNKÖPINGS LÄN</t>
        </is>
      </c>
      <c r="G74" t="inlineStr">
        <is>
          <t>SÄVSJÖ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38950-2022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46216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35446-2022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46216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49221-2022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46216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46216</v>
      </c>
      <c r="F78" t="inlineStr">
        <is>
          <t>JÖNKÖPINGS LÄN</t>
        </is>
      </c>
      <c r="G78" t="inlineStr">
        <is>
          <t>SÄVSJÖ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20576-2025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46216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8341-2022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44610</v>
      </c>
      <c r="E80" s="1" t="n">
        <v>46216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46216</v>
      </c>
      <c r="F81" t="inlineStr">
        <is>
          <t>JÖNKÖPINGS LÄN</t>
        </is>
      </c>
      <c r="G81" t="inlineStr">
        <is>
          <t>SÄVSJÖ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27013-2023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45094</v>
      </c>
      <c r="E82" s="1" t="n">
        <v>46216</v>
      </c>
      <c r="F82" t="inlineStr">
        <is>
          <t>JÖNKÖPINGS LÄN</t>
        </is>
      </c>
      <c r="G82" t="inlineStr">
        <is>
          <t>SÄVSJÖ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15834-2022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44664</v>
      </c>
      <c r="E83" s="1" t="n">
        <v>46216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25118-2023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46216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59057-2023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46216</v>
      </c>
      <c r="F85" t="inlineStr">
        <is>
          <t>JÖNKÖPINGS LÄN</t>
        </is>
      </c>
      <c r="G85" t="inlineStr">
        <is>
          <t>SÄVSJÖ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46216</v>
      </c>
      <c r="F86" t="inlineStr">
        <is>
          <t>JÖNKÖPINGS LÄN</t>
        </is>
      </c>
      <c r="G86" t="inlineStr">
        <is>
          <t>SÄVSJÖ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49708-2023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46216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46906-2023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46216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19017-2025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46216</v>
      </c>
      <c r="F89" t="inlineStr">
        <is>
          <t>JÖNKÖPINGS LÄN</t>
        </is>
      </c>
      <c r="G89" t="inlineStr">
        <is>
          <t>SÄVSJÖ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7917-2024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45350</v>
      </c>
      <c r="E90" s="1" t="n">
        <v>46216</v>
      </c>
      <c r="F90" t="inlineStr">
        <is>
          <t>JÖNKÖPINGS LÄN</t>
        </is>
      </c>
      <c r="G90" t="inlineStr">
        <is>
          <t>SÄVSJÖ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10591-2023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46216</v>
      </c>
      <c r="F91" t="inlineStr">
        <is>
          <t>JÖNKÖPINGS LÄN</t>
        </is>
      </c>
      <c r="G91" t="inlineStr">
        <is>
          <t>SÄVSJÖ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46580-2023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45198</v>
      </c>
      <c r="E92" s="1" t="n">
        <v>46216</v>
      </c>
      <c r="F92" t="inlineStr">
        <is>
          <t>JÖNKÖPINGS LÄN</t>
        </is>
      </c>
      <c r="G92" t="inlineStr">
        <is>
          <t>SÄVSJÖ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27713-2023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46216</v>
      </c>
      <c r="F93" t="inlineStr">
        <is>
          <t>JÖNKÖPINGS LÄN</t>
        </is>
      </c>
      <c r="G93" t="inlineStr">
        <is>
          <t>SÄVSJÖ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36391-2024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46216</v>
      </c>
      <c r="F94" t="inlineStr">
        <is>
          <t>JÖNKÖPINGS LÄN</t>
        </is>
      </c>
      <c r="G94" t="inlineStr">
        <is>
          <t>SÄVSJÖ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55801-2021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46216</v>
      </c>
      <c r="F95" t="inlineStr">
        <is>
          <t>JÖNKÖPINGS LÄN</t>
        </is>
      </c>
      <c r="G95" t="inlineStr">
        <is>
          <t>SÄVSJÖ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12804-2025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46216</v>
      </c>
      <c r="F96" t="inlineStr">
        <is>
          <t>JÖNKÖPINGS LÄN</t>
        </is>
      </c>
      <c r="G96" t="inlineStr">
        <is>
          <t>SÄVSJÖ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17766-2023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45037</v>
      </c>
      <c r="E97" s="1" t="n">
        <v>46216</v>
      </c>
      <c r="F97" t="inlineStr">
        <is>
          <t>JÖNKÖPINGS LÄN</t>
        </is>
      </c>
      <c r="G97" t="inlineStr">
        <is>
          <t>SÄVSJÖ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3598-2024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45320</v>
      </c>
      <c r="E98" s="1" t="n">
        <v>46216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3600-2024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46216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33154-2024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45518</v>
      </c>
      <c r="E100" s="1" t="n">
        <v>46216</v>
      </c>
      <c r="F100" t="inlineStr">
        <is>
          <t>JÖNKÖPINGS LÄN</t>
        </is>
      </c>
      <c r="G100" t="inlineStr">
        <is>
          <t>SÄVSJÖ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39045-2024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45548</v>
      </c>
      <c r="E101" s="1" t="n">
        <v>46216</v>
      </c>
      <c r="F101" t="inlineStr">
        <is>
          <t>JÖNKÖPINGS LÄN</t>
        </is>
      </c>
      <c r="G101" t="inlineStr">
        <is>
          <t>SÄVSJÖ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61408-2024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46216</v>
      </c>
      <c r="F102" t="inlineStr">
        <is>
          <t>JÖNKÖPINGS LÄN</t>
        </is>
      </c>
      <c r="G102" t="inlineStr">
        <is>
          <t>SÄVSJÖ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29558-2023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45106</v>
      </c>
      <c r="E103" s="1" t="n">
        <v>46216</v>
      </c>
      <c r="F103" t="inlineStr">
        <is>
          <t>JÖNKÖPINGS LÄN</t>
        </is>
      </c>
      <c r="G103" t="inlineStr">
        <is>
          <t>SÄVSJÖ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58397-2024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45634</v>
      </c>
      <c r="E104" s="1" t="n">
        <v>46216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45634</v>
      </c>
      <c r="E105" s="1" t="n">
        <v>46216</v>
      </c>
      <c r="F105" t="inlineStr">
        <is>
          <t>JÖNKÖPINGS LÄN</t>
        </is>
      </c>
      <c r="G105" t="inlineStr">
        <is>
          <t>SÄVSJÖ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11760-2025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45727</v>
      </c>
      <c r="E106" s="1" t="n">
        <v>46216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27014-2023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45094</v>
      </c>
      <c r="E107" s="1" t="n">
        <v>46216</v>
      </c>
      <c r="F107" t="inlineStr">
        <is>
          <t>JÖNKÖPINGS LÄN</t>
        </is>
      </c>
      <c r="G107" t="inlineStr">
        <is>
          <t>SÄVSJÖ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23885-2024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46216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46216</v>
      </c>
      <c r="F109" t="inlineStr">
        <is>
          <t>JÖNKÖPINGS LÄN</t>
        </is>
      </c>
      <c r="G109" t="inlineStr">
        <is>
          <t>SÄVSJÖ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12952-2023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45001</v>
      </c>
      <c r="E110" s="1" t="n">
        <v>46216</v>
      </c>
      <c r="F110" t="inlineStr">
        <is>
          <t>JÖNKÖPINGS LÄN</t>
        </is>
      </c>
      <c r="G110" t="inlineStr">
        <is>
          <t>SÄVSJÖ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11337-2025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46216</v>
      </c>
      <c r="F111" t="inlineStr">
        <is>
          <t>JÖNKÖPINGS LÄN</t>
        </is>
      </c>
      <c r="G111" t="inlineStr">
        <is>
          <t>SÄVSJÖ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18135-2023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46216</v>
      </c>
      <c r="F112" t="inlineStr">
        <is>
          <t>JÖNKÖPINGS LÄN</t>
        </is>
      </c>
      <c r="G112" t="inlineStr">
        <is>
          <t>SÄVSJÖ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29386-2025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46216</v>
      </c>
      <c r="F113" t="inlineStr">
        <is>
          <t>JÖNKÖPINGS LÄN</t>
        </is>
      </c>
      <c r="G113" t="inlineStr">
        <is>
          <t>SÄVSJÖ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29716-2025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46216</v>
      </c>
      <c r="F114" t="inlineStr">
        <is>
          <t>JÖNKÖPINGS LÄN</t>
        </is>
      </c>
      <c r="G114" t="inlineStr">
        <is>
          <t>SÄVSJÖ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41914-2025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46216</v>
      </c>
      <c r="F115" t="inlineStr">
        <is>
          <t>JÖNKÖPINGS LÄN</t>
        </is>
      </c>
      <c r="G115" t="inlineStr">
        <is>
          <t>SÄVSJÖ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42384-2025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46216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45833</v>
      </c>
      <c r="E117" s="1" t="n">
        <v>46216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31505-2025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45833</v>
      </c>
      <c r="E118" s="1" t="n">
        <v>46216</v>
      </c>
      <c r="F118" t="inlineStr">
        <is>
          <t>JÖNKÖPINGS LÄN</t>
        </is>
      </c>
      <c r="G118" t="inlineStr">
        <is>
          <t>SÄVSJÖ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32177-2022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46216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46216</v>
      </c>
      <c r="F120" t="inlineStr">
        <is>
          <t>JÖNKÖPINGS LÄN</t>
        </is>
      </c>
      <c r="G120" t="inlineStr">
        <is>
          <t>SÄVSJÖ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31492-2025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45833</v>
      </c>
      <c r="E121" s="1" t="n">
        <v>46216</v>
      </c>
      <c r="F121" t="inlineStr">
        <is>
          <t>JÖNKÖPINGS LÄN</t>
        </is>
      </c>
      <c r="G121" t="inlineStr">
        <is>
          <t>SÄVSJÖ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45706</v>
      </c>
      <c r="E122" s="1" t="n">
        <v>46216</v>
      </c>
      <c r="F122" t="inlineStr">
        <is>
          <t>JÖNKÖPINGS LÄN</t>
        </is>
      </c>
      <c r="G122" t="inlineStr">
        <is>
          <t>SÄVSJÖ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43303-2025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46216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19019-2025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46216</v>
      </c>
      <c r="F124" t="inlineStr">
        <is>
          <t>JÖNKÖPINGS LÄN</t>
        </is>
      </c>
      <c r="G124" t="inlineStr">
        <is>
          <t>SÄVSJÖ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21801-2023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45067</v>
      </c>
      <c r="E125" s="1" t="n">
        <v>46216</v>
      </c>
      <c r="F125" t="inlineStr">
        <is>
          <t>JÖNKÖPINGS LÄN</t>
        </is>
      </c>
      <c r="G125" t="inlineStr">
        <is>
          <t>SÄVSJÖ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32765-2025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46216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55012-2023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45237</v>
      </c>
      <c r="E127" s="1" t="n">
        <v>46216</v>
      </c>
      <c r="F127" t="inlineStr">
        <is>
          <t>JÖNKÖPINGS LÄN</t>
        </is>
      </c>
      <c r="G127" t="inlineStr">
        <is>
          <t>SÄVSJÖ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47405-2021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46216</v>
      </c>
      <c r="F128" t="inlineStr">
        <is>
          <t>JÖNKÖPINGS LÄN</t>
        </is>
      </c>
      <c r="G128" t="inlineStr">
        <is>
          <t>SÄVSJÖ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62178-2023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45267</v>
      </c>
      <c r="E129" s="1" t="n">
        <v>46216</v>
      </c>
      <c r="F129" t="inlineStr">
        <is>
          <t>JÖNKÖPINGS LÄN</t>
        </is>
      </c>
      <c r="G129" t="inlineStr">
        <is>
          <t>SÄVSJÖ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63920-2021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46216</v>
      </c>
      <c r="F130" t="inlineStr">
        <is>
          <t>JÖNKÖPINGS LÄN</t>
        </is>
      </c>
      <c r="G130" t="inlineStr">
        <is>
          <t>SÄVSJÖ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17679-2024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46216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46216</v>
      </c>
      <c r="F132" t="inlineStr">
        <is>
          <t>JÖNKÖPINGS LÄN</t>
        </is>
      </c>
      <c r="G132" t="inlineStr">
        <is>
          <t>SÄVSJÖ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30162-2023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45110</v>
      </c>
      <c r="E133" s="1" t="n">
        <v>46216</v>
      </c>
      <c r="F133" t="inlineStr">
        <is>
          <t>JÖNKÖPINGS LÄN</t>
        </is>
      </c>
      <c r="G133" t="inlineStr">
        <is>
          <t>SÄVSJÖ</t>
        </is>
      </c>
      <c r="H133" t="inlineStr">
        <is>
          <t>Kommuner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53102-2023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45228</v>
      </c>
      <c r="E134" s="1" t="n">
        <v>46216</v>
      </c>
      <c r="F134" t="inlineStr">
        <is>
          <t>JÖNKÖPINGS LÄN</t>
        </is>
      </c>
      <c r="G134" t="inlineStr">
        <is>
          <t>SÄVSJÖ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54827-2021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44474</v>
      </c>
      <c r="E135" s="1" t="n">
        <v>46216</v>
      </c>
      <c r="F135" t="inlineStr">
        <is>
          <t>JÖNKÖPINGS LÄN</t>
        </is>
      </c>
      <c r="G135" t="inlineStr">
        <is>
          <t>SÄVSJÖ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46216</v>
      </c>
      <c r="F136" t="inlineStr">
        <is>
          <t>JÖNKÖPINGS LÄN</t>
        </is>
      </c>
      <c r="G136" t="inlineStr">
        <is>
          <t>SÄVSJÖ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39730-2023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46216</v>
      </c>
      <c r="F137" t="inlineStr">
        <is>
          <t>JÖNKÖPINGS LÄN</t>
        </is>
      </c>
      <c r="G137" t="inlineStr">
        <is>
          <t>SÄVSJÖ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43015-2022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44833</v>
      </c>
      <c r="E138" s="1" t="n">
        <v>46216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11931-2023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44995</v>
      </c>
      <c r="E139" s="1" t="n">
        <v>46216</v>
      </c>
      <c r="F139" t="inlineStr">
        <is>
          <t>JÖNKÖPINGS LÄN</t>
        </is>
      </c>
      <c r="G139" t="inlineStr">
        <is>
          <t>SÄVSJÖ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45671</v>
      </c>
      <c r="E140" s="1" t="n">
        <v>46216</v>
      </c>
      <c r="F140" t="inlineStr">
        <is>
          <t>JÖNKÖPINGS LÄN</t>
        </is>
      </c>
      <c r="G140" t="inlineStr">
        <is>
          <t>SÄVSJÖ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3177-2025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45679</v>
      </c>
      <c r="E141" s="1" t="n">
        <v>46216</v>
      </c>
      <c r="F141" t="inlineStr">
        <is>
          <t>JÖNKÖPINGS LÄN</t>
        </is>
      </c>
      <c r="G141" t="inlineStr">
        <is>
          <t>SÄVSJÖ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11239-2024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46216</v>
      </c>
      <c r="F142" t="inlineStr">
        <is>
          <t>JÖNKÖPINGS LÄN</t>
        </is>
      </c>
      <c r="G142" t="inlineStr">
        <is>
          <t>SÄVSJÖ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28423-2023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45102</v>
      </c>
      <c r="E143" s="1" t="n">
        <v>46216</v>
      </c>
      <c r="F143" t="inlineStr">
        <is>
          <t>JÖNKÖPINGS LÄN</t>
        </is>
      </c>
      <c r="G143" t="inlineStr">
        <is>
          <t>SÄVSJÖ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11266-2024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46216</v>
      </c>
      <c r="F144" t="inlineStr">
        <is>
          <t>JÖNKÖPINGS LÄN</t>
        </is>
      </c>
      <c r="G144" t="inlineStr">
        <is>
          <t>SÄVSJÖ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38914-2024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45547</v>
      </c>
      <c r="E145" s="1" t="n">
        <v>46216</v>
      </c>
      <c r="F145" t="inlineStr">
        <is>
          <t>JÖNKÖPINGS LÄN</t>
        </is>
      </c>
      <c r="G145" t="inlineStr">
        <is>
          <t>SÄVSJÖ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45302</v>
      </c>
      <c r="E146" s="1" t="n">
        <v>46216</v>
      </c>
      <c r="F146" t="inlineStr">
        <is>
          <t>JÖNKÖPINGS LÄN</t>
        </is>
      </c>
      <c r="G146" t="inlineStr">
        <is>
          <t>SÄVSJÖ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61545-2021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46216</v>
      </c>
      <c r="F147" t="inlineStr">
        <is>
          <t>JÖNKÖPINGS LÄN</t>
        </is>
      </c>
      <c r="G147" t="inlineStr">
        <is>
          <t>SÄVSJÖ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43976-2022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46216</v>
      </c>
      <c r="F148" t="inlineStr">
        <is>
          <t>JÖNKÖPINGS LÄN</t>
        </is>
      </c>
      <c r="G148" t="inlineStr">
        <is>
          <t>SÄVSJÖ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37980-2025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45881</v>
      </c>
      <c r="E149" s="1" t="n">
        <v>46216</v>
      </c>
      <c r="F149" t="inlineStr">
        <is>
          <t>JÖNKÖPINGS LÄN</t>
        </is>
      </c>
      <c r="G149" t="inlineStr">
        <is>
          <t>SÄVSJÖ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56617-2022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46216</v>
      </c>
      <c r="F150" t="inlineStr">
        <is>
          <t>JÖNKÖPINGS LÄN</t>
        </is>
      </c>
      <c r="G150" t="inlineStr">
        <is>
          <t>SÄVSJÖ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10284-2024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46216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44929</v>
      </c>
      <c r="E152" s="1" t="n">
        <v>46216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50791-2025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46216</v>
      </c>
      <c r="F153" t="inlineStr">
        <is>
          <t>JÖNKÖPINGS LÄN</t>
        </is>
      </c>
      <c r="G153" t="inlineStr">
        <is>
          <t>SÄVSJÖ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50627-2022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44866</v>
      </c>
      <c r="E154" s="1" t="n">
        <v>46216</v>
      </c>
      <c r="F154" t="inlineStr">
        <is>
          <t>JÖNKÖPINGS LÄN</t>
        </is>
      </c>
      <c r="G154" t="inlineStr">
        <is>
          <t>SÄVSJÖ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12807-2022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44642</v>
      </c>
      <c r="E155" s="1" t="n">
        <v>46216</v>
      </c>
      <c r="F155" t="inlineStr">
        <is>
          <t>JÖNKÖPINGS LÄN</t>
        </is>
      </c>
      <c r="G155" t="inlineStr">
        <is>
          <t>SÄVSJÖ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30162-2023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45110</v>
      </c>
      <c r="E156" s="1" t="n">
        <v>46216</v>
      </c>
      <c r="F156" t="inlineStr">
        <is>
          <t>JÖNKÖPINGS LÄN</t>
        </is>
      </c>
      <c r="G156" t="inlineStr">
        <is>
          <t>SÄVSJÖ</t>
        </is>
      </c>
      <c r="H156" t="inlineStr">
        <is>
          <t>Kommuner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38505-2025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46216</v>
      </c>
      <c r="F157" t="inlineStr">
        <is>
          <t>JÖNKÖPINGS LÄN</t>
        </is>
      </c>
      <c r="G157" t="inlineStr">
        <is>
          <t>SÄVSJÖ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52314-2025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46216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52363-2025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45953</v>
      </c>
      <c r="E159" s="1" t="n">
        <v>46216</v>
      </c>
      <c r="F159" t="inlineStr">
        <is>
          <t>JÖNKÖPINGS LÄN</t>
        </is>
      </c>
      <c r="G159" t="inlineStr">
        <is>
          <t>SÄVSJÖ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52810-2025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46216</v>
      </c>
      <c r="F160" t="inlineStr">
        <is>
          <t>JÖNKÖPINGS LÄN</t>
        </is>
      </c>
      <c r="G160" t="inlineStr">
        <is>
          <t>SÄVSJÖ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52361-2025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46216</v>
      </c>
      <c r="F161" t="inlineStr">
        <is>
          <t>JÖNKÖPINGS LÄN</t>
        </is>
      </c>
      <c r="G161" t="inlineStr">
        <is>
          <t>SÄVSJÖ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46216</v>
      </c>
      <c r="F162" t="inlineStr">
        <is>
          <t>JÖNKÖPINGS LÄN</t>
        </is>
      </c>
      <c r="G162" t="inlineStr">
        <is>
          <t>SÄVSJÖ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46216</v>
      </c>
      <c r="F163" t="inlineStr">
        <is>
          <t>JÖNKÖPINGS LÄN</t>
        </is>
      </c>
      <c r="G163" t="inlineStr">
        <is>
          <t>SÄVSJÖ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52857-2025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46216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54533-2023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46216</v>
      </c>
      <c r="F165" t="inlineStr">
        <is>
          <t>JÖNKÖPINGS LÄN</t>
        </is>
      </c>
      <c r="G165" t="inlineStr">
        <is>
          <t>SÄVSJÖ</t>
        </is>
      </c>
      <c r="H165" t="inlineStr">
        <is>
          <t>Kyrkan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59056-2023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46216</v>
      </c>
      <c r="F166" t="inlineStr">
        <is>
          <t>JÖNKÖPINGS LÄN</t>
        </is>
      </c>
      <c r="G166" t="inlineStr">
        <is>
          <t>SÄVSJÖ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46216</v>
      </c>
      <c r="F167" t="inlineStr">
        <is>
          <t>JÖNKÖPINGS LÄN</t>
        </is>
      </c>
      <c r="G167" t="inlineStr">
        <is>
          <t>SÄVSJÖ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46216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34287-2024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46216</v>
      </c>
      <c r="F169" t="inlineStr">
        <is>
          <t>JÖNKÖPINGS LÄN</t>
        </is>
      </c>
      <c r="G169" t="inlineStr">
        <is>
          <t>SÄVSJÖ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54275-2025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45964</v>
      </c>
      <c r="E170" s="1" t="n">
        <v>46216</v>
      </c>
      <c r="F170" t="inlineStr">
        <is>
          <t>JÖNKÖPINGS LÄN</t>
        </is>
      </c>
      <c r="G170" t="inlineStr">
        <is>
          <t>SÄVSJÖ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54759-2025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46216</v>
      </c>
      <c r="F171" t="inlineStr">
        <is>
          <t>JÖNKÖPINGS LÄN</t>
        </is>
      </c>
      <c r="G171" t="inlineStr">
        <is>
          <t>SÄVSJÖ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10865-2023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46216</v>
      </c>
      <c r="F172" t="inlineStr">
        <is>
          <t>JÖNKÖPINGS LÄN</t>
        </is>
      </c>
      <c r="G172" t="inlineStr">
        <is>
          <t>SÄVSJÖ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46307-2021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44442</v>
      </c>
      <c r="E173" s="1" t="n">
        <v>46216</v>
      </c>
      <c r="F173" t="inlineStr">
        <is>
          <t>JÖNKÖPINGS LÄN</t>
        </is>
      </c>
      <c r="G173" t="inlineStr">
        <is>
          <t>SÄVSJÖ</t>
        </is>
      </c>
      <c r="H173" t="inlineStr">
        <is>
          <t>Kommuner</t>
        </is>
      </c>
      <c r="I173" t="n">
        <v>25.6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54883-2025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46216</v>
      </c>
      <c r="F174" t="inlineStr">
        <is>
          <t>JÖNKÖPINGS LÄN</t>
        </is>
      </c>
      <c r="G174" t="inlineStr">
        <is>
          <t>SÄVSJÖ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55358-2025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45971</v>
      </c>
      <c r="E175" s="1" t="n">
        <v>46216</v>
      </c>
      <c r="F175" t="inlineStr">
        <is>
          <t>JÖNKÖPINGS LÄN</t>
        </is>
      </c>
      <c r="G175" t="inlineStr">
        <is>
          <t>SÄVSJÖ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49406-2023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46216</v>
      </c>
      <c r="F176" t="inlineStr">
        <is>
          <t>JÖNKÖPINGS LÄN</t>
        </is>
      </c>
      <c r="G176" t="inlineStr">
        <is>
          <t>SÄVSJÖ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58400-2024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45634</v>
      </c>
      <c r="E177" s="1" t="n">
        <v>46216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56456-2025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46216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46216</v>
      </c>
      <c r="F179" t="inlineStr">
        <is>
          <t>JÖNKÖPINGS LÄN</t>
        </is>
      </c>
      <c r="G179" t="inlineStr">
        <is>
          <t>SÄVSJÖ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19856-2024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45433</v>
      </c>
      <c r="E180" s="1" t="n">
        <v>46216</v>
      </c>
      <c r="F180" t="inlineStr">
        <is>
          <t>JÖNKÖPINGS LÄN</t>
        </is>
      </c>
      <c r="G180" t="inlineStr">
        <is>
          <t>SÄVSJÖ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46216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56829-2025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46216</v>
      </c>
      <c r="F182" t="inlineStr">
        <is>
          <t>JÖNKÖPINGS LÄN</t>
        </is>
      </c>
      <c r="G182" t="inlineStr">
        <is>
          <t>SÄVSJÖ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36393-2024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45534</v>
      </c>
      <c r="E183" s="1" t="n">
        <v>46216</v>
      </c>
      <c r="F183" t="inlineStr">
        <is>
          <t>JÖNKÖPINGS LÄN</t>
        </is>
      </c>
      <c r="G183" t="inlineStr">
        <is>
          <t>SÄVSJÖ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57597-2025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46216</v>
      </c>
      <c r="F184" t="inlineStr">
        <is>
          <t>JÖNKÖPINGS LÄN</t>
        </is>
      </c>
      <c r="G184" t="inlineStr">
        <is>
          <t>SÄVSJÖ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57852-2025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46216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19847-2023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45053</v>
      </c>
      <c r="E186" s="1" t="n">
        <v>46216</v>
      </c>
      <c r="F186" t="inlineStr">
        <is>
          <t>JÖNKÖPINGS LÄN</t>
        </is>
      </c>
      <c r="G186" t="inlineStr">
        <is>
          <t>SÄVSJÖ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57830-2025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46216</v>
      </c>
      <c r="F187" t="inlineStr">
        <is>
          <t>JÖNKÖPINGS LÄN</t>
        </is>
      </c>
      <c r="G187" t="inlineStr">
        <is>
          <t>SÄVSJÖ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57810-2025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46216</v>
      </c>
      <c r="F188" t="inlineStr">
        <is>
          <t>JÖNKÖPINGS LÄN</t>
        </is>
      </c>
      <c r="G188" t="inlineStr">
        <is>
          <t>SÄVSJÖ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46216</v>
      </c>
      <c r="F189" t="inlineStr">
        <is>
          <t>JÖNKÖPINGS LÄN</t>
        </is>
      </c>
      <c r="G189" t="inlineStr">
        <is>
          <t>SÄVSJÖ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10887-2023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44991</v>
      </c>
      <c r="E190" s="1" t="n">
        <v>46216</v>
      </c>
      <c r="F190" t="inlineStr">
        <is>
          <t>JÖNKÖPINGS LÄN</t>
        </is>
      </c>
      <c r="G190" t="inlineStr">
        <is>
          <t>SÄVSJÖ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58712-2025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46216</v>
      </c>
      <c r="F191" t="inlineStr">
        <is>
          <t>JÖNKÖPINGS LÄN</t>
        </is>
      </c>
      <c r="G191" t="inlineStr">
        <is>
          <t>SÄVSJÖ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59332-2025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46216</v>
      </c>
      <c r="F192" t="inlineStr">
        <is>
          <t>JÖNKÖPINGS LÄN</t>
        </is>
      </c>
      <c r="G192" t="inlineStr">
        <is>
          <t>SÄVSJÖ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48815-2024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46216</v>
      </c>
      <c r="F193" t="inlineStr">
        <is>
          <t>JÖNKÖPINGS LÄN</t>
        </is>
      </c>
      <c r="G193" t="inlineStr">
        <is>
          <t>SÄVSJÖ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45315</v>
      </c>
      <c r="E194" s="1" t="n">
        <v>46216</v>
      </c>
      <c r="F194" t="inlineStr">
        <is>
          <t>JÖNKÖPINGS LÄN</t>
        </is>
      </c>
      <c r="G194" t="inlineStr">
        <is>
          <t>SÄVSJÖ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12959-2023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46216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8723-2026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46216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60331-2025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45993</v>
      </c>
      <c r="E197" s="1" t="n">
        <v>46216</v>
      </c>
      <c r="F197" t="inlineStr">
        <is>
          <t>JÖNKÖPINGS LÄN</t>
        </is>
      </c>
      <c r="G197" t="inlineStr">
        <is>
          <t>SÄVSJÖ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8716-2026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46216</v>
      </c>
      <c r="F198" t="inlineStr">
        <is>
          <t>JÖNKÖPINGS LÄN</t>
        </is>
      </c>
      <c r="G198" t="inlineStr">
        <is>
          <t>SÄVSJÖ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8720-2026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46216</v>
      </c>
      <c r="F199" t="inlineStr">
        <is>
          <t>JÖNKÖPINGS LÄN</t>
        </is>
      </c>
      <c r="G199" t="inlineStr">
        <is>
          <t>SÄVSJÖ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46216</v>
      </c>
      <c r="F200" t="inlineStr">
        <is>
          <t>JÖNKÖPINGS LÄN</t>
        </is>
      </c>
      <c r="G200" t="inlineStr">
        <is>
          <t>SÄVSJÖ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40111-2022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46216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15058-2023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45015</v>
      </c>
      <c r="E202" s="1" t="n">
        <v>46216</v>
      </c>
      <c r="F202" t="inlineStr">
        <is>
          <t>JÖNKÖPINGS LÄN</t>
        </is>
      </c>
      <c r="G202" t="inlineStr">
        <is>
          <t>SÄVSJÖ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9643-2026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46216</v>
      </c>
      <c r="F203" t="inlineStr">
        <is>
          <t>JÖNKÖPINGS LÄN</t>
        </is>
      </c>
      <c r="G203" t="inlineStr">
        <is>
          <t>SÄVSJÖ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17883-2024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45419</v>
      </c>
      <c r="E204" s="1" t="n">
        <v>46216</v>
      </c>
      <c r="F204" t="inlineStr">
        <is>
          <t>JÖNKÖPINGS LÄN</t>
        </is>
      </c>
      <c r="G204" t="inlineStr">
        <is>
          <t>SÄVSJÖ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9645-2026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46216</v>
      </c>
      <c r="F205" t="inlineStr">
        <is>
          <t>JÖNKÖPINGS LÄN</t>
        </is>
      </c>
      <c r="G205" t="inlineStr">
        <is>
          <t>SÄVSJÖ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995-2023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46216</v>
      </c>
      <c r="F206" t="inlineStr">
        <is>
          <t>JÖNKÖPINGS LÄN</t>
        </is>
      </c>
      <c r="G206" t="inlineStr">
        <is>
          <t>SÄVSJÖ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45320</v>
      </c>
      <c r="E207" s="1" t="n">
        <v>46216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19935-2023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45054</v>
      </c>
      <c r="E208" s="1" t="n">
        <v>46216</v>
      </c>
      <c r="F208" t="inlineStr">
        <is>
          <t>JÖNKÖPINGS LÄN</t>
        </is>
      </c>
      <c r="G208" t="inlineStr">
        <is>
          <t>SÄVSJÖ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45694</v>
      </c>
      <c r="E209" s="1" t="n">
        <v>46216</v>
      </c>
      <c r="F209" t="inlineStr">
        <is>
          <t>JÖNKÖPINGS LÄN</t>
        </is>
      </c>
      <c r="G209" t="inlineStr">
        <is>
          <t>SÄVSJÖ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62870-2025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46008</v>
      </c>
      <c r="E210" s="1" t="n">
        <v>46216</v>
      </c>
      <c r="F210" t="inlineStr">
        <is>
          <t>JÖNKÖPINGS LÄN</t>
        </is>
      </c>
      <c r="G210" t="inlineStr">
        <is>
          <t>SÄVSJÖ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46216</v>
      </c>
      <c r="F211" t="inlineStr">
        <is>
          <t>JÖNKÖPINGS LÄN</t>
        </is>
      </c>
      <c r="G211" t="inlineStr">
        <is>
          <t>SÄVSJÖ</t>
        </is>
      </c>
      <c r="H211" t="inlineStr">
        <is>
          <t>Sveaskog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63352-2025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46216</v>
      </c>
      <c r="F212" t="inlineStr">
        <is>
          <t>JÖNKÖPINGS LÄN</t>
        </is>
      </c>
      <c r="G212" t="inlineStr">
        <is>
          <t>SÄVSJÖ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44951</v>
      </c>
      <c r="E213" s="1" t="n">
        <v>46216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39362-2023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46216</v>
      </c>
      <c r="F214" t="inlineStr">
        <is>
          <t>JÖNKÖPINGS LÄN</t>
        </is>
      </c>
      <c r="G214" t="inlineStr">
        <is>
          <t>SÄVSJÖ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63599-2025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46216</v>
      </c>
      <c r="F215" t="inlineStr">
        <is>
          <t>JÖNKÖPINGS LÄN</t>
        </is>
      </c>
      <c r="G215" t="inlineStr">
        <is>
          <t>SÄVSJÖ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46216</v>
      </c>
      <c r="F216" t="inlineStr">
        <is>
          <t>JÖNKÖPINGS LÄN</t>
        </is>
      </c>
      <c r="G216" t="inlineStr">
        <is>
          <t>SÄVSJÖ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63633-2025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46216</v>
      </c>
      <c r="F217" t="inlineStr">
        <is>
          <t>JÖNKÖPINGS LÄN</t>
        </is>
      </c>
      <c r="G217" t="inlineStr">
        <is>
          <t>SÄVSJÖ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7285-2023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44970</v>
      </c>
      <c r="E218" s="1" t="n">
        <v>46216</v>
      </c>
      <c r="F218" t="inlineStr">
        <is>
          <t>JÖNKÖPINGS LÄN</t>
        </is>
      </c>
      <c r="G218" t="inlineStr">
        <is>
          <t>SÄVSJÖ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63668-2025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46014</v>
      </c>
      <c r="E219" s="1" t="n">
        <v>46216</v>
      </c>
      <c r="F219" t="inlineStr">
        <is>
          <t>JÖNKÖPINGS LÄN</t>
        </is>
      </c>
      <c r="G219" t="inlineStr">
        <is>
          <t>SÄVSJÖ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63660-2025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46216</v>
      </c>
      <c r="F220" t="inlineStr">
        <is>
          <t>JÖNKÖPINGS LÄN</t>
        </is>
      </c>
      <c r="G220" t="inlineStr">
        <is>
          <t>SÄVSJÖ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63750-2025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46017</v>
      </c>
      <c r="E221" s="1" t="n">
        <v>46216</v>
      </c>
      <c r="F221" t="inlineStr">
        <is>
          <t>JÖNKÖPINGS LÄN</t>
        </is>
      </c>
      <c r="G221" t="inlineStr">
        <is>
          <t>SÄVSJÖ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63752-2025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46017</v>
      </c>
      <c r="E222" s="1" t="n">
        <v>46216</v>
      </c>
      <c r="F222" t="inlineStr">
        <is>
          <t>JÖNKÖPINGS LÄN</t>
        </is>
      </c>
      <c r="G222" t="inlineStr">
        <is>
          <t>SÄVSJÖ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50629-2022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44866</v>
      </c>
      <c r="E223" s="1" t="n">
        <v>46216</v>
      </c>
      <c r="F223" t="inlineStr">
        <is>
          <t>JÖNKÖPINGS LÄN</t>
        </is>
      </c>
      <c r="G223" t="inlineStr">
        <is>
          <t>SÄVSJÖ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19759-2025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46216</v>
      </c>
      <c r="F224" t="inlineStr">
        <is>
          <t>JÖNKÖPINGS LÄN</t>
        </is>
      </c>
      <c r="G224" t="inlineStr">
        <is>
          <t>SÄVSJÖ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12242-2026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46087</v>
      </c>
      <c r="E225" s="1" t="n">
        <v>46216</v>
      </c>
      <c r="F225" t="inlineStr">
        <is>
          <t>JÖNKÖPINGS LÄN</t>
        </is>
      </c>
      <c r="G225" t="inlineStr">
        <is>
          <t>SÄVSJÖ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45338</v>
      </c>
      <c r="E226" s="1" t="n">
        <v>46216</v>
      </c>
      <c r="F226" t="inlineStr">
        <is>
          <t>JÖNKÖPINGS LÄN</t>
        </is>
      </c>
      <c r="G226" t="inlineStr">
        <is>
          <t>SÄVSJÖ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40552-2023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45170</v>
      </c>
      <c r="E227" s="1" t="n">
        <v>46216</v>
      </c>
      <c r="F227" t="inlineStr">
        <is>
          <t>JÖNKÖPINGS LÄN</t>
        </is>
      </c>
      <c r="G227" t="inlineStr">
        <is>
          <t>SÄVSJÖ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39491-2021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44414</v>
      </c>
      <c r="E228" s="1" t="n">
        <v>46216</v>
      </c>
      <c r="F228" t="inlineStr">
        <is>
          <t>JÖNKÖPINGS LÄN</t>
        </is>
      </c>
      <c r="G228" t="inlineStr">
        <is>
          <t>SÄVSJÖ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58361-2024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46216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46216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36390-2024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46216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13693-2026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46097</v>
      </c>
      <c r="E232" s="1" t="n">
        <v>46216</v>
      </c>
      <c r="F232" t="inlineStr">
        <is>
          <t>JÖNKÖPINGS LÄN</t>
        </is>
      </c>
      <c r="G232" t="inlineStr">
        <is>
          <t>SÄVSJÖ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46216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48893-2023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46216</v>
      </c>
      <c r="F234" t="inlineStr">
        <is>
          <t>JÖNKÖPINGS LÄN</t>
        </is>
      </c>
      <c r="G234" t="inlineStr">
        <is>
          <t>SÄVSJÖ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14062-2026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46216</v>
      </c>
      <c r="F235" t="inlineStr">
        <is>
          <t>JÖNKÖPINGS LÄN</t>
        </is>
      </c>
      <c r="G235" t="inlineStr">
        <is>
          <t>SÄVSJÖ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47893-2023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46216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14779-2026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46216</v>
      </c>
      <c r="F237" t="inlineStr">
        <is>
          <t>JÖNKÖPINGS LÄN</t>
        </is>
      </c>
      <c r="G237" t="inlineStr">
        <is>
          <t>SÄVSJÖ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46408-2023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46216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14778-2026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46216</v>
      </c>
      <c r="F239" t="inlineStr">
        <is>
          <t>JÖNKÖPINGS LÄN</t>
        </is>
      </c>
      <c r="G239" t="inlineStr">
        <is>
          <t>SÄVSJÖ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14620-2026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46216</v>
      </c>
      <c r="F240" t="inlineStr">
        <is>
          <t>JÖNKÖPINGS LÄN</t>
        </is>
      </c>
      <c r="G240" t="inlineStr">
        <is>
          <t>SÄVSJÖ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14880-2022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44656</v>
      </c>
      <c r="E241" s="1" t="n">
        <v>46216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16368-2024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46216</v>
      </c>
      <c r="F242" t="inlineStr">
        <is>
          <t>JÖNKÖPINGS LÄN</t>
        </is>
      </c>
      <c r="G242" t="inlineStr">
        <is>
          <t>SÄVSJÖ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16372-2024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46216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907-2024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45301</v>
      </c>
      <c r="E244" s="1" t="n">
        <v>46216</v>
      </c>
      <c r="F244" t="inlineStr">
        <is>
          <t>JÖNKÖPINGS LÄN</t>
        </is>
      </c>
      <c r="G244" t="inlineStr">
        <is>
          <t>SÄVSJÖ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51804-2024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46216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41391-2022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44826</v>
      </c>
      <c r="E246" s="1" t="n">
        <v>46216</v>
      </c>
      <c r="F246" t="inlineStr">
        <is>
          <t>JÖNKÖPINGS LÄN</t>
        </is>
      </c>
      <c r="G246" t="inlineStr">
        <is>
          <t>SÄVSJÖ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15991-2026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46108</v>
      </c>
      <c r="E247" s="1" t="n">
        <v>46216</v>
      </c>
      <c r="F247" t="inlineStr">
        <is>
          <t>JÖNKÖPINGS LÄN</t>
        </is>
      </c>
      <c r="G247" t="inlineStr">
        <is>
          <t>SÄVSJÖ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2855-2024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45315</v>
      </c>
      <c r="E248" s="1" t="n">
        <v>46216</v>
      </c>
      <c r="F248" t="inlineStr">
        <is>
          <t>JÖNKÖPINGS LÄN</t>
        </is>
      </c>
      <c r="G248" t="inlineStr">
        <is>
          <t>SÄVSJÖ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62961-2021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44505</v>
      </c>
      <c r="E249" s="1" t="n">
        <v>46216</v>
      </c>
      <c r="F249" t="inlineStr">
        <is>
          <t>JÖNKÖPINGS LÄN</t>
        </is>
      </c>
      <c r="G249" t="inlineStr">
        <is>
          <t>SÄVSJÖ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16736-2026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46216</v>
      </c>
      <c r="F250" t="inlineStr">
        <is>
          <t>JÖNKÖPINGS LÄN</t>
        </is>
      </c>
      <c r="G250" t="inlineStr">
        <is>
          <t>SÄVSJÖ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22222-2024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45446</v>
      </c>
      <c r="E251" s="1" t="n">
        <v>46216</v>
      </c>
      <c r="F251" t="inlineStr">
        <is>
          <t>JÖNKÖPINGS LÄN</t>
        </is>
      </c>
      <c r="G251" t="inlineStr">
        <is>
          <t>SÄVSJÖ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10210-2025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46216</v>
      </c>
      <c r="F252" t="inlineStr">
        <is>
          <t>JÖNKÖPINGS LÄN</t>
        </is>
      </c>
      <c r="G252" t="inlineStr">
        <is>
          <t>SÄVSJÖ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16379-2024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45407</v>
      </c>
      <c r="E253" s="1" t="n">
        <v>46216</v>
      </c>
      <c r="F253" t="inlineStr">
        <is>
          <t>JÖNKÖPINGS LÄN</t>
        </is>
      </c>
      <c r="G253" t="inlineStr">
        <is>
          <t>SÄVSJÖ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45669</v>
      </c>
      <c r="E254" s="1" t="n">
        <v>46216</v>
      </c>
      <c r="F254" t="inlineStr">
        <is>
          <t>JÖNKÖPINGS LÄN</t>
        </is>
      </c>
      <c r="G254" t="inlineStr">
        <is>
          <t>SÄVSJÖ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18045-2026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46125</v>
      </c>
      <c r="E255" s="1" t="n">
        <v>46216</v>
      </c>
      <c r="F255" t="inlineStr">
        <is>
          <t>JÖNKÖPINGS LÄN</t>
        </is>
      </c>
      <c r="G255" t="inlineStr">
        <is>
          <t>SÄVSJÖ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18089-2026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46216</v>
      </c>
      <c r="F256" t="inlineStr">
        <is>
          <t>JÖNKÖPINGS LÄN</t>
        </is>
      </c>
      <c r="G256" t="inlineStr">
        <is>
          <t>SÄVSJÖ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51998-2024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45607</v>
      </c>
      <c r="E257" s="1" t="n">
        <v>46216</v>
      </c>
      <c r="F257" t="inlineStr">
        <is>
          <t>JÖNKÖPINGS LÄN</t>
        </is>
      </c>
      <c r="G257" t="inlineStr">
        <is>
          <t>SÄVSJÖ</t>
        </is>
      </c>
      <c r="H257" t="inlineStr">
        <is>
          <t>Övriga Aktiebolag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42212-2021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44426</v>
      </c>
      <c r="E258" s="1" t="n">
        <v>46216</v>
      </c>
      <c r="F258" t="inlineStr">
        <is>
          <t>JÖNKÖPINGS LÄN</t>
        </is>
      </c>
      <c r="G258" t="inlineStr">
        <is>
          <t>SÄVSJÖ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19123-2025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45768</v>
      </c>
      <c r="E259" s="1" t="n">
        <v>46216</v>
      </c>
      <c r="F259" t="inlineStr">
        <is>
          <t>JÖNKÖPINGS LÄN</t>
        </is>
      </c>
      <c r="G259" t="inlineStr">
        <is>
          <t>SÄVSJÖ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54547-2023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45226</v>
      </c>
      <c r="E260" s="1" t="n">
        <v>46216</v>
      </c>
      <c r="F260" t="inlineStr">
        <is>
          <t>JÖNKÖPINGS LÄN</t>
        </is>
      </c>
      <c r="G260" t="inlineStr">
        <is>
          <t>SÄVSJÖ</t>
        </is>
      </c>
      <c r="H260" t="inlineStr">
        <is>
          <t>Kyrkan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21795-2023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45067</v>
      </c>
      <c r="E261" s="1" t="n">
        <v>46216</v>
      </c>
      <c r="F261" t="inlineStr">
        <is>
          <t>JÖNKÖPINGS LÄN</t>
        </is>
      </c>
      <c r="G261" t="inlineStr">
        <is>
          <t>SÄVSJÖ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56097-2023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45240</v>
      </c>
      <c r="E262" s="1" t="n">
        <v>46216</v>
      </c>
      <c r="F262" t="inlineStr">
        <is>
          <t>JÖNKÖPINGS LÄN</t>
        </is>
      </c>
      <c r="G262" t="inlineStr">
        <is>
          <t>SÄVSJÖ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19769-2025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45771</v>
      </c>
      <c r="E263" s="1" t="n">
        <v>46216</v>
      </c>
      <c r="F263" t="inlineStr">
        <is>
          <t>JÖNKÖPINGS LÄN</t>
        </is>
      </c>
      <c r="G263" t="inlineStr">
        <is>
          <t>SÄVSJÖ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38390-2024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45546</v>
      </c>
      <c r="E264" s="1" t="n">
        <v>46216</v>
      </c>
      <c r="F264" t="inlineStr">
        <is>
          <t>JÖNKÖPINGS LÄN</t>
        </is>
      </c>
      <c r="G264" t="inlineStr">
        <is>
          <t>SÄVSJÖ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6620-2022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46216</v>
      </c>
      <c r="F265" t="inlineStr">
        <is>
          <t>JÖNKÖPINGS LÄN</t>
        </is>
      </c>
      <c r="G265" t="inlineStr">
        <is>
          <t>SÄVSJÖ</t>
        </is>
      </c>
      <c r="H265" t="inlineStr">
        <is>
          <t>Sveaskog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17140-2025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45755</v>
      </c>
      <c r="E266" s="1" t="n">
        <v>46216</v>
      </c>
      <c r="F266" t="inlineStr">
        <is>
          <t>JÖNKÖPINGS LÄN</t>
        </is>
      </c>
      <c r="G266" t="inlineStr">
        <is>
          <t>SÄVSJÖ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24798-2023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46216</v>
      </c>
      <c r="F267" t="inlineStr">
        <is>
          <t>JÖNKÖPINGS LÄN</t>
        </is>
      </c>
      <c r="G267" t="inlineStr">
        <is>
          <t>SÄVSJÖ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46216</v>
      </c>
      <c r="F268" t="inlineStr">
        <is>
          <t>JÖNKÖPINGS LÄN</t>
        </is>
      </c>
      <c r="G268" t="inlineStr">
        <is>
          <t>SÄVSJÖ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45785</v>
      </c>
      <c r="E269" s="1" t="n">
        <v>46216</v>
      </c>
      <c r="F269" t="inlineStr">
        <is>
          <t>JÖNKÖPINGS LÄN</t>
        </is>
      </c>
      <c r="G269" t="inlineStr">
        <is>
          <t>SÄVSJÖ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64573-2023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46216</v>
      </c>
      <c r="F270" t="inlineStr">
        <is>
          <t>JÖNKÖPINGS LÄN</t>
        </is>
      </c>
      <c r="G270" t="inlineStr">
        <is>
          <t>SÄVSJÖ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55039-2023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46216</v>
      </c>
      <c r="F271" t="inlineStr">
        <is>
          <t>JÖNKÖPINGS LÄN</t>
        </is>
      </c>
      <c r="G271" t="inlineStr">
        <is>
          <t>SÄVSJÖ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50493-2024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46216</v>
      </c>
      <c r="F272" t="inlineStr">
        <is>
          <t>JÖNKÖPINGS LÄN</t>
        </is>
      </c>
      <c r="G272" t="inlineStr">
        <is>
          <t>SÄVSJÖ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58487-2025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46216</v>
      </c>
      <c r="F273" t="inlineStr">
        <is>
          <t>JÖNKÖPINGS LÄN</t>
        </is>
      </c>
      <c r="G273" t="inlineStr">
        <is>
          <t>SÄVSJÖ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42394-2022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46216</v>
      </c>
      <c r="F274" t="inlineStr">
        <is>
          <t>JÖNKÖPINGS LÄN</t>
        </is>
      </c>
      <c r="G274" t="inlineStr">
        <is>
          <t>SÄVSJÖ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37545-2025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45879</v>
      </c>
      <c r="E275" s="1" t="n">
        <v>46216</v>
      </c>
      <c r="F275" t="inlineStr">
        <is>
          <t>JÖNKÖPINGS LÄN</t>
        </is>
      </c>
      <c r="G275" t="inlineStr">
        <is>
          <t>SÄVSJÖ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37108-2022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46216</v>
      </c>
      <c r="F276" t="inlineStr">
        <is>
          <t>JÖNKÖPINGS LÄN</t>
        </is>
      </c>
      <c r="G276" t="inlineStr">
        <is>
          <t>SÄVSJÖ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26380-2024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46216</v>
      </c>
      <c r="F277" t="inlineStr">
        <is>
          <t>JÖNKÖPINGS LÄN</t>
        </is>
      </c>
      <c r="G277" t="inlineStr">
        <is>
          <t>SÄVSJÖ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36183-2024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46216</v>
      </c>
      <c r="F278" t="inlineStr">
        <is>
          <t>JÖNKÖPINGS LÄN</t>
        </is>
      </c>
      <c r="G278" t="inlineStr">
        <is>
          <t>SÄVSJÖ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38699-2023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46216</v>
      </c>
      <c r="F279" t="inlineStr">
        <is>
          <t>JÖNKÖPINGS LÄN</t>
        </is>
      </c>
      <c r="G279" t="inlineStr">
        <is>
          <t>SÄVSJÖ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38333-2023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46216</v>
      </c>
      <c r="F280" t="inlineStr">
        <is>
          <t>JÖNKÖPINGS LÄN</t>
        </is>
      </c>
      <c r="G280" t="inlineStr">
        <is>
          <t>SÄVSJÖ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45660</v>
      </c>
      <c r="E281" s="1" t="n">
        <v>46216</v>
      </c>
      <c r="F281" t="inlineStr">
        <is>
          <t>JÖNKÖPINGS LÄN</t>
        </is>
      </c>
      <c r="G281" t="inlineStr">
        <is>
          <t>SÄVSJÖ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33220-2023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46216</v>
      </c>
      <c r="F282" t="inlineStr">
        <is>
          <t>JÖNKÖPINGS LÄN</t>
        </is>
      </c>
      <c r="G282" t="inlineStr">
        <is>
          <t>SÄVSJÖ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57851-2023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46216</v>
      </c>
      <c r="F283" t="inlineStr">
        <is>
          <t>JÖNKÖPINGS LÄN</t>
        </is>
      </c>
      <c r="G283" t="inlineStr">
        <is>
          <t>SÄVSJÖ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55258-2021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44475</v>
      </c>
      <c r="E284" s="1" t="n">
        <v>46216</v>
      </c>
      <c r="F284" t="inlineStr">
        <is>
          <t>JÖNKÖPINGS LÄN</t>
        </is>
      </c>
      <c r="G284" t="inlineStr">
        <is>
          <t>SÄVSJÖ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16842-2024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45411</v>
      </c>
      <c r="E285" s="1" t="n">
        <v>46216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59125-2023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46216</v>
      </c>
      <c r="F286" t="inlineStr">
        <is>
          <t>JÖNKÖPINGS LÄN</t>
        </is>
      </c>
      <c r="G286" t="inlineStr">
        <is>
          <t>SÄVSJÖ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61556-2025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46001</v>
      </c>
      <c r="E287" s="1" t="n">
        <v>46216</v>
      </c>
      <c r="F287" t="inlineStr">
        <is>
          <t>JÖNKÖPINGS LÄN</t>
        </is>
      </c>
      <c r="G287" t="inlineStr">
        <is>
          <t>SÄVSJÖ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64126-2021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44510</v>
      </c>
      <c r="E288" s="1" t="n">
        <v>46216</v>
      </c>
      <c r="F288" t="inlineStr">
        <is>
          <t>JÖNKÖPINGS LÄN</t>
        </is>
      </c>
      <c r="G288" t="inlineStr">
        <is>
          <t>SÄVSJÖ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62421-2023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45268</v>
      </c>
      <c r="E289" s="1" t="n">
        <v>46216</v>
      </c>
      <c r="F289" t="inlineStr">
        <is>
          <t>JÖNKÖPINGS LÄN</t>
        </is>
      </c>
      <c r="G289" t="inlineStr">
        <is>
          <t>SÄVSJÖ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6649-2024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45341</v>
      </c>
      <c r="E290" s="1" t="n">
        <v>46216</v>
      </c>
      <c r="F290" t="inlineStr">
        <is>
          <t>JÖNKÖPINGS LÄN</t>
        </is>
      </c>
      <c r="G290" t="inlineStr">
        <is>
          <t>SÄVSJÖ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8536-2024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45355</v>
      </c>
      <c r="E291" s="1" t="n">
        <v>46216</v>
      </c>
      <c r="F291" t="inlineStr">
        <is>
          <t>JÖNKÖPINGS LÄN</t>
        </is>
      </c>
      <c r="G291" t="inlineStr">
        <is>
          <t>SÄVSJÖ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46216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38283-2023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46216</v>
      </c>
      <c r="F293" t="inlineStr">
        <is>
          <t>JÖNKÖPINGS LÄN</t>
        </is>
      </c>
      <c r="G293" t="inlineStr">
        <is>
          <t>SÄVSJÖ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37611-2024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46216</v>
      </c>
      <c r="F294" t="inlineStr">
        <is>
          <t>JÖNKÖPINGS LÄN</t>
        </is>
      </c>
      <c r="G294" t="inlineStr">
        <is>
          <t>SÄVSJÖ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24253-2023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46216</v>
      </c>
      <c r="F295" t="inlineStr">
        <is>
          <t>JÖNKÖPINGS LÄN</t>
        </is>
      </c>
      <c r="G295" t="inlineStr">
        <is>
          <t>SÄVSJÖ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20915-2023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45061</v>
      </c>
      <c r="E296" s="1" t="n">
        <v>46216</v>
      </c>
      <c r="F296" t="inlineStr">
        <is>
          <t>JÖNKÖPINGS LÄN</t>
        </is>
      </c>
      <c r="G296" t="inlineStr">
        <is>
          <t>SÄVSJÖ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44957</v>
      </c>
      <c r="E297" s="1" t="n">
        <v>46216</v>
      </c>
      <c r="F297" t="inlineStr">
        <is>
          <t>JÖNKÖPINGS LÄN</t>
        </is>
      </c>
      <c r="G297" t="inlineStr">
        <is>
          <t>SÄVSJÖ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45748</v>
      </c>
      <c r="E298" s="1" t="n">
        <v>46216</v>
      </c>
      <c r="F298" t="inlineStr">
        <is>
          <t>JÖNKÖPINGS LÄN</t>
        </is>
      </c>
      <c r="G298" t="inlineStr">
        <is>
          <t>SÄVSJÖ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55482-2023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45238</v>
      </c>
      <c r="E299" s="1" t="n">
        <v>46216</v>
      </c>
      <c r="F299" t="inlineStr">
        <is>
          <t>JÖNKÖPINGS LÄN</t>
        </is>
      </c>
      <c r="G299" t="inlineStr">
        <is>
          <t>SÄVSJÖ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57928-2023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45244</v>
      </c>
      <c r="E300" s="1" t="n">
        <v>46216</v>
      </c>
      <c r="F300" t="inlineStr">
        <is>
          <t>JÖNKÖPINGS LÄN</t>
        </is>
      </c>
      <c r="G300" t="inlineStr">
        <is>
          <t>SÄVSJÖ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49449-2023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46216</v>
      </c>
      <c r="F301" t="inlineStr">
        <is>
          <t>JÖNKÖPINGS LÄN</t>
        </is>
      </c>
      <c r="G301" t="inlineStr">
        <is>
          <t>SÄVSJÖ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26673-2026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46216</v>
      </c>
      <c r="F302" t="inlineStr">
        <is>
          <t>JÖNKÖPINGS LÄN</t>
        </is>
      </c>
      <c r="G302" t="inlineStr">
        <is>
          <t>SÄVSJÖ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46216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63308-2023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46216</v>
      </c>
      <c r="F304" t="inlineStr">
        <is>
          <t>JÖNKÖPINGS LÄN</t>
        </is>
      </c>
      <c r="G304" t="inlineStr">
        <is>
          <t>SÄVSJÖ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51795-2022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44872</v>
      </c>
      <c r="E305" s="1" t="n">
        <v>46216</v>
      </c>
      <c r="F305" t="inlineStr">
        <is>
          <t>JÖNKÖPINGS LÄN</t>
        </is>
      </c>
      <c r="G305" t="inlineStr">
        <is>
          <t>SÄVSJÖ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46216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29009-2023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46216</v>
      </c>
      <c r="F307" t="inlineStr">
        <is>
          <t>JÖNKÖPINGS LÄN</t>
        </is>
      </c>
      <c r="G307" t="inlineStr">
        <is>
          <t>SÄVSJÖ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40575-2023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46216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44590</v>
      </c>
      <c r="E309" s="1" t="n">
        <v>46216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55881-2024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46216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52965-2024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45611</v>
      </c>
      <c r="E311" s="1" t="n">
        <v>46216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27890-2026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46191</v>
      </c>
      <c r="E312" s="1" t="n">
        <v>46216</v>
      </c>
      <c r="F312" t="inlineStr">
        <is>
          <t>JÖNKÖPINGS LÄN</t>
        </is>
      </c>
      <c r="G312" t="inlineStr">
        <is>
          <t>SÄVSJÖ</t>
        </is>
      </c>
      <c r="H312" t="inlineStr">
        <is>
          <t>Kommuner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57471-2022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46216</v>
      </c>
      <c r="F313" t="inlineStr">
        <is>
          <t>JÖNKÖPINGS LÄN</t>
        </is>
      </c>
      <c r="G313" t="inlineStr">
        <is>
          <t>SÄVSJÖ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55381-2023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46216</v>
      </c>
      <c r="F314" t="inlineStr">
        <is>
          <t>JÖNKÖPINGS LÄN</t>
        </is>
      </c>
      <c r="G314" t="inlineStr">
        <is>
          <t>SÄVSJÖ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27897-2026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46216</v>
      </c>
      <c r="F315" t="inlineStr">
        <is>
          <t>JÖNKÖPINGS LÄN</t>
        </is>
      </c>
      <c r="G315" t="inlineStr">
        <is>
          <t>SÄVSJÖ</t>
        </is>
      </c>
      <c r="H315" t="inlineStr">
        <is>
          <t>Kommuner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8748-2023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44972</v>
      </c>
      <c r="E316" s="1" t="n">
        <v>46216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35320-2023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45146</v>
      </c>
      <c r="E317" s="1" t="n">
        <v>46216</v>
      </c>
      <c r="F317" t="inlineStr">
        <is>
          <t>JÖNKÖPINGS LÄN</t>
        </is>
      </c>
      <c r="G317" t="inlineStr">
        <is>
          <t>SÄVSJÖ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23637-2024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45454</v>
      </c>
      <c r="E318" s="1" t="n">
        <v>46216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50564-2024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45601</v>
      </c>
      <c r="E319" s="1" t="n">
        <v>46216</v>
      </c>
      <c r="F319" t="inlineStr">
        <is>
          <t>JÖNKÖPINGS LÄN</t>
        </is>
      </c>
      <c r="G319" t="inlineStr">
        <is>
          <t>SÄVSJÖ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59126-2023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45253</v>
      </c>
      <c r="E320" s="1" t="n">
        <v>46216</v>
      </c>
      <c r="F320" t="inlineStr">
        <is>
          <t>JÖNKÖPINGS LÄN</t>
        </is>
      </c>
      <c r="G320" t="inlineStr">
        <is>
          <t>SÄVSJÖ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30364-2023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46216</v>
      </c>
      <c r="F321" t="inlineStr">
        <is>
          <t>JÖNKÖPINGS LÄN</t>
        </is>
      </c>
      <c r="G321" t="inlineStr">
        <is>
          <t>SÄVSJÖ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8121-2025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45707</v>
      </c>
      <c r="E322" s="1" t="n">
        <v>46216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16403-2023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46216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35812-2023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46216</v>
      </c>
      <c r="F324" t="inlineStr">
        <is>
          <t>JÖNKÖPINGS LÄN</t>
        </is>
      </c>
      <c r="G324" t="inlineStr">
        <is>
          <t>SÄVSJÖ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38072-2023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45160</v>
      </c>
      <c r="E325" s="1" t="n">
        <v>46216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18174-2026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46125</v>
      </c>
      <c r="E326" s="1" t="n">
        <v>46216</v>
      </c>
      <c r="F326" t="inlineStr">
        <is>
          <t>JÖNKÖPINGS LÄN</t>
        </is>
      </c>
      <c r="G326" t="inlineStr">
        <is>
          <t>SÄVSJÖ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2635-2023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44942</v>
      </c>
      <c r="E327" s="1" t="n">
        <v>46216</v>
      </c>
      <c r="F327" t="inlineStr">
        <is>
          <t>JÖNKÖPINGS LÄN</t>
        </is>
      </c>
      <c r="G327" t="inlineStr">
        <is>
          <t>SÄVSJÖ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46216</v>
      </c>
      <c r="F328" t="inlineStr">
        <is>
          <t>JÖNKÖPINGS LÄN</t>
        </is>
      </c>
      <c r="G328" t="inlineStr">
        <is>
          <t>SÄVSJÖ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62182-2023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46216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44944</v>
      </c>
      <c r="E330" s="1" t="n">
        <v>46216</v>
      </c>
      <c r="F330" t="inlineStr">
        <is>
          <t>JÖNKÖPINGS LÄN</t>
        </is>
      </c>
      <c r="G330" t="inlineStr">
        <is>
          <t>SÄVSJÖ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18978-2024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45427</v>
      </c>
      <c r="E331" s="1" t="n">
        <v>46216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14159-2022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44651</v>
      </c>
      <c r="E332" s="1" t="n">
        <v>46216</v>
      </c>
      <c r="F332" t="inlineStr">
        <is>
          <t>JÖNKÖPINGS LÄN</t>
        </is>
      </c>
      <c r="G332" t="inlineStr">
        <is>
          <t>SÄVSJÖ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6914-2023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46216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49292-2023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45210</v>
      </c>
      <c r="E334" s="1" t="n">
        <v>46216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27015-2023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45094</v>
      </c>
      <c r="E335" s="1" t="n">
        <v>46216</v>
      </c>
      <c r="F335" t="inlineStr">
        <is>
          <t>JÖNKÖPINGS LÄN</t>
        </is>
      </c>
      <c r="G335" t="inlineStr">
        <is>
          <t>SÄVSJÖ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5706-2025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45694</v>
      </c>
      <c r="E336" s="1" t="n">
        <v>46216</v>
      </c>
      <c r="F336" t="inlineStr">
        <is>
          <t>JÖNKÖPINGS LÄN</t>
        </is>
      </c>
      <c r="G336" t="inlineStr">
        <is>
          <t>SÄVSJÖ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45694</v>
      </c>
      <c r="E337" s="1" t="n">
        <v>46216</v>
      </c>
      <c r="F337" t="inlineStr">
        <is>
          <t>JÖNKÖPINGS LÄN</t>
        </is>
      </c>
      <c r="G337" t="inlineStr">
        <is>
          <t>SÄVSJÖ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5875-2025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45695</v>
      </c>
      <c r="E338" s="1" t="n">
        <v>46216</v>
      </c>
      <c r="F338" t="inlineStr">
        <is>
          <t>JÖNKÖPINGS LÄN</t>
        </is>
      </c>
      <c r="G338" t="inlineStr">
        <is>
          <t>SÄVSJÖ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44245-2022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44839</v>
      </c>
      <c r="E339" s="1" t="n">
        <v>46216</v>
      </c>
      <c r="F339" t="inlineStr">
        <is>
          <t>JÖNKÖPINGS LÄN</t>
        </is>
      </c>
      <c r="G339" t="inlineStr">
        <is>
          <t>SÄVSJÖ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55909-2024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45623</v>
      </c>
      <c r="E340" s="1" t="n">
        <v>46216</v>
      </c>
      <c r="F340" t="inlineStr">
        <is>
          <t>JÖNKÖPINGS LÄN</t>
        </is>
      </c>
      <c r="G340" t="inlineStr">
        <is>
          <t>SÄVSJÖ</t>
        </is>
      </c>
      <c r="H340" t="inlineStr">
        <is>
          <t>Kommuner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7358-2025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45704</v>
      </c>
      <c r="E341" s="1" t="n">
        <v>46216</v>
      </c>
      <c r="F341" t="inlineStr">
        <is>
          <t>JÖNKÖPINGS LÄN</t>
        </is>
      </c>
      <c r="G341" t="inlineStr">
        <is>
          <t>SÄVSJÖ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3306-2024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45317</v>
      </c>
      <c r="E342" s="1" t="n">
        <v>46216</v>
      </c>
      <c r="F342" t="inlineStr">
        <is>
          <t>JÖNKÖPINGS LÄN</t>
        </is>
      </c>
      <c r="G342" t="inlineStr">
        <is>
          <t>SÄVSJÖ</t>
        </is>
      </c>
      <c r="I342" t="n">
        <v>19.9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11258-2024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46216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11263-2024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45371</v>
      </c>
      <c r="E344" s="1" t="n">
        <v>46216</v>
      </c>
      <c r="F344" t="inlineStr">
        <is>
          <t>JÖNKÖPINGS LÄN</t>
        </is>
      </c>
      <c r="G344" t="inlineStr">
        <is>
          <t>SÄVSJÖ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53916-2021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44469</v>
      </c>
      <c r="E345" s="1" t="n">
        <v>46216</v>
      </c>
      <c r="F345" t="inlineStr">
        <is>
          <t>JÖNKÖPINGS LÄN</t>
        </is>
      </c>
      <c r="G345" t="inlineStr">
        <is>
          <t>SÄVSJÖ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42400-2022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44830</v>
      </c>
      <c r="E346" s="1" t="n">
        <v>46216</v>
      </c>
      <c r="F346" t="inlineStr">
        <is>
          <t>JÖNKÖPINGS LÄN</t>
        </is>
      </c>
      <c r="G346" t="inlineStr">
        <is>
          <t>SÄVSJÖ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63679-2023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45275</v>
      </c>
      <c r="E347" s="1" t="n">
        <v>46216</v>
      </c>
      <c r="F347" t="inlineStr">
        <is>
          <t>JÖNKÖPINGS LÄN</t>
        </is>
      </c>
      <c r="G347" t="inlineStr">
        <is>
          <t>SÄVSJÖ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54600-2022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44883</v>
      </c>
      <c r="E348" s="1" t="n">
        <v>46216</v>
      </c>
      <c r="F348" t="inlineStr">
        <is>
          <t>JÖNKÖPINGS LÄN</t>
        </is>
      </c>
      <c r="G348" t="inlineStr">
        <is>
          <t>SÄVSJÖ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60915-2023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46216</v>
      </c>
      <c r="F349" t="inlineStr">
        <is>
          <t>JÖNKÖPINGS LÄN</t>
        </is>
      </c>
      <c r="G349" t="inlineStr">
        <is>
          <t>SÄVSJÖ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55254-2021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46216</v>
      </c>
      <c r="F350" t="inlineStr">
        <is>
          <t>JÖNKÖPINGS LÄN</t>
        </is>
      </c>
      <c r="G350" t="inlineStr">
        <is>
          <t>SÄVSJÖ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45301</v>
      </c>
      <c r="E351" s="1" t="n">
        <v>46216</v>
      </c>
      <c r="F351" t="inlineStr">
        <is>
          <t>JÖNKÖPINGS LÄN</t>
        </is>
      </c>
      <c r="G351" t="inlineStr">
        <is>
          <t>SÄVSJÖ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35843-2024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45532</v>
      </c>
      <c r="E352" s="1" t="n">
        <v>46216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15054-2023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46216</v>
      </c>
      <c r="F353" t="inlineStr">
        <is>
          <t>JÖNKÖPINGS LÄN</t>
        </is>
      </c>
      <c r="G353" t="inlineStr">
        <is>
          <t>SÄVSJÖ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17779-2025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46216</v>
      </c>
      <c r="F354" t="inlineStr">
        <is>
          <t>JÖNKÖPINGS LÄN</t>
        </is>
      </c>
      <c r="G354" t="inlineStr">
        <is>
          <t>SÄVSJÖ</t>
        </is>
      </c>
      <c r="H354" t="inlineStr">
        <is>
          <t>Kyrkan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5679-2024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45334</v>
      </c>
      <c r="E355" s="1" t="n">
        <v>46216</v>
      </c>
      <c r="F355" t="inlineStr">
        <is>
          <t>JÖNKÖPINGS LÄN</t>
        </is>
      </c>
      <c r="G355" t="inlineStr">
        <is>
          <t>SÄVSJÖ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31788-2023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46216</v>
      </c>
      <c r="F356" t="inlineStr">
        <is>
          <t>JÖNKÖPINGS LÄN</t>
        </is>
      </c>
      <c r="G356" t="inlineStr">
        <is>
          <t>SÄVSJÖ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23776-2026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46164</v>
      </c>
      <c r="E357" s="1" t="n">
        <v>46216</v>
      </c>
      <c r="F357" t="inlineStr">
        <is>
          <t>JÖNKÖPINGS LÄN</t>
        </is>
      </c>
      <c r="G357" t="inlineStr">
        <is>
          <t>SÄVSJÖ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23816-2026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46165</v>
      </c>
      <c r="E358" s="1" t="n">
        <v>46216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46216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51938-2024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46216</v>
      </c>
      <c r="F360" t="inlineStr">
        <is>
          <t>JÖNKÖPINGS LÄN</t>
        </is>
      </c>
      <c r="G360" t="inlineStr">
        <is>
          <t>SÄVSJÖ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21788-2023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45066</v>
      </c>
      <c r="E361" s="1" t="n">
        <v>46216</v>
      </c>
      <c r="F361" t="inlineStr">
        <is>
          <t>JÖNKÖPINGS LÄN</t>
        </is>
      </c>
      <c r="G361" t="inlineStr">
        <is>
          <t>SÄVSJÖ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22730-2024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46216</v>
      </c>
      <c r="F362" t="inlineStr">
        <is>
          <t>JÖNKÖPINGS LÄN</t>
        </is>
      </c>
      <c r="G362" t="inlineStr">
        <is>
          <t>SÄVSJÖ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51809-2024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46216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24232-2026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46216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10516-2024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46216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46609-2023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46216</v>
      </c>
      <c r="F366" t="inlineStr">
        <is>
          <t>JÖNKÖPINGS LÄN</t>
        </is>
      </c>
      <c r="G366" t="inlineStr">
        <is>
          <t>SÄVSJÖ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62177-2023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45267</v>
      </c>
      <c r="E367" s="1" t="n">
        <v>46216</v>
      </c>
      <c r="F367" t="inlineStr">
        <is>
          <t>JÖNKÖPINGS LÄN</t>
        </is>
      </c>
      <c r="G367" t="inlineStr">
        <is>
          <t>SÄVSJÖ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49598-2023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45211</v>
      </c>
      <c r="E368" s="1" t="n">
        <v>46216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29013-2023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46216</v>
      </c>
      <c r="F369" t="inlineStr">
        <is>
          <t>JÖNKÖPINGS LÄN</t>
        </is>
      </c>
      <c r="G369" t="inlineStr">
        <is>
          <t>SÄVSJÖ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51921-2023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46216</v>
      </c>
      <c r="F370" t="inlineStr">
        <is>
          <t>JÖNKÖPINGS LÄN</t>
        </is>
      </c>
      <c r="G370" t="inlineStr">
        <is>
          <t>SÄVSJÖ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17308-2024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46216</v>
      </c>
      <c r="F371" t="inlineStr">
        <is>
          <t>JÖNKÖPINGS LÄN</t>
        </is>
      </c>
      <c r="G371" t="inlineStr">
        <is>
          <t>SÄVSJÖ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60805-2024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45644</v>
      </c>
      <c r="E372" s="1" t="n">
        <v>46216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44397-2024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46216</v>
      </c>
      <c r="F373" t="inlineStr">
        <is>
          <t>JÖNKÖPINGS LÄN</t>
        </is>
      </c>
      <c r="G373" t="inlineStr">
        <is>
          <t>SÄVSJÖ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22733-2024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45448</v>
      </c>
      <c r="E374" s="1" t="n">
        <v>46216</v>
      </c>
      <c r="F374" t="inlineStr">
        <is>
          <t>JÖNKÖPINGS LÄN</t>
        </is>
      </c>
      <c r="G374" t="inlineStr">
        <is>
          <t>SÄVSJÖ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61331-2024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46216</v>
      </c>
      <c r="F375" t="inlineStr">
        <is>
          <t>JÖNKÖPINGS LÄN</t>
        </is>
      </c>
      <c r="G375" t="inlineStr">
        <is>
          <t>SÄVSJÖ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11185-2025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45725</v>
      </c>
      <c r="E376" s="1" t="n">
        <v>46216</v>
      </c>
      <c r="F376" t="inlineStr">
        <is>
          <t>JÖNKÖPINGS LÄN</t>
        </is>
      </c>
      <c r="G376" t="inlineStr">
        <is>
          <t>SÄVSJÖ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17127-2024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45412</v>
      </c>
      <c r="E377" s="1" t="n">
        <v>46216</v>
      </c>
      <c r="F377" t="inlineStr">
        <is>
          <t>JÖNKÖPINGS LÄN</t>
        </is>
      </c>
      <c r="G377" t="inlineStr">
        <is>
          <t>SÄVSJÖ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23151-2025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45791</v>
      </c>
      <c r="E378" s="1" t="n">
        <v>46216</v>
      </c>
      <c r="F378" t="inlineStr">
        <is>
          <t>JÖNKÖPINGS LÄN</t>
        </is>
      </c>
      <c r="G378" t="inlineStr">
        <is>
          <t>SÄVSJÖ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53154-2024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46216</v>
      </c>
      <c r="F379" t="inlineStr">
        <is>
          <t>JÖNKÖPINGS LÄN</t>
        </is>
      </c>
      <c r="G379" t="inlineStr">
        <is>
          <t>SÄVSJÖ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23396-2025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45791</v>
      </c>
      <c r="E380" s="1" t="n">
        <v>46216</v>
      </c>
      <c r="F380" t="inlineStr">
        <is>
          <t>JÖNKÖPINGS LÄN</t>
        </is>
      </c>
      <c r="G380" t="inlineStr">
        <is>
          <t>SÄVSJÖ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61610-2024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45646</v>
      </c>
      <c r="E381" s="1" t="n">
        <v>46216</v>
      </c>
      <c r="F381" t="inlineStr">
        <is>
          <t>JÖNKÖPINGS LÄN</t>
        </is>
      </c>
      <c r="G381" t="inlineStr">
        <is>
          <t>SÄVSJÖ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12794-2025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45733</v>
      </c>
      <c r="E382" s="1" t="n">
        <v>46216</v>
      </c>
      <c r="F382" t="inlineStr">
        <is>
          <t>JÖNKÖPINGS LÄN</t>
        </is>
      </c>
      <c r="G382" t="inlineStr">
        <is>
          <t>SÄVSJÖ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6558-2022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44882</v>
      </c>
      <c r="E383" s="1" t="n">
        <v>46216</v>
      </c>
      <c r="F383" t="inlineStr">
        <is>
          <t>JÖNKÖPINGS LÄN</t>
        </is>
      </c>
      <c r="G383" t="inlineStr">
        <is>
          <t>SÄVSJÖ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2542-2023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45139</v>
      </c>
      <c r="E384" s="1" t="n">
        <v>46216</v>
      </c>
      <c r="F384" t="inlineStr">
        <is>
          <t>JÖNKÖPINGS LÄN</t>
        </is>
      </c>
      <c r="G384" t="inlineStr">
        <is>
          <t>SÄVSJÖ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1675-2023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45063</v>
      </c>
      <c r="E385" s="1" t="n">
        <v>46216</v>
      </c>
      <c r="F385" t="inlineStr">
        <is>
          <t>JÖNKÖPINGS LÄN</t>
        </is>
      </c>
      <c r="G385" t="inlineStr">
        <is>
          <t>SÄVSJÖ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1674-2023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45063</v>
      </c>
      <c r="E386" s="1" t="n">
        <v>46216</v>
      </c>
      <c r="F386" t="inlineStr">
        <is>
          <t>JÖNKÖPINGS LÄN</t>
        </is>
      </c>
      <c r="G386" t="inlineStr">
        <is>
          <t>SÄVSJÖ</t>
        </is>
      </c>
      <c r="I386" t="n">
        <v>10.4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2964-2023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45173</v>
      </c>
      <c r="E387" s="1" t="n">
        <v>46216</v>
      </c>
      <c r="F387" t="inlineStr">
        <is>
          <t>JÖNKÖPINGS LÄN</t>
        </is>
      </c>
      <c r="G387" t="inlineStr">
        <is>
          <t>SÄVSJÖ</t>
        </is>
      </c>
      <c r="I387" t="n">
        <v>54.6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2661-2023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45152</v>
      </c>
      <c r="E388" s="1" t="n">
        <v>46216</v>
      </c>
      <c r="F388" t="inlineStr">
        <is>
          <t>JÖNKÖPINGS LÄN</t>
        </is>
      </c>
      <c r="G388" t="inlineStr">
        <is>
          <t>SÄVSJÖ</t>
        </is>
      </c>
      <c r="I388" t="n">
        <v>21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10445-2021</t>
        </is>
      </c>
      <c r="B389" t="inlineStr">
        <is>
          <t>samrådsanmälan</t>
        </is>
      </c>
      <c r="C389" t="inlineStr">
        <is>
          <t>Skogsbilväg</t>
        </is>
      </c>
      <c r="D389" s="1" t="n">
        <v>44558</v>
      </c>
      <c r="E389" s="1" t="n">
        <v>46216</v>
      </c>
      <c r="F389" t="inlineStr">
        <is>
          <t>JÖNKÖPINGS LÄN</t>
        </is>
      </c>
      <c r="G389" t="inlineStr">
        <is>
          <t>SÄVSJÖ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2660-2023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45152</v>
      </c>
      <c r="E390" s="1" t="n">
        <v>46216</v>
      </c>
      <c r="F390" t="inlineStr">
        <is>
          <t>JÖNKÖPINGS LÄN</t>
        </is>
      </c>
      <c r="G390" t="inlineStr">
        <is>
          <t>SÄVSJÖ</t>
        </is>
      </c>
      <c r="I390" t="n">
        <v>14.2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4880-2024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45620</v>
      </c>
      <c r="E391" s="1" t="n">
        <v>46216</v>
      </c>
      <c r="F391" t="inlineStr">
        <is>
          <t>JÖNKÖPINGS LÄN</t>
        </is>
      </c>
      <c r="G391" t="inlineStr">
        <is>
          <t>SÄVSJÖ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4563-2024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45600</v>
      </c>
      <c r="E392" s="1" t="n">
        <v>46216</v>
      </c>
      <c r="F392" t="inlineStr">
        <is>
          <t>JÖNKÖPINGS LÄN</t>
        </is>
      </c>
      <c r="G392" t="inlineStr">
        <is>
          <t>SÄVSJÖ</t>
        </is>
      </c>
      <c r="I392" t="n">
        <v>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2576-2023</t>
        </is>
      </c>
      <c r="B393" t="inlineStr">
        <is>
          <t>samrådsanmälan</t>
        </is>
      </c>
      <c r="C393" t="inlineStr">
        <is>
          <t>Stubbskörd</t>
        </is>
      </c>
      <c r="D393" s="1" t="n">
        <v>45141</v>
      </c>
      <c r="E393" s="1" t="n">
        <v>46216</v>
      </c>
      <c r="F393" t="inlineStr">
        <is>
          <t>JÖNKÖPINGS LÄN</t>
        </is>
      </c>
      <c r="G393" t="inlineStr">
        <is>
          <t>SÄVSJÖ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1237-2025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45762</v>
      </c>
      <c r="E394" s="1" t="n">
        <v>46216</v>
      </c>
      <c r="F394" t="inlineStr">
        <is>
          <t>JÖNKÖPINGS LÄN</t>
        </is>
      </c>
      <c r="G394" t="inlineStr">
        <is>
          <t>SÄVSJÖ</t>
        </is>
      </c>
      <c r="I394" t="n">
        <v>28.5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1374-2025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45776</v>
      </c>
      <c r="E395" s="1" t="n">
        <v>46216</v>
      </c>
      <c r="F395" t="inlineStr">
        <is>
          <t>JÖNKÖPINGS LÄN</t>
        </is>
      </c>
      <c r="G395" t="inlineStr">
        <is>
          <t>SÄVSJÖ</t>
        </is>
      </c>
      <c r="H395" t="inlineStr">
        <is>
          <t>Sveaskog</t>
        </is>
      </c>
      <c r="I395" t="n">
        <v>63.1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1459-2025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45786</v>
      </c>
      <c r="E396" s="1" t="n">
        <v>46216</v>
      </c>
      <c r="F396" t="inlineStr">
        <is>
          <t>JÖNKÖPINGS LÄN</t>
        </is>
      </c>
      <c r="G396" t="inlineStr">
        <is>
          <t>SÄVSJÖ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1457-2025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45785</v>
      </c>
      <c r="E397" s="1" t="n">
        <v>46216</v>
      </c>
      <c r="F397" t="inlineStr">
        <is>
          <t>JÖNKÖPINGS LÄN</t>
        </is>
      </c>
      <c r="G397" t="inlineStr">
        <is>
          <t>SÄVSJÖ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1570-2025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45794</v>
      </c>
      <c r="E398" s="1" t="n">
        <v>46216</v>
      </c>
      <c r="F398" t="inlineStr">
        <is>
          <t>JÖNKÖPINGS LÄN</t>
        </is>
      </c>
      <c r="G398" t="inlineStr">
        <is>
          <t>SÄVSJÖ</t>
        </is>
      </c>
      <c r="H398" t="inlineStr">
        <is>
          <t>Kyrkan</t>
        </is>
      </c>
      <c r="I398" t="n">
        <v>57.8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1571-2025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45794</v>
      </c>
      <c r="E399" s="1" t="n">
        <v>46216</v>
      </c>
      <c r="F399" t="inlineStr">
        <is>
          <t>JÖNKÖPINGS LÄN</t>
        </is>
      </c>
      <c r="G399" t="inlineStr">
        <is>
          <t>SÄVSJÖ</t>
        </is>
      </c>
      <c r="H399" t="inlineStr">
        <is>
          <t>Kyrkan</t>
        </is>
      </c>
      <c r="I399" t="n">
        <v>153.1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573-2025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45712</v>
      </c>
      <c r="E400" s="1" t="n">
        <v>46216</v>
      </c>
      <c r="F400" t="inlineStr">
        <is>
          <t>JÖNKÖPINGS LÄN</t>
        </is>
      </c>
      <c r="G400" t="inlineStr">
        <is>
          <t>SÄVSJÖ</t>
        </is>
      </c>
      <c r="I400" t="n">
        <v>34.5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578-2025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45712</v>
      </c>
      <c r="E401" s="1" t="n">
        <v>46216</v>
      </c>
      <c r="F401" t="inlineStr">
        <is>
          <t>JÖNKÖPINGS LÄN</t>
        </is>
      </c>
      <c r="G401" t="inlineStr">
        <is>
          <t>SÄVSJÖ</t>
        </is>
      </c>
      <c r="I401" t="n">
        <v>29.5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1812-2025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45818</v>
      </c>
      <c r="E402" s="1" t="n">
        <v>46216</v>
      </c>
      <c r="F402" t="inlineStr">
        <is>
          <t>JÖNKÖPINGS LÄN</t>
        </is>
      </c>
      <c r="G402" t="inlineStr">
        <is>
          <t>SÄVSJÖ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2071-2025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45840</v>
      </c>
      <c r="E403" s="1" t="n">
        <v>46216</v>
      </c>
      <c r="F403" t="inlineStr">
        <is>
          <t>JÖNKÖPINGS LÄN</t>
        </is>
      </c>
      <c r="G403" t="inlineStr">
        <is>
          <t>SÄVSJÖ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3270-2025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45985</v>
      </c>
      <c r="E404" s="1" t="n">
        <v>46216</v>
      </c>
      <c r="F404" t="inlineStr">
        <is>
          <t>JÖNKÖPINGS LÄN</t>
        </is>
      </c>
      <c r="G404" t="inlineStr">
        <is>
          <t>SÄVSJÖ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3271-2025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45985</v>
      </c>
      <c r="E405" s="1" t="n">
        <v>46216</v>
      </c>
      <c r="F405" t="inlineStr">
        <is>
          <t>JÖNKÖPINGS LÄN</t>
        </is>
      </c>
      <c r="G405" t="inlineStr">
        <is>
          <t>SÄVSJÖ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3268-2025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45985</v>
      </c>
      <c r="E406" s="1" t="n">
        <v>46216</v>
      </c>
      <c r="F406" t="inlineStr">
        <is>
          <t>JÖNKÖPINGS LÄN</t>
        </is>
      </c>
      <c r="G406" t="inlineStr">
        <is>
          <t>SÄVSJÖ</t>
        </is>
      </c>
      <c r="I406" t="n">
        <v>17.7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460-2026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46073</v>
      </c>
      <c r="E407" s="1" t="n">
        <v>46216</v>
      </c>
      <c r="F407" t="inlineStr">
        <is>
          <t>JÖNKÖPINGS LÄN</t>
        </is>
      </c>
      <c r="G407" t="inlineStr">
        <is>
          <t>SÄVSJÖ</t>
        </is>
      </c>
      <c r="I407" t="n">
        <v>36.7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687-2026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46091</v>
      </c>
      <c r="E408" s="1" t="n">
        <v>46216</v>
      </c>
      <c r="F408" t="inlineStr">
        <is>
          <t>JÖNKÖPINGS LÄN</t>
        </is>
      </c>
      <c r="G408" t="inlineStr">
        <is>
          <t>SÄVSJÖ</t>
        </is>
      </c>
      <c r="I408" t="n">
        <v>46.2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S 690-2026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46091</v>
      </c>
      <c r="E409" s="1" t="n">
        <v>46216</v>
      </c>
      <c r="F409" t="inlineStr">
        <is>
          <t>JÖNKÖPINGS LÄN</t>
        </is>
      </c>
      <c r="G409" t="inlineStr">
        <is>
          <t>SÄVSJÖ</t>
        </is>
      </c>
      <c r="I409" t="n">
        <v>47.4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S 873-2026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46106</v>
      </c>
      <c r="E410" s="1" t="n">
        <v>46216</v>
      </c>
      <c r="F410" t="inlineStr">
        <is>
          <t>JÖNKÖPINGS LÄN</t>
        </is>
      </c>
      <c r="G410" t="inlineStr">
        <is>
          <t>SÄVSJÖ</t>
        </is>
      </c>
      <c r="I410" t="n">
        <v>79.8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S 992-2026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46119</v>
      </c>
      <c r="E411" s="1" t="n">
        <v>46216</v>
      </c>
      <c r="F411" t="inlineStr">
        <is>
          <t>JÖNKÖPINGS LÄN</t>
        </is>
      </c>
      <c r="G411" t="inlineStr">
        <is>
          <t>SÄVSJÖ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>
      <c r="A412" t="inlineStr">
        <is>
          <t>S 1048-2026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46125</v>
      </c>
      <c r="E412" s="1" t="n">
        <v>46216</v>
      </c>
      <c r="F412" t="inlineStr">
        <is>
          <t>JÖNKÖPINGS LÄN</t>
        </is>
      </c>
      <c r="G412" t="inlineStr">
        <is>
          <t>SÄVSJÖ</t>
        </is>
      </c>
      <c r="I412" t="n">
        <v>35.8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2026-07-13T14:47:50Z</dcterms:created>
  <dcterms:modified xmlns:dcterms="http://purl.org/dc/terms/" xmlns:xsi="http://www.w3.org/2001/XMLSchema-instance" xsi:type="dcterms:W3CDTF">2026-07-13T14:47:50Z</dcterms:modified>
</cp:coreProperties>
</file>