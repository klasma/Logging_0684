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7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15408-2025</t>
        </is>
      </c>
      <c r="B2" s="1" t="n">
        <v>45747</v>
      </c>
      <c r="C2" s="1" t="n">
        <v>45879</v>
      </c>
      <c r="D2" t="inlineStr">
        <is>
          <t>JÖNKÖPINGS LÄN</t>
        </is>
      </c>
      <c r="E2" t="inlineStr">
        <is>
          <t>SÄVSJÖ</t>
        </is>
      </c>
      <c r="G2" t="n">
        <v>4.4</v>
      </c>
      <c r="H2" t="n">
        <v>1</v>
      </c>
      <c r="I2" t="n">
        <v>0</v>
      </c>
      <c r="J2" t="n">
        <v>2</v>
      </c>
      <c r="K2" t="n">
        <v>0</v>
      </c>
      <c r="L2" t="n">
        <v>1</v>
      </c>
      <c r="M2" t="n">
        <v>0</v>
      </c>
      <c r="N2" t="n">
        <v>0</v>
      </c>
      <c r="O2" t="n">
        <v>3</v>
      </c>
      <c r="P2" t="n">
        <v>1</v>
      </c>
      <c r="Q2" t="n">
        <v>4</v>
      </c>
      <c r="R2" s="2" t="inlineStr">
        <is>
          <t>Ask
Backstarr
Sommarfibbla
Grönvit nattviol</t>
        </is>
      </c>
      <c r="S2">
        <f>HYPERLINK("https://klasma.github.io/Logging_0684/artfynd/A 15408-2025 artfynd.xlsx", "A 15408-2025")</f>
        <v/>
      </c>
      <c r="T2">
        <f>HYPERLINK("https://klasma.github.io/Logging_0684/kartor/A 15408-2025 karta.png", "A 15408-2025")</f>
        <v/>
      </c>
      <c r="V2">
        <f>HYPERLINK("https://klasma.github.io/Logging_0684/klagomål/A 15408-2025 FSC-klagomål.docx", "A 15408-2025")</f>
        <v/>
      </c>
      <c r="W2">
        <f>HYPERLINK("https://klasma.github.io/Logging_0684/klagomålsmail/A 15408-2025 FSC-klagomål mail.docx", "A 15408-2025")</f>
        <v/>
      </c>
      <c r="X2">
        <f>HYPERLINK("https://klasma.github.io/Logging_0684/tillsyn/A 15408-2025 tillsynsbegäran.docx", "A 15408-2025")</f>
        <v/>
      </c>
      <c r="Y2">
        <f>HYPERLINK("https://klasma.github.io/Logging_0684/tillsynsmail/A 15408-2025 tillsynsbegäran mail.docx", "A 15408-2025")</f>
        <v/>
      </c>
    </row>
    <row r="3" ht="15" customHeight="1">
      <c r="A3" t="inlineStr">
        <is>
          <t>A 46272-2022</t>
        </is>
      </c>
      <c r="B3" s="1" t="n">
        <v>44847</v>
      </c>
      <c r="C3" s="1" t="n">
        <v>45879</v>
      </c>
      <c r="D3" t="inlineStr">
        <is>
          <t>JÖNKÖPINGS LÄN</t>
        </is>
      </c>
      <c r="E3" t="inlineStr">
        <is>
          <t>SÄVSJÖ</t>
        </is>
      </c>
      <c r="G3" t="n">
        <v>6</v>
      </c>
      <c r="H3" t="n">
        <v>1</v>
      </c>
      <c r="I3" t="n">
        <v>0</v>
      </c>
      <c r="J3" t="n">
        <v>0</v>
      </c>
      <c r="K3" t="n">
        <v>1</v>
      </c>
      <c r="L3" t="n">
        <v>1</v>
      </c>
      <c r="M3" t="n">
        <v>0</v>
      </c>
      <c r="N3" t="n">
        <v>0</v>
      </c>
      <c r="O3" t="n">
        <v>2</v>
      </c>
      <c r="P3" t="n">
        <v>2</v>
      </c>
      <c r="Q3" t="n">
        <v>2</v>
      </c>
      <c r="R3" s="2" t="inlineStr">
        <is>
          <t>Mosippa
Slåttergubbe</t>
        </is>
      </c>
      <c r="S3">
        <f>HYPERLINK("https://klasma.github.io/Logging_0684/artfynd/A 46272-2022 artfynd.xlsx", "A 46272-2022")</f>
        <v/>
      </c>
      <c r="T3">
        <f>HYPERLINK("https://klasma.github.io/Logging_0684/kartor/A 46272-2022 karta.png", "A 46272-2022")</f>
        <v/>
      </c>
      <c r="V3">
        <f>HYPERLINK("https://klasma.github.io/Logging_0684/klagomål/A 46272-2022 FSC-klagomål.docx", "A 46272-2022")</f>
        <v/>
      </c>
      <c r="W3">
        <f>HYPERLINK("https://klasma.github.io/Logging_0684/klagomålsmail/A 46272-2022 FSC-klagomål mail.docx", "A 46272-2022")</f>
        <v/>
      </c>
      <c r="X3">
        <f>HYPERLINK("https://klasma.github.io/Logging_0684/tillsyn/A 46272-2022 tillsynsbegäran.docx", "A 46272-2022")</f>
        <v/>
      </c>
      <c r="Y3">
        <f>HYPERLINK("https://klasma.github.io/Logging_0684/tillsynsmail/A 46272-2022 tillsynsbegäran mail.docx", "A 46272-2022")</f>
        <v/>
      </c>
    </row>
    <row r="4" ht="15" customHeight="1">
      <c r="A4" t="inlineStr">
        <is>
          <t>A 22167-2023</t>
        </is>
      </c>
      <c r="B4" s="1" t="n">
        <v>45069.67415509259</v>
      </c>
      <c r="C4" s="1" t="n">
        <v>45879</v>
      </c>
      <c r="D4" t="inlineStr">
        <is>
          <t>JÖNKÖPINGS LÄN</t>
        </is>
      </c>
      <c r="E4" t="inlineStr">
        <is>
          <t>SÄVSJÖ</t>
        </is>
      </c>
      <c r="G4" t="n">
        <v>3.2</v>
      </c>
      <c r="H4" t="n">
        <v>0</v>
      </c>
      <c r="I4" t="n">
        <v>2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2</v>
      </c>
      <c r="R4" s="2" t="inlineStr">
        <is>
          <t>Aprikosfingersvamp
Ängsfingersvamp</t>
        </is>
      </c>
      <c r="S4">
        <f>HYPERLINK("https://klasma.github.io/Logging_0684/artfynd/A 22167-2023 artfynd.xlsx", "A 22167-2023")</f>
        <v/>
      </c>
      <c r="T4">
        <f>HYPERLINK("https://klasma.github.io/Logging_0684/kartor/A 22167-2023 karta.png", "A 22167-2023")</f>
        <v/>
      </c>
      <c r="V4">
        <f>HYPERLINK("https://klasma.github.io/Logging_0684/klagomål/A 22167-2023 FSC-klagomål.docx", "A 22167-2023")</f>
        <v/>
      </c>
      <c r="W4">
        <f>HYPERLINK("https://klasma.github.io/Logging_0684/klagomålsmail/A 22167-2023 FSC-klagomål mail.docx", "A 22167-2023")</f>
        <v/>
      </c>
      <c r="X4">
        <f>HYPERLINK("https://klasma.github.io/Logging_0684/tillsyn/A 22167-2023 tillsynsbegäran.docx", "A 22167-2023")</f>
        <v/>
      </c>
      <c r="Y4">
        <f>HYPERLINK("https://klasma.github.io/Logging_0684/tillsynsmail/A 22167-2023 tillsynsbegäran mail.docx", "A 22167-2023")</f>
        <v/>
      </c>
    </row>
    <row r="5" ht="15" customHeight="1">
      <c r="A5" t="inlineStr">
        <is>
          <t>A 17347-2025</t>
        </is>
      </c>
      <c r="B5" s="1" t="n">
        <v>45756.67384259259</v>
      </c>
      <c r="C5" s="1" t="n">
        <v>45879</v>
      </c>
      <c r="D5" t="inlineStr">
        <is>
          <t>JÖNKÖPINGS LÄN</t>
        </is>
      </c>
      <c r="E5" t="inlineStr">
        <is>
          <t>SÄVSJÖ</t>
        </is>
      </c>
      <c r="F5" t="inlineStr">
        <is>
          <t>Kommuner</t>
        </is>
      </c>
      <c r="G5" t="n">
        <v>2.2</v>
      </c>
      <c r="H5" t="n">
        <v>2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2</v>
      </c>
      <c r="R5" s="2" t="inlineStr">
        <is>
          <t>Mattlummer
Revlummer</t>
        </is>
      </c>
      <c r="S5">
        <f>HYPERLINK("https://klasma.github.io/Logging_0684/artfynd/A 17347-2025 artfynd.xlsx", "A 17347-2025")</f>
        <v/>
      </c>
      <c r="T5">
        <f>HYPERLINK("https://klasma.github.io/Logging_0684/kartor/A 17347-2025 karta.png", "A 17347-2025")</f>
        <v/>
      </c>
      <c r="V5">
        <f>HYPERLINK("https://klasma.github.io/Logging_0684/klagomål/A 17347-2025 FSC-klagomål.docx", "A 17347-2025")</f>
        <v/>
      </c>
      <c r="W5">
        <f>HYPERLINK("https://klasma.github.io/Logging_0684/klagomålsmail/A 17347-2025 FSC-klagomål mail.docx", "A 17347-2025")</f>
        <v/>
      </c>
      <c r="X5">
        <f>HYPERLINK("https://klasma.github.io/Logging_0684/tillsyn/A 17347-2025 tillsynsbegäran.docx", "A 17347-2025")</f>
        <v/>
      </c>
      <c r="Y5">
        <f>HYPERLINK("https://klasma.github.io/Logging_0684/tillsynsmail/A 17347-2025 tillsynsbegäran mail.docx", "A 17347-2025")</f>
        <v/>
      </c>
    </row>
    <row r="6" ht="15" customHeight="1">
      <c r="A6" t="inlineStr">
        <is>
          <t>A 1304-2022</t>
        </is>
      </c>
      <c r="B6" s="1" t="n">
        <v>44572.70938657408</v>
      </c>
      <c r="C6" s="1" t="n">
        <v>45879</v>
      </c>
      <c r="D6" t="inlineStr">
        <is>
          <t>JÖNKÖPINGS LÄN</t>
        </is>
      </c>
      <c r="E6" t="inlineStr">
        <is>
          <t>SÄVSJÖ</t>
        </is>
      </c>
      <c r="G6" t="n">
        <v>3.6</v>
      </c>
      <c r="H6" t="n">
        <v>1</v>
      </c>
      <c r="I6" t="n">
        <v>0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1</v>
      </c>
      <c r="R6" s="2" t="inlineStr">
        <is>
          <t>Fjällvråk</t>
        </is>
      </c>
      <c r="S6">
        <f>HYPERLINK("https://klasma.github.io/Logging_0684/artfynd/A 1304-2022 artfynd.xlsx", "A 1304-2022")</f>
        <v/>
      </c>
      <c r="T6">
        <f>HYPERLINK("https://klasma.github.io/Logging_0684/kartor/A 1304-2022 karta.png", "A 1304-2022")</f>
        <v/>
      </c>
      <c r="V6">
        <f>HYPERLINK("https://klasma.github.io/Logging_0684/klagomål/A 1304-2022 FSC-klagomål.docx", "A 1304-2022")</f>
        <v/>
      </c>
      <c r="W6">
        <f>HYPERLINK("https://klasma.github.io/Logging_0684/klagomålsmail/A 1304-2022 FSC-klagomål mail.docx", "A 1304-2022")</f>
        <v/>
      </c>
      <c r="X6">
        <f>HYPERLINK("https://klasma.github.io/Logging_0684/tillsyn/A 1304-2022 tillsynsbegäran.docx", "A 1304-2022")</f>
        <v/>
      </c>
      <c r="Y6">
        <f>HYPERLINK("https://klasma.github.io/Logging_0684/tillsynsmail/A 1304-2022 tillsynsbegäran mail.docx", "A 1304-2022")</f>
        <v/>
      </c>
      <c r="Z6">
        <f>HYPERLINK("https://klasma.github.io/Logging_0684/fåglar/A 1304-2022 prioriterade fågelarter.docx", "A 1304-2022")</f>
        <v/>
      </c>
    </row>
    <row r="7" ht="15" customHeight="1">
      <c r="A7" t="inlineStr">
        <is>
          <t>A 2633-2023</t>
        </is>
      </c>
      <c r="B7" s="1" t="n">
        <v>44942</v>
      </c>
      <c r="C7" s="1" t="n">
        <v>45879</v>
      </c>
      <c r="D7" t="inlineStr">
        <is>
          <t>JÖNKÖPINGS LÄN</t>
        </is>
      </c>
      <c r="E7" t="inlineStr">
        <is>
          <t>SÄVSJÖ</t>
        </is>
      </c>
      <c r="G7" t="n">
        <v>2.7</v>
      </c>
      <c r="H7" t="n">
        <v>1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1</v>
      </c>
      <c r="R7" s="2" t="inlineStr">
        <is>
          <t>Grönsångare</t>
        </is>
      </c>
      <c r="S7">
        <f>HYPERLINK("https://klasma.github.io/Logging_0684/artfynd/A 2633-2023 artfynd.xlsx", "A 2633-2023")</f>
        <v/>
      </c>
      <c r="T7">
        <f>HYPERLINK("https://klasma.github.io/Logging_0684/kartor/A 2633-2023 karta.png", "A 2633-2023")</f>
        <v/>
      </c>
      <c r="V7">
        <f>HYPERLINK("https://klasma.github.io/Logging_0684/klagomål/A 2633-2023 FSC-klagomål.docx", "A 2633-2023")</f>
        <v/>
      </c>
      <c r="W7">
        <f>HYPERLINK("https://klasma.github.io/Logging_0684/klagomålsmail/A 2633-2023 FSC-klagomål mail.docx", "A 2633-2023")</f>
        <v/>
      </c>
      <c r="X7">
        <f>HYPERLINK("https://klasma.github.io/Logging_0684/tillsyn/A 2633-2023 tillsynsbegäran.docx", "A 2633-2023")</f>
        <v/>
      </c>
      <c r="Y7">
        <f>HYPERLINK("https://klasma.github.io/Logging_0684/tillsynsmail/A 2633-2023 tillsynsbegäran mail.docx", "A 2633-2023")</f>
        <v/>
      </c>
      <c r="Z7">
        <f>HYPERLINK("https://klasma.github.io/Logging_0684/fåglar/A 2633-2023 prioriterade fågelarter.docx", "A 2633-2023")</f>
        <v/>
      </c>
    </row>
    <row r="8" ht="15" customHeight="1">
      <c r="A8" t="inlineStr">
        <is>
          <t>A 50816-2023</t>
        </is>
      </c>
      <c r="B8" s="1" t="n">
        <v>45217</v>
      </c>
      <c r="C8" s="1" t="n">
        <v>45879</v>
      </c>
      <c r="D8" t="inlineStr">
        <is>
          <t>JÖNKÖPINGS LÄN</t>
        </is>
      </c>
      <c r="E8" t="inlineStr">
        <is>
          <t>SÄVSJÖ</t>
        </is>
      </c>
      <c r="G8" t="n">
        <v>4</v>
      </c>
      <c r="H8" t="n">
        <v>0</v>
      </c>
      <c r="I8" t="n">
        <v>0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1</v>
      </c>
      <c r="R8" s="2" t="inlineStr">
        <is>
          <t>Sommarfibbla</t>
        </is>
      </c>
      <c r="S8">
        <f>HYPERLINK("https://klasma.github.io/Logging_0684/artfynd/A 50816-2023 artfynd.xlsx", "A 50816-2023")</f>
        <v/>
      </c>
      <c r="T8">
        <f>HYPERLINK("https://klasma.github.io/Logging_0684/kartor/A 50816-2023 karta.png", "A 50816-2023")</f>
        <v/>
      </c>
      <c r="V8">
        <f>HYPERLINK("https://klasma.github.io/Logging_0684/klagomål/A 50816-2023 FSC-klagomål.docx", "A 50816-2023")</f>
        <v/>
      </c>
      <c r="W8">
        <f>HYPERLINK("https://klasma.github.io/Logging_0684/klagomålsmail/A 50816-2023 FSC-klagomål mail.docx", "A 50816-2023")</f>
        <v/>
      </c>
      <c r="X8">
        <f>HYPERLINK("https://klasma.github.io/Logging_0684/tillsyn/A 50816-2023 tillsynsbegäran.docx", "A 50816-2023")</f>
        <v/>
      </c>
      <c r="Y8">
        <f>HYPERLINK("https://klasma.github.io/Logging_0684/tillsynsmail/A 50816-2023 tillsynsbegäran mail.docx", "A 50816-2023")</f>
        <v/>
      </c>
    </row>
    <row r="9" ht="15" customHeight="1">
      <c r="A9" t="inlineStr">
        <is>
          <t>A 10775-2025</t>
        </is>
      </c>
      <c r="B9" s="1" t="n">
        <v>45722</v>
      </c>
      <c r="C9" s="1" t="n">
        <v>45879</v>
      </c>
      <c r="D9" t="inlineStr">
        <is>
          <t>JÖNKÖPINGS LÄN</t>
        </is>
      </c>
      <c r="E9" t="inlineStr">
        <is>
          <t>SÄVSJÖ</t>
        </is>
      </c>
      <c r="G9" t="n">
        <v>10.1</v>
      </c>
      <c r="H9" t="n">
        <v>0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1</v>
      </c>
      <c r="R9" s="2" t="inlineStr">
        <is>
          <t>Solvända</t>
        </is>
      </c>
      <c r="S9">
        <f>HYPERLINK("https://klasma.github.io/Logging_0684/artfynd/A 10775-2025 artfynd.xlsx", "A 10775-2025")</f>
        <v/>
      </c>
      <c r="T9">
        <f>HYPERLINK("https://klasma.github.io/Logging_0684/kartor/A 10775-2025 karta.png", "A 10775-2025")</f>
        <v/>
      </c>
      <c r="V9">
        <f>HYPERLINK("https://klasma.github.io/Logging_0684/klagomål/A 10775-2025 FSC-klagomål.docx", "A 10775-2025")</f>
        <v/>
      </c>
      <c r="W9">
        <f>HYPERLINK("https://klasma.github.io/Logging_0684/klagomålsmail/A 10775-2025 FSC-klagomål mail.docx", "A 10775-2025")</f>
        <v/>
      </c>
      <c r="X9">
        <f>HYPERLINK("https://klasma.github.io/Logging_0684/tillsyn/A 10775-2025 tillsynsbegäran.docx", "A 10775-2025")</f>
        <v/>
      </c>
      <c r="Y9">
        <f>HYPERLINK("https://klasma.github.io/Logging_0684/tillsynsmail/A 10775-2025 tillsynsbegäran mail.docx", "A 10775-2025")</f>
        <v/>
      </c>
    </row>
    <row r="10" ht="15" customHeight="1">
      <c r="A10" t="inlineStr">
        <is>
          <t>A 10046-2025</t>
        </is>
      </c>
      <c r="B10" s="1" t="n">
        <v>45719</v>
      </c>
      <c r="C10" s="1" t="n">
        <v>45879</v>
      </c>
      <c r="D10" t="inlineStr">
        <is>
          <t>JÖNKÖPINGS LÄN</t>
        </is>
      </c>
      <c r="E10" t="inlineStr">
        <is>
          <t>SÄVSJÖ</t>
        </is>
      </c>
      <c r="G10" t="n">
        <v>8.6</v>
      </c>
      <c r="H10" t="n">
        <v>1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Blåsippa</t>
        </is>
      </c>
      <c r="S10">
        <f>HYPERLINK("https://klasma.github.io/Logging_0684/artfynd/A 10046-2025 artfynd.xlsx", "A 10046-2025")</f>
        <v/>
      </c>
      <c r="T10">
        <f>HYPERLINK("https://klasma.github.io/Logging_0684/kartor/A 10046-2025 karta.png", "A 10046-2025")</f>
        <v/>
      </c>
      <c r="V10">
        <f>HYPERLINK("https://klasma.github.io/Logging_0684/klagomål/A 10046-2025 FSC-klagomål.docx", "A 10046-2025")</f>
        <v/>
      </c>
      <c r="W10">
        <f>HYPERLINK("https://klasma.github.io/Logging_0684/klagomålsmail/A 10046-2025 FSC-klagomål mail.docx", "A 10046-2025")</f>
        <v/>
      </c>
      <c r="X10">
        <f>HYPERLINK("https://klasma.github.io/Logging_0684/tillsyn/A 10046-2025 tillsynsbegäran.docx", "A 10046-2025")</f>
        <v/>
      </c>
      <c r="Y10">
        <f>HYPERLINK("https://klasma.github.io/Logging_0684/tillsynsmail/A 10046-2025 tillsynsbegäran mail.docx", "A 10046-2025")</f>
        <v/>
      </c>
    </row>
    <row r="11" ht="15" customHeight="1">
      <c r="A11" t="inlineStr">
        <is>
          <t>A 34214-2025</t>
        </is>
      </c>
      <c r="B11" s="1" t="n">
        <v>45845.64520833334</v>
      </c>
      <c r="C11" s="1" t="n">
        <v>45879</v>
      </c>
      <c r="D11" t="inlineStr">
        <is>
          <t>JÖNKÖPINGS LÄN</t>
        </is>
      </c>
      <c r="E11" t="inlineStr">
        <is>
          <t>SÄVSJÖ</t>
        </is>
      </c>
      <c r="G11" t="n">
        <v>1.2</v>
      </c>
      <c r="H11" t="n">
        <v>0</v>
      </c>
      <c r="I11" t="n">
        <v>0</v>
      </c>
      <c r="J11" t="n">
        <v>0</v>
      </c>
      <c r="K11" t="n">
        <v>1</v>
      </c>
      <c r="L11" t="n">
        <v>0</v>
      </c>
      <c r="M11" t="n">
        <v>0</v>
      </c>
      <c r="N11" t="n">
        <v>0</v>
      </c>
      <c r="O11" t="n">
        <v>1</v>
      </c>
      <c r="P11" t="n">
        <v>1</v>
      </c>
      <c r="Q11" t="n">
        <v>1</v>
      </c>
      <c r="R11" s="2" t="inlineStr">
        <is>
          <t>Lungrot</t>
        </is>
      </c>
      <c r="S11">
        <f>HYPERLINK("https://klasma.github.io/Logging_0684/artfynd/A 34214-2025 artfynd.xlsx", "A 34214-2025")</f>
        <v/>
      </c>
      <c r="T11">
        <f>HYPERLINK("https://klasma.github.io/Logging_0684/kartor/A 34214-2025 karta.png", "A 34214-2025")</f>
        <v/>
      </c>
      <c r="V11">
        <f>HYPERLINK("https://klasma.github.io/Logging_0684/klagomål/A 34214-2025 FSC-klagomål.docx", "A 34214-2025")</f>
        <v/>
      </c>
      <c r="W11">
        <f>HYPERLINK("https://klasma.github.io/Logging_0684/klagomålsmail/A 34214-2025 FSC-klagomål mail.docx", "A 34214-2025")</f>
        <v/>
      </c>
      <c r="X11">
        <f>HYPERLINK("https://klasma.github.io/Logging_0684/tillsyn/A 34214-2025 tillsynsbegäran.docx", "A 34214-2025")</f>
        <v/>
      </c>
      <c r="Y11">
        <f>HYPERLINK("https://klasma.github.io/Logging_0684/tillsynsmail/A 34214-2025 tillsynsbegäran mail.docx", "A 34214-2025")</f>
        <v/>
      </c>
    </row>
    <row r="12" ht="15" customHeight="1">
      <c r="A12" t="inlineStr">
        <is>
          <t>A 40075-2023</t>
        </is>
      </c>
      <c r="B12" s="1" t="n">
        <v>45168</v>
      </c>
      <c r="C12" s="1" t="n">
        <v>45879</v>
      </c>
      <c r="D12" t="inlineStr">
        <is>
          <t>JÖNKÖPINGS LÄN</t>
        </is>
      </c>
      <c r="E12" t="inlineStr">
        <is>
          <t>SÄVSJÖ</t>
        </is>
      </c>
      <c r="G12" t="n">
        <v>1.5</v>
      </c>
      <c r="H12" t="n">
        <v>0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Solvända</t>
        </is>
      </c>
      <c r="S12">
        <f>HYPERLINK("https://klasma.github.io/Logging_0684/artfynd/A 40075-2023 artfynd.xlsx", "A 40075-2023")</f>
        <v/>
      </c>
      <c r="T12">
        <f>HYPERLINK("https://klasma.github.io/Logging_0684/kartor/A 40075-2023 karta.png", "A 40075-2023")</f>
        <v/>
      </c>
      <c r="V12">
        <f>HYPERLINK("https://klasma.github.io/Logging_0684/klagomål/A 40075-2023 FSC-klagomål.docx", "A 40075-2023")</f>
        <v/>
      </c>
      <c r="W12">
        <f>HYPERLINK("https://klasma.github.io/Logging_0684/klagomålsmail/A 40075-2023 FSC-klagomål mail.docx", "A 40075-2023")</f>
        <v/>
      </c>
      <c r="X12">
        <f>HYPERLINK("https://klasma.github.io/Logging_0684/tillsyn/A 40075-2023 tillsynsbegäran.docx", "A 40075-2023")</f>
        <v/>
      </c>
      <c r="Y12">
        <f>HYPERLINK("https://klasma.github.io/Logging_0684/tillsynsmail/A 40075-2023 tillsynsbegäran mail.docx", "A 40075-2023")</f>
        <v/>
      </c>
    </row>
    <row r="13" ht="15" customHeight="1">
      <c r="A13" t="inlineStr">
        <is>
          <t>A 19120-2025</t>
        </is>
      </c>
      <c r="B13" s="1" t="n">
        <v>45768.82716435185</v>
      </c>
      <c r="C13" s="1" t="n">
        <v>45879</v>
      </c>
      <c r="D13" t="inlineStr">
        <is>
          <t>JÖNKÖPINGS LÄN</t>
        </is>
      </c>
      <c r="E13" t="inlineStr">
        <is>
          <t>SÄVSJÖ</t>
        </is>
      </c>
      <c r="G13" t="n">
        <v>2</v>
      </c>
      <c r="H13" t="n">
        <v>1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Dubbelnycklar</t>
        </is>
      </c>
      <c r="S13">
        <f>HYPERLINK("https://klasma.github.io/Logging_0684/artfynd/A 19120-2025 artfynd.xlsx", "A 19120-2025")</f>
        <v/>
      </c>
      <c r="T13">
        <f>HYPERLINK("https://klasma.github.io/Logging_0684/kartor/A 19120-2025 karta.png", "A 19120-2025")</f>
        <v/>
      </c>
      <c r="V13">
        <f>HYPERLINK("https://klasma.github.io/Logging_0684/klagomål/A 19120-2025 FSC-klagomål.docx", "A 19120-2025")</f>
        <v/>
      </c>
      <c r="W13">
        <f>HYPERLINK("https://klasma.github.io/Logging_0684/klagomålsmail/A 19120-2025 FSC-klagomål mail.docx", "A 19120-2025")</f>
        <v/>
      </c>
      <c r="X13">
        <f>HYPERLINK("https://klasma.github.io/Logging_0684/tillsyn/A 19120-2025 tillsynsbegäran.docx", "A 19120-2025")</f>
        <v/>
      </c>
      <c r="Y13">
        <f>HYPERLINK("https://klasma.github.io/Logging_0684/tillsynsmail/A 19120-2025 tillsynsbegäran mail.docx", "A 19120-2025")</f>
        <v/>
      </c>
    </row>
    <row r="14" ht="15" customHeight="1">
      <c r="A14" t="inlineStr">
        <is>
          <t>A 29498-2025</t>
        </is>
      </c>
      <c r="B14" s="1" t="n">
        <v>45824.96813657408</v>
      </c>
      <c r="C14" s="1" t="n">
        <v>45879</v>
      </c>
      <c r="D14" t="inlineStr">
        <is>
          <t>JÖNKÖPINGS LÄN</t>
        </is>
      </c>
      <c r="E14" t="inlineStr">
        <is>
          <t>SÄVSJÖ</t>
        </is>
      </c>
      <c r="G14" t="n">
        <v>1.8</v>
      </c>
      <c r="H14" t="n">
        <v>0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Kransrams</t>
        </is>
      </c>
      <c r="S14">
        <f>HYPERLINK("https://klasma.github.io/Logging_0684/artfynd/A 29498-2025 artfynd.xlsx", "A 29498-2025")</f>
        <v/>
      </c>
      <c r="T14">
        <f>HYPERLINK("https://klasma.github.io/Logging_0684/kartor/A 29498-2025 karta.png", "A 29498-2025")</f>
        <v/>
      </c>
      <c r="V14">
        <f>HYPERLINK("https://klasma.github.io/Logging_0684/klagomål/A 29498-2025 FSC-klagomål.docx", "A 29498-2025")</f>
        <v/>
      </c>
      <c r="W14">
        <f>HYPERLINK("https://klasma.github.io/Logging_0684/klagomålsmail/A 29498-2025 FSC-klagomål mail.docx", "A 29498-2025")</f>
        <v/>
      </c>
      <c r="X14">
        <f>HYPERLINK("https://klasma.github.io/Logging_0684/tillsyn/A 29498-2025 tillsynsbegäran.docx", "A 29498-2025")</f>
        <v/>
      </c>
      <c r="Y14">
        <f>HYPERLINK("https://klasma.github.io/Logging_0684/tillsynsmail/A 29498-2025 tillsynsbegäran mail.docx", "A 29498-2025")</f>
        <v/>
      </c>
    </row>
    <row r="15" ht="15" customHeight="1">
      <c r="A15" t="inlineStr">
        <is>
          <t>A 40543-2023</t>
        </is>
      </c>
      <c r="B15" s="1" t="n">
        <v>45170</v>
      </c>
      <c r="C15" s="1" t="n">
        <v>45879</v>
      </c>
      <c r="D15" t="inlineStr">
        <is>
          <t>JÖNKÖPINGS LÄN</t>
        </is>
      </c>
      <c r="E15" t="inlineStr">
        <is>
          <t>SÄVSJÖ</t>
        </is>
      </c>
      <c r="G15" t="n">
        <v>2.8</v>
      </c>
      <c r="H15" t="n">
        <v>0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Sommarfibbla</t>
        </is>
      </c>
      <c r="S15">
        <f>HYPERLINK("https://klasma.github.io/Logging_0684/artfynd/A 40543-2023 artfynd.xlsx", "A 40543-2023")</f>
        <v/>
      </c>
      <c r="T15">
        <f>HYPERLINK("https://klasma.github.io/Logging_0684/kartor/A 40543-2023 karta.png", "A 40543-2023")</f>
        <v/>
      </c>
      <c r="V15">
        <f>HYPERLINK("https://klasma.github.io/Logging_0684/klagomål/A 40543-2023 FSC-klagomål.docx", "A 40543-2023")</f>
        <v/>
      </c>
      <c r="W15">
        <f>HYPERLINK("https://klasma.github.io/Logging_0684/klagomålsmail/A 40543-2023 FSC-klagomål mail.docx", "A 40543-2023")</f>
        <v/>
      </c>
      <c r="X15">
        <f>HYPERLINK("https://klasma.github.io/Logging_0684/tillsyn/A 40543-2023 tillsynsbegäran.docx", "A 40543-2023")</f>
        <v/>
      </c>
      <c r="Y15">
        <f>HYPERLINK("https://klasma.github.io/Logging_0684/tillsynsmail/A 40543-2023 tillsynsbegäran mail.docx", "A 40543-2023")</f>
        <v/>
      </c>
    </row>
    <row r="16" ht="15" customHeight="1">
      <c r="A16" t="inlineStr">
        <is>
          <t>A 51095-2023</t>
        </is>
      </c>
      <c r="B16" s="1" t="n">
        <v>45218.86729166667</v>
      </c>
      <c r="C16" s="1" t="n">
        <v>45879</v>
      </c>
      <c r="D16" t="inlineStr">
        <is>
          <t>JÖNKÖPINGS LÄN</t>
        </is>
      </c>
      <c r="E16" t="inlineStr">
        <is>
          <t>SÄVSJÖ</t>
        </is>
      </c>
      <c r="G16" t="n">
        <v>3.6</v>
      </c>
      <c r="H16" t="n">
        <v>1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Korallrot</t>
        </is>
      </c>
      <c r="S16">
        <f>HYPERLINK("https://klasma.github.io/Logging_0684/artfynd/A 51095-2023 artfynd.xlsx", "A 51095-2023")</f>
        <v/>
      </c>
      <c r="T16">
        <f>HYPERLINK("https://klasma.github.io/Logging_0684/kartor/A 51095-2023 karta.png", "A 51095-2023")</f>
        <v/>
      </c>
      <c r="V16">
        <f>HYPERLINK("https://klasma.github.io/Logging_0684/klagomål/A 51095-2023 FSC-klagomål.docx", "A 51095-2023")</f>
        <v/>
      </c>
      <c r="W16">
        <f>HYPERLINK("https://klasma.github.io/Logging_0684/klagomålsmail/A 51095-2023 FSC-klagomål mail.docx", "A 51095-2023")</f>
        <v/>
      </c>
      <c r="X16">
        <f>HYPERLINK("https://klasma.github.io/Logging_0684/tillsyn/A 51095-2023 tillsynsbegäran.docx", "A 51095-2023")</f>
        <v/>
      </c>
      <c r="Y16">
        <f>HYPERLINK("https://klasma.github.io/Logging_0684/tillsynsmail/A 51095-2023 tillsynsbegäran mail.docx", "A 51095-2023")</f>
        <v/>
      </c>
    </row>
    <row r="17" ht="15" customHeight="1">
      <c r="A17" t="inlineStr">
        <is>
          <t>A 8198-2024</t>
        </is>
      </c>
      <c r="B17" s="1" t="n">
        <v>45351.68774305555</v>
      </c>
      <c r="C17" s="1" t="n">
        <v>45879</v>
      </c>
      <c r="D17" t="inlineStr">
        <is>
          <t>JÖNKÖPINGS LÄN</t>
        </is>
      </c>
      <c r="E17" t="inlineStr">
        <is>
          <t>SÄVSJÖ</t>
        </is>
      </c>
      <c r="G17" t="n">
        <v>0.7</v>
      </c>
      <c r="H17" t="n">
        <v>0</v>
      </c>
      <c r="I17" t="n">
        <v>0</v>
      </c>
      <c r="J17" t="n">
        <v>0</v>
      </c>
      <c r="K17" t="n">
        <v>1</v>
      </c>
      <c r="L17" t="n">
        <v>0</v>
      </c>
      <c r="M17" t="n">
        <v>0</v>
      </c>
      <c r="N17" t="n">
        <v>0</v>
      </c>
      <c r="O17" t="n">
        <v>1</v>
      </c>
      <c r="P17" t="n">
        <v>1</v>
      </c>
      <c r="Q17" t="n">
        <v>1</v>
      </c>
      <c r="R17" s="2" t="inlineStr">
        <is>
          <t>Småfruktigt blågryn</t>
        </is>
      </c>
      <c r="S17">
        <f>HYPERLINK("https://klasma.github.io/Logging_0684/artfynd/A 8198-2024 artfynd.xlsx", "A 8198-2024")</f>
        <v/>
      </c>
      <c r="T17">
        <f>HYPERLINK("https://klasma.github.io/Logging_0684/kartor/A 8198-2024 karta.png", "A 8198-2024")</f>
        <v/>
      </c>
      <c r="V17">
        <f>HYPERLINK("https://klasma.github.io/Logging_0684/klagomål/A 8198-2024 FSC-klagomål.docx", "A 8198-2024")</f>
        <v/>
      </c>
      <c r="W17">
        <f>HYPERLINK("https://klasma.github.io/Logging_0684/klagomålsmail/A 8198-2024 FSC-klagomål mail.docx", "A 8198-2024")</f>
        <v/>
      </c>
      <c r="X17">
        <f>HYPERLINK("https://klasma.github.io/Logging_0684/tillsyn/A 8198-2024 tillsynsbegäran.docx", "A 8198-2024")</f>
        <v/>
      </c>
      <c r="Y17">
        <f>HYPERLINK("https://klasma.github.io/Logging_0684/tillsynsmail/A 8198-2024 tillsynsbegäran mail.docx", "A 8198-2024")</f>
        <v/>
      </c>
    </row>
    <row r="18" ht="15" customHeight="1">
      <c r="A18" t="inlineStr">
        <is>
          <t>A 35136-2024</t>
        </is>
      </c>
      <c r="B18" s="1" t="n">
        <v>45530.34611111111</v>
      </c>
      <c r="C18" s="1" t="n">
        <v>45879</v>
      </c>
      <c r="D18" t="inlineStr">
        <is>
          <t>JÖNKÖPINGS LÄN</t>
        </is>
      </c>
      <c r="E18" t="inlineStr">
        <is>
          <t>SÄVSJÖ</t>
        </is>
      </c>
      <c r="G18" t="n">
        <v>2.1</v>
      </c>
      <c r="H18" t="n">
        <v>0</v>
      </c>
      <c r="I18" t="n">
        <v>0</v>
      </c>
      <c r="J18" t="n">
        <v>0</v>
      </c>
      <c r="K18" t="n">
        <v>0</v>
      </c>
      <c r="L18" t="n">
        <v>1</v>
      </c>
      <c r="M18" t="n">
        <v>0</v>
      </c>
      <c r="N18" t="n">
        <v>0</v>
      </c>
      <c r="O18" t="n">
        <v>1</v>
      </c>
      <c r="P18" t="n">
        <v>1</v>
      </c>
      <c r="Q18" t="n">
        <v>1</v>
      </c>
      <c r="R18" s="2" t="inlineStr">
        <is>
          <t>Ask</t>
        </is>
      </c>
      <c r="S18">
        <f>HYPERLINK("https://klasma.github.io/Logging_0684/artfynd/A 35136-2024 artfynd.xlsx", "A 35136-2024")</f>
        <v/>
      </c>
      <c r="T18">
        <f>HYPERLINK("https://klasma.github.io/Logging_0684/kartor/A 35136-2024 karta.png", "A 35136-2024")</f>
        <v/>
      </c>
      <c r="V18">
        <f>HYPERLINK("https://klasma.github.io/Logging_0684/klagomål/A 35136-2024 FSC-klagomål.docx", "A 35136-2024")</f>
        <v/>
      </c>
      <c r="W18">
        <f>HYPERLINK("https://klasma.github.io/Logging_0684/klagomålsmail/A 35136-2024 FSC-klagomål mail.docx", "A 35136-2024")</f>
        <v/>
      </c>
      <c r="X18">
        <f>HYPERLINK("https://klasma.github.io/Logging_0684/tillsyn/A 35136-2024 tillsynsbegäran.docx", "A 35136-2024")</f>
        <v/>
      </c>
      <c r="Y18">
        <f>HYPERLINK("https://klasma.github.io/Logging_0684/tillsynsmail/A 35136-2024 tillsynsbegäran mail.docx", "A 35136-2024")</f>
        <v/>
      </c>
    </row>
    <row r="19" ht="15" customHeight="1">
      <c r="A19" t="inlineStr">
        <is>
          <t>A 49668-2022</t>
        </is>
      </c>
      <c r="B19" s="1" t="n">
        <v>44862.47</v>
      </c>
      <c r="C19" s="1" t="n">
        <v>45879</v>
      </c>
      <c r="D19" t="inlineStr">
        <is>
          <t>JÖNKÖPINGS LÄN</t>
        </is>
      </c>
      <c r="E19" t="inlineStr">
        <is>
          <t>SÄVSJÖ</t>
        </is>
      </c>
      <c r="G19" t="n">
        <v>0.4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53099-2022</t>
        </is>
      </c>
      <c r="B20" s="1" t="n">
        <v>44876.42421296296</v>
      </c>
      <c r="C20" s="1" t="n">
        <v>45879</v>
      </c>
      <c r="D20" t="inlineStr">
        <is>
          <t>JÖNKÖPINGS LÄN</t>
        </is>
      </c>
      <c r="E20" t="inlineStr">
        <is>
          <t>SÄVSJÖ</t>
        </is>
      </c>
      <c r="G20" t="n">
        <v>0.9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29149-2021</t>
        </is>
      </c>
      <c r="B21" s="1" t="n">
        <v>44358.64619212963</v>
      </c>
      <c r="C21" s="1" t="n">
        <v>45879</v>
      </c>
      <c r="D21" t="inlineStr">
        <is>
          <t>JÖNKÖPINGS LÄN</t>
        </is>
      </c>
      <c r="E21" t="inlineStr">
        <is>
          <t>SÄVSJÖ</t>
        </is>
      </c>
      <c r="G21" t="n">
        <v>0.7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29154-2021</t>
        </is>
      </c>
      <c r="B22" s="1" t="n">
        <v>44358.65375</v>
      </c>
      <c r="C22" s="1" t="n">
        <v>45879</v>
      </c>
      <c r="D22" t="inlineStr">
        <is>
          <t>JÖNKÖPINGS LÄN</t>
        </is>
      </c>
      <c r="E22" t="inlineStr">
        <is>
          <t>SÄVSJÖ</t>
        </is>
      </c>
      <c r="G22" t="n">
        <v>0.4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65608-2020</t>
        </is>
      </c>
      <c r="B23" s="1" t="n">
        <v>44173</v>
      </c>
      <c r="C23" s="1" t="n">
        <v>45879</v>
      </c>
      <c r="D23" t="inlineStr">
        <is>
          <t>JÖNKÖPINGS LÄN</t>
        </is>
      </c>
      <c r="E23" t="inlineStr">
        <is>
          <t>SÄVSJÖ</t>
        </is>
      </c>
      <c r="G23" t="n">
        <v>1.5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31901-2021</t>
        </is>
      </c>
      <c r="B24" s="1" t="n">
        <v>44370.46506944444</v>
      </c>
      <c r="C24" s="1" t="n">
        <v>45879</v>
      </c>
      <c r="D24" t="inlineStr">
        <is>
          <t>JÖNKÖPINGS LÄN</t>
        </is>
      </c>
      <c r="E24" t="inlineStr">
        <is>
          <t>SÄVSJÖ</t>
        </is>
      </c>
      <c r="G24" t="n">
        <v>0.5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69990-2021</t>
        </is>
      </c>
      <c r="B25" s="1" t="n">
        <v>44533.4324537037</v>
      </c>
      <c r="C25" s="1" t="n">
        <v>45879</v>
      </c>
      <c r="D25" t="inlineStr">
        <is>
          <t>JÖNKÖPINGS LÄN</t>
        </is>
      </c>
      <c r="E25" t="inlineStr">
        <is>
          <t>SÄVSJÖ</t>
        </is>
      </c>
      <c r="G25" t="n">
        <v>3.2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1442-2021</t>
        </is>
      </c>
      <c r="B26" s="1" t="n">
        <v>44208.71043981481</v>
      </c>
      <c r="C26" s="1" t="n">
        <v>45879</v>
      </c>
      <c r="D26" t="inlineStr">
        <is>
          <t>JÖNKÖPINGS LÄN</t>
        </is>
      </c>
      <c r="E26" t="inlineStr">
        <is>
          <t>SÄVSJÖ</t>
        </is>
      </c>
      <c r="G26" t="n">
        <v>0.4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31907-2021</t>
        </is>
      </c>
      <c r="B27" s="1" t="n">
        <v>44370.47137731482</v>
      </c>
      <c r="C27" s="1" t="n">
        <v>45879</v>
      </c>
      <c r="D27" t="inlineStr">
        <is>
          <t>JÖNKÖPINGS LÄN</t>
        </is>
      </c>
      <c r="E27" t="inlineStr">
        <is>
          <t>SÄVSJÖ</t>
        </is>
      </c>
      <c r="G27" t="n">
        <v>0.6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31910-2021</t>
        </is>
      </c>
      <c r="B28" s="1" t="n">
        <v>44370.47902777778</v>
      </c>
      <c r="C28" s="1" t="n">
        <v>45879</v>
      </c>
      <c r="D28" t="inlineStr">
        <is>
          <t>JÖNKÖPINGS LÄN</t>
        </is>
      </c>
      <c r="E28" t="inlineStr">
        <is>
          <t>SÄVSJÖ</t>
        </is>
      </c>
      <c r="G28" t="n">
        <v>0.5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28908-2022</t>
        </is>
      </c>
      <c r="B29" s="1" t="n">
        <v>44749.55707175926</v>
      </c>
      <c r="C29" s="1" t="n">
        <v>45879</v>
      </c>
      <c r="D29" t="inlineStr">
        <is>
          <t>JÖNKÖPINGS LÄN</t>
        </is>
      </c>
      <c r="E29" t="inlineStr">
        <is>
          <t>SÄVSJÖ</t>
        </is>
      </c>
      <c r="G29" t="n">
        <v>0.7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64021-2021</t>
        </is>
      </c>
      <c r="B30" s="1" t="n">
        <v>44510.34935185185</v>
      </c>
      <c r="C30" s="1" t="n">
        <v>45879</v>
      </c>
      <c r="D30" t="inlineStr">
        <is>
          <t>JÖNKÖPINGS LÄN</t>
        </is>
      </c>
      <c r="E30" t="inlineStr">
        <is>
          <t>SÄVSJÖ</t>
        </is>
      </c>
      <c r="G30" t="n">
        <v>4.1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36778-2022</t>
        </is>
      </c>
      <c r="B31" s="1" t="n">
        <v>44805.46810185185</v>
      </c>
      <c r="C31" s="1" t="n">
        <v>45879</v>
      </c>
      <c r="D31" t="inlineStr">
        <is>
          <t>JÖNKÖPINGS LÄN</t>
        </is>
      </c>
      <c r="E31" t="inlineStr">
        <is>
          <t>SÄVSJÖ</t>
        </is>
      </c>
      <c r="G31" t="n">
        <v>0.4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47957-2022</t>
        </is>
      </c>
      <c r="B32" s="1" t="n">
        <v>44855.58278935185</v>
      </c>
      <c r="C32" s="1" t="n">
        <v>45879</v>
      </c>
      <c r="D32" t="inlineStr">
        <is>
          <t>JÖNKÖPINGS LÄN</t>
        </is>
      </c>
      <c r="E32" t="inlineStr">
        <is>
          <t>SÄVSJÖ</t>
        </is>
      </c>
      <c r="F32" t="inlineStr">
        <is>
          <t>Sveaskog</t>
        </is>
      </c>
      <c r="G32" t="n">
        <v>1.1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26872-2021</t>
        </is>
      </c>
      <c r="B33" s="1" t="n">
        <v>44349.61519675926</v>
      </c>
      <c r="C33" s="1" t="n">
        <v>45879</v>
      </c>
      <c r="D33" t="inlineStr">
        <is>
          <t>JÖNKÖPINGS LÄN</t>
        </is>
      </c>
      <c r="E33" t="inlineStr">
        <is>
          <t>SÄVSJÖ</t>
        </is>
      </c>
      <c r="G33" t="n">
        <v>2.5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43618-2021</t>
        </is>
      </c>
      <c r="B34" s="1" t="n">
        <v>44433.50209490741</v>
      </c>
      <c r="C34" s="1" t="n">
        <v>45879</v>
      </c>
      <c r="D34" t="inlineStr">
        <is>
          <t>JÖNKÖPINGS LÄN</t>
        </is>
      </c>
      <c r="E34" t="inlineStr">
        <is>
          <t>SÄVSJÖ</t>
        </is>
      </c>
      <c r="G34" t="n">
        <v>1.2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37323-2022</t>
        </is>
      </c>
      <c r="B35" s="1" t="n">
        <v>44809.32931712963</v>
      </c>
      <c r="C35" s="1" t="n">
        <v>45879</v>
      </c>
      <c r="D35" t="inlineStr">
        <is>
          <t>JÖNKÖPINGS LÄN</t>
        </is>
      </c>
      <c r="E35" t="inlineStr">
        <is>
          <t>SÄVSJÖ</t>
        </is>
      </c>
      <c r="G35" t="n">
        <v>0.7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27392-2021</t>
        </is>
      </c>
      <c r="B36" s="1" t="n">
        <v>44351</v>
      </c>
      <c r="C36" s="1" t="n">
        <v>45879</v>
      </c>
      <c r="D36" t="inlineStr">
        <is>
          <t>JÖNKÖPINGS LÄN</t>
        </is>
      </c>
      <c r="E36" t="inlineStr">
        <is>
          <t>SÄVSJÖ</t>
        </is>
      </c>
      <c r="G36" t="n">
        <v>0.8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32523-2021</t>
        </is>
      </c>
      <c r="B37" s="1" t="n">
        <v>44374.81724537037</v>
      </c>
      <c r="C37" s="1" t="n">
        <v>45879</v>
      </c>
      <c r="D37" t="inlineStr">
        <is>
          <t>JÖNKÖPINGS LÄN</t>
        </is>
      </c>
      <c r="E37" t="inlineStr">
        <is>
          <t>SÄVSJÖ</t>
        </is>
      </c>
      <c r="G37" t="n">
        <v>2.2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1391-2022</t>
        </is>
      </c>
      <c r="B38" s="1" t="n">
        <v>44573.39283564815</v>
      </c>
      <c r="C38" s="1" t="n">
        <v>45879</v>
      </c>
      <c r="D38" t="inlineStr">
        <is>
          <t>JÖNKÖPINGS LÄN</t>
        </is>
      </c>
      <c r="E38" t="inlineStr">
        <is>
          <t>SÄVSJÖ</t>
        </is>
      </c>
      <c r="G38" t="n">
        <v>0.5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7115-2022</t>
        </is>
      </c>
      <c r="B39" s="1" t="n">
        <v>44603.64659722222</v>
      </c>
      <c r="C39" s="1" t="n">
        <v>45879</v>
      </c>
      <c r="D39" t="inlineStr">
        <is>
          <t>JÖNKÖPINGS LÄN</t>
        </is>
      </c>
      <c r="E39" t="inlineStr">
        <is>
          <t>SÄVSJÖ</t>
        </is>
      </c>
      <c r="G39" t="n">
        <v>1.3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66213-2020</t>
        </is>
      </c>
      <c r="B40" s="1" t="n">
        <v>44175</v>
      </c>
      <c r="C40" s="1" t="n">
        <v>45879</v>
      </c>
      <c r="D40" t="inlineStr">
        <is>
          <t>JÖNKÖPINGS LÄN</t>
        </is>
      </c>
      <c r="E40" t="inlineStr">
        <is>
          <t>SÄVSJÖ</t>
        </is>
      </c>
      <c r="G40" t="n">
        <v>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38189-2021</t>
        </is>
      </c>
      <c r="B41" s="1" t="n">
        <v>44405</v>
      </c>
      <c r="C41" s="1" t="n">
        <v>45879</v>
      </c>
      <c r="D41" t="inlineStr">
        <is>
          <t>JÖNKÖPINGS LÄN</t>
        </is>
      </c>
      <c r="E41" t="inlineStr">
        <is>
          <t>SÄVSJÖ</t>
        </is>
      </c>
      <c r="G41" t="n">
        <v>0.4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40715-2021</t>
        </is>
      </c>
      <c r="B42" s="1" t="n">
        <v>44420.64608796296</v>
      </c>
      <c r="C42" s="1" t="n">
        <v>45879</v>
      </c>
      <c r="D42" t="inlineStr">
        <is>
          <t>JÖNKÖPINGS LÄN</t>
        </is>
      </c>
      <c r="E42" t="inlineStr">
        <is>
          <t>SÄVSJÖ</t>
        </is>
      </c>
      <c r="G42" t="n">
        <v>8.199999999999999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49662-2022</t>
        </is>
      </c>
      <c r="B43" s="1" t="n">
        <v>44862.46611111111</v>
      </c>
      <c r="C43" s="1" t="n">
        <v>45879</v>
      </c>
      <c r="D43" t="inlineStr">
        <is>
          <t>JÖNKÖPINGS LÄN</t>
        </is>
      </c>
      <c r="E43" t="inlineStr">
        <is>
          <t>SÄVSJÖ</t>
        </is>
      </c>
      <c r="G43" t="n">
        <v>2.4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11396-2021</t>
        </is>
      </c>
      <c r="B44" s="1" t="n">
        <v>44263</v>
      </c>
      <c r="C44" s="1" t="n">
        <v>45879</v>
      </c>
      <c r="D44" t="inlineStr">
        <is>
          <t>JÖNKÖPINGS LÄN</t>
        </is>
      </c>
      <c r="E44" t="inlineStr">
        <is>
          <t>SÄVSJÖ</t>
        </is>
      </c>
      <c r="G44" t="n">
        <v>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55136-2022</t>
        </is>
      </c>
      <c r="B45" s="1" t="n">
        <v>44886.66209490741</v>
      </c>
      <c r="C45" s="1" t="n">
        <v>45879</v>
      </c>
      <c r="D45" t="inlineStr">
        <is>
          <t>JÖNKÖPINGS LÄN</t>
        </is>
      </c>
      <c r="E45" t="inlineStr">
        <is>
          <t>SÄVSJÖ</t>
        </is>
      </c>
      <c r="G45" t="n">
        <v>1.7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36434-2021</t>
        </is>
      </c>
      <c r="B46" s="1" t="n">
        <v>44390</v>
      </c>
      <c r="C46" s="1" t="n">
        <v>45879</v>
      </c>
      <c r="D46" t="inlineStr">
        <is>
          <t>JÖNKÖPINGS LÄN</t>
        </is>
      </c>
      <c r="E46" t="inlineStr">
        <is>
          <t>SÄVSJÖ</t>
        </is>
      </c>
      <c r="G46" t="n">
        <v>6.5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49653-2022</t>
        </is>
      </c>
      <c r="B47" s="1" t="n">
        <v>44862</v>
      </c>
      <c r="C47" s="1" t="n">
        <v>45879</v>
      </c>
      <c r="D47" t="inlineStr">
        <is>
          <t>JÖNKÖPINGS LÄN</t>
        </is>
      </c>
      <c r="E47" t="inlineStr">
        <is>
          <t>SÄVSJÖ</t>
        </is>
      </c>
      <c r="G47" t="n">
        <v>2.5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15947-2021</t>
        </is>
      </c>
      <c r="B48" s="1" t="n">
        <v>44287.45155092593</v>
      </c>
      <c r="C48" s="1" t="n">
        <v>45879</v>
      </c>
      <c r="D48" t="inlineStr">
        <is>
          <t>JÖNKÖPINGS LÄN</t>
        </is>
      </c>
      <c r="E48" t="inlineStr">
        <is>
          <t>SÄVSJÖ</t>
        </is>
      </c>
      <c r="G48" t="n">
        <v>0.7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69638-2021</t>
        </is>
      </c>
      <c r="B49" s="1" t="n">
        <v>44532.42516203703</v>
      </c>
      <c r="C49" s="1" t="n">
        <v>45879</v>
      </c>
      <c r="D49" t="inlineStr">
        <is>
          <t>JÖNKÖPINGS LÄN</t>
        </is>
      </c>
      <c r="E49" t="inlineStr">
        <is>
          <t>SÄVSJÖ</t>
        </is>
      </c>
      <c r="G49" t="n">
        <v>0.7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60373-2020</t>
        </is>
      </c>
      <c r="B50" s="1" t="n">
        <v>44152</v>
      </c>
      <c r="C50" s="1" t="n">
        <v>45879</v>
      </c>
      <c r="D50" t="inlineStr">
        <is>
          <t>JÖNKÖPINGS LÄN</t>
        </is>
      </c>
      <c r="E50" t="inlineStr">
        <is>
          <t>SÄVSJÖ</t>
        </is>
      </c>
      <c r="G50" t="n">
        <v>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55803-2020</t>
        </is>
      </c>
      <c r="B51" s="1" t="n">
        <v>44132</v>
      </c>
      <c r="C51" s="1" t="n">
        <v>45879</v>
      </c>
      <c r="D51" t="inlineStr">
        <is>
          <t>JÖNKÖPINGS LÄN</t>
        </is>
      </c>
      <c r="E51" t="inlineStr">
        <is>
          <t>SÄVSJÖ</t>
        </is>
      </c>
      <c r="G51" t="n">
        <v>0.8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37299-2021</t>
        </is>
      </c>
      <c r="B52" s="1" t="n">
        <v>44397</v>
      </c>
      <c r="C52" s="1" t="n">
        <v>45879</v>
      </c>
      <c r="D52" t="inlineStr">
        <is>
          <t>JÖNKÖPINGS LÄN</t>
        </is>
      </c>
      <c r="E52" t="inlineStr">
        <is>
          <t>SÄVSJÖ</t>
        </is>
      </c>
      <c r="G52" t="n">
        <v>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2352-2021</t>
        </is>
      </c>
      <c r="B53" s="1" t="n">
        <v>44214.41835648148</v>
      </c>
      <c r="C53" s="1" t="n">
        <v>45879</v>
      </c>
      <c r="D53" t="inlineStr">
        <is>
          <t>JÖNKÖPINGS LÄN</t>
        </is>
      </c>
      <c r="E53" t="inlineStr">
        <is>
          <t>SÄVSJÖ</t>
        </is>
      </c>
      <c r="G53" t="n">
        <v>1.4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1307-2022</t>
        </is>
      </c>
      <c r="B54" s="1" t="n">
        <v>44572.71422453703</v>
      </c>
      <c r="C54" s="1" t="n">
        <v>45879</v>
      </c>
      <c r="D54" t="inlineStr">
        <is>
          <t>JÖNKÖPINGS LÄN</t>
        </is>
      </c>
      <c r="E54" t="inlineStr">
        <is>
          <t>SÄVSJÖ</t>
        </is>
      </c>
      <c r="G54" t="n">
        <v>1.8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2654-2022</t>
        </is>
      </c>
      <c r="B55" s="1" t="n">
        <v>44580.54946759259</v>
      </c>
      <c r="C55" s="1" t="n">
        <v>45879</v>
      </c>
      <c r="D55" t="inlineStr">
        <is>
          <t>JÖNKÖPINGS LÄN</t>
        </is>
      </c>
      <c r="E55" t="inlineStr">
        <is>
          <t>SÄVSJÖ</t>
        </is>
      </c>
      <c r="G55" t="n">
        <v>0.5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65601-2020</t>
        </is>
      </c>
      <c r="B56" s="1" t="n">
        <v>44173</v>
      </c>
      <c r="C56" s="1" t="n">
        <v>45879</v>
      </c>
      <c r="D56" t="inlineStr">
        <is>
          <t>JÖNKÖPINGS LÄN</t>
        </is>
      </c>
      <c r="E56" t="inlineStr">
        <is>
          <t>SÄVSJÖ</t>
        </is>
      </c>
      <c r="G56" t="n">
        <v>1.3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4675-2021</t>
        </is>
      </c>
      <c r="B57" s="1" t="n">
        <v>44225</v>
      </c>
      <c r="C57" s="1" t="n">
        <v>45879</v>
      </c>
      <c r="D57" t="inlineStr">
        <is>
          <t>JÖNKÖPINGS LÄN</t>
        </is>
      </c>
      <c r="E57" t="inlineStr">
        <is>
          <t>SÄVSJÖ</t>
        </is>
      </c>
      <c r="G57" t="n">
        <v>1.1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62341-2020</t>
        </is>
      </c>
      <c r="B58" s="1" t="n">
        <v>44160</v>
      </c>
      <c r="C58" s="1" t="n">
        <v>45879</v>
      </c>
      <c r="D58" t="inlineStr">
        <is>
          <t>JÖNKÖPINGS LÄN</t>
        </is>
      </c>
      <c r="E58" t="inlineStr">
        <is>
          <t>SÄVSJÖ</t>
        </is>
      </c>
      <c r="G58" t="n">
        <v>0.6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20352-2021</t>
        </is>
      </c>
      <c r="B59" s="1" t="n">
        <v>44315.4225</v>
      </c>
      <c r="C59" s="1" t="n">
        <v>45879</v>
      </c>
      <c r="D59" t="inlineStr">
        <is>
          <t>JÖNKÖPINGS LÄN</t>
        </is>
      </c>
      <c r="E59" t="inlineStr">
        <is>
          <t>SÄVSJÖ</t>
        </is>
      </c>
      <c r="G59" t="n">
        <v>0.7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25111-2021</t>
        </is>
      </c>
      <c r="B60" s="1" t="n">
        <v>44341</v>
      </c>
      <c r="C60" s="1" t="n">
        <v>45879</v>
      </c>
      <c r="D60" t="inlineStr">
        <is>
          <t>JÖNKÖPINGS LÄN</t>
        </is>
      </c>
      <c r="E60" t="inlineStr">
        <is>
          <t>SÄVSJÖ</t>
        </is>
      </c>
      <c r="F60" t="inlineStr">
        <is>
          <t>Sveaskog</t>
        </is>
      </c>
      <c r="G60" t="n">
        <v>1.4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41210-2022</t>
        </is>
      </c>
      <c r="B61" s="1" t="n">
        <v>44826.03600694444</v>
      </c>
      <c r="C61" s="1" t="n">
        <v>45879</v>
      </c>
      <c r="D61" t="inlineStr">
        <is>
          <t>JÖNKÖPINGS LÄN</t>
        </is>
      </c>
      <c r="E61" t="inlineStr">
        <is>
          <t>SÄVSJÖ</t>
        </is>
      </c>
      <c r="G61" t="n">
        <v>0.7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28127-2022</t>
        </is>
      </c>
      <c r="B62" s="1" t="n">
        <v>44746.50565972222</v>
      </c>
      <c r="C62" s="1" t="n">
        <v>45879</v>
      </c>
      <c r="D62" t="inlineStr">
        <is>
          <t>JÖNKÖPINGS LÄN</t>
        </is>
      </c>
      <c r="E62" t="inlineStr">
        <is>
          <t>SÄVSJÖ</t>
        </is>
      </c>
      <c r="G62" t="n">
        <v>0.6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25107-2021</t>
        </is>
      </c>
      <c r="B63" s="1" t="n">
        <v>44341</v>
      </c>
      <c r="C63" s="1" t="n">
        <v>45879</v>
      </c>
      <c r="D63" t="inlineStr">
        <is>
          <t>JÖNKÖPINGS LÄN</t>
        </is>
      </c>
      <c r="E63" t="inlineStr">
        <is>
          <t>SÄVSJÖ</t>
        </is>
      </c>
      <c r="F63" t="inlineStr">
        <is>
          <t>Sveaskog</t>
        </is>
      </c>
      <c r="G63" t="n">
        <v>2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32011-2021</t>
        </is>
      </c>
      <c r="B64" s="1" t="n">
        <v>44370</v>
      </c>
      <c r="C64" s="1" t="n">
        <v>45879</v>
      </c>
      <c r="D64" t="inlineStr">
        <is>
          <t>JÖNKÖPINGS LÄN</t>
        </is>
      </c>
      <c r="E64" t="inlineStr">
        <is>
          <t>SÄVSJÖ</t>
        </is>
      </c>
      <c r="G64" t="n">
        <v>4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47757-2021</t>
        </is>
      </c>
      <c r="B65" s="1" t="n">
        <v>44448</v>
      </c>
      <c r="C65" s="1" t="n">
        <v>45879</v>
      </c>
      <c r="D65" t="inlineStr">
        <is>
          <t>JÖNKÖPINGS LÄN</t>
        </is>
      </c>
      <c r="E65" t="inlineStr">
        <is>
          <t>SÄVSJÖ</t>
        </is>
      </c>
      <c r="G65" t="n">
        <v>0.9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31914-2021</t>
        </is>
      </c>
      <c r="B66" s="1" t="n">
        <v>44370.4822337963</v>
      </c>
      <c r="C66" s="1" t="n">
        <v>45879</v>
      </c>
      <c r="D66" t="inlineStr">
        <is>
          <t>JÖNKÖPINGS LÄN</t>
        </is>
      </c>
      <c r="E66" t="inlineStr">
        <is>
          <t>SÄVSJÖ</t>
        </is>
      </c>
      <c r="G66" t="n">
        <v>1.6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15014-2021</t>
        </is>
      </c>
      <c r="B67" s="1" t="n">
        <v>44281</v>
      </c>
      <c r="C67" s="1" t="n">
        <v>45879</v>
      </c>
      <c r="D67" t="inlineStr">
        <is>
          <t>JÖNKÖPINGS LÄN</t>
        </is>
      </c>
      <c r="E67" t="inlineStr">
        <is>
          <t>SÄVSJÖ</t>
        </is>
      </c>
      <c r="F67" t="inlineStr">
        <is>
          <t>Sveaskog</t>
        </is>
      </c>
      <c r="G67" t="n">
        <v>1.7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38265-2021</t>
        </is>
      </c>
      <c r="B68" s="1" t="n">
        <v>44405.85179398148</v>
      </c>
      <c r="C68" s="1" t="n">
        <v>45879</v>
      </c>
      <c r="D68" t="inlineStr">
        <is>
          <t>JÖNKÖPINGS LÄN</t>
        </is>
      </c>
      <c r="E68" t="inlineStr">
        <is>
          <t>SÄVSJÖ</t>
        </is>
      </c>
      <c r="G68" t="n">
        <v>2.4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43604-2021</t>
        </is>
      </c>
      <c r="B69" s="1" t="n">
        <v>44433.47172453703</v>
      </c>
      <c r="C69" s="1" t="n">
        <v>45879</v>
      </c>
      <c r="D69" t="inlineStr">
        <is>
          <t>JÖNKÖPINGS LÄN</t>
        </is>
      </c>
      <c r="E69" t="inlineStr">
        <is>
          <t>SÄVSJÖ</t>
        </is>
      </c>
      <c r="G69" t="n">
        <v>1.7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35654-2021</t>
        </is>
      </c>
      <c r="B70" s="1" t="n">
        <v>44386</v>
      </c>
      <c r="C70" s="1" t="n">
        <v>45879</v>
      </c>
      <c r="D70" t="inlineStr">
        <is>
          <t>JÖNKÖPINGS LÄN</t>
        </is>
      </c>
      <c r="E70" t="inlineStr">
        <is>
          <t>SÄVSJÖ</t>
        </is>
      </c>
      <c r="G70" t="n">
        <v>1.5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49987-2020</t>
        </is>
      </c>
      <c r="B71" s="1" t="n">
        <v>44109</v>
      </c>
      <c r="C71" s="1" t="n">
        <v>45879</v>
      </c>
      <c r="D71" t="inlineStr">
        <is>
          <t>JÖNKÖPINGS LÄN</t>
        </is>
      </c>
      <c r="E71" t="inlineStr">
        <is>
          <t>SÄVSJÖ</t>
        </is>
      </c>
      <c r="G71" t="n">
        <v>5.1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7762-2022</t>
        </is>
      </c>
      <c r="B72" s="1" t="n">
        <v>44608</v>
      </c>
      <c r="C72" s="1" t="n">
        <v>45879</v>
      </c>
      <c r="D72" t="inlineStr">
        <is>
          <t>JÖNKÖPINGS LÄN</t>
        </is>
      </c>
      <c r="E72" t="inlineStr">
        <is>
          <t>SÄVSJÖ</t>
        </is>
      </c>
      <c r="G72" t="n">
        <v>1.3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42992-2022</t>
        </is>
      </c>
      <c r="B73" s="1" t="n">
        <v>44833</v>
      </c>
      <c r="C73" s="1" t="n">
        <v>45879</v>
      </c>
      <c r="D73" t="inlineStr">
        <is>
          <t>JÖNKÖPINGS LÄN</t>
        </is>
      </c>
      <c r="E73" t="inlineStr">
        <is>
          <t>SÄVSJÖ</t>
        </is>
      </c>
      <c r="G73" t="n">
        <v>3.9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45155-2022</t>
        </is>
      </c>
      <c r="B74" s="1" t="n">
        <v>44844.35899305555</v>
      </c>
      <c r="C74" s="1" t="n">
        <v>45879</v>
      </c>
      <c r="D74" t="inlineStr">
        <is>
          <t>JÖNKÖPINGS LÄN</t>
        </is>
      </c>
      <c r="E74" t="inlineStr">
        <is>
          <t>SÄVSJÖ</t>
        </is>
      </c>
      <c r="F74" t="inlineStr">
        <is>
          <t>Sveaskog</t>
        </is>
      </c>
      <c r="G74" t="n">
        <v>1.4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15816-2022</t>
        </is>
      </c>
      <c r="B75" s="1" t="n">
        <v>44664.33730324074</v>
      </c>
      <c r="C75" s="1" t="n">
        <v>45879</v>
      </c>
      <c r="D75" t="inlineStr">
        <is>
          <t>JÖNKÖPINGS LÄN</t>
        </is>
      </c>
      <c r="E75" t="inlineStr">
        <is>
          <t>SÄVSJÖ</t>
        </is>
      </c>
      <c r="F75" t="inlineStr">
        <is>
          <t>Kommuner</t>
        </is>
      </c>
      <c r="G75" t="n">
        <v>1.3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58045-2020</t>
        </is>
      </c>
      <c r="B76" s="1" t="n">
        <v>44144</v>
      </c>
      <c r="C76" s="1" t="n">
        <v>45879</v>
      </c>
      <c r="D76" t="inlineStr">
        <is>
          <t>JÖNKÖPINGS LÄN</t>
        </is>
      </c>
      <c r="E76" t="inlineStr">
        <is>
          <t>SÄVSJÖ</t>
        </is>
      </c>
      <c r="G76" t="n">
        <v>1.4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60374-2020</t>
        </is>
      </c>
      <c r="B77" s="1" t="n">
        <v>44152</v>
      </c>
      <c r="C77" s="1" t="n">
        <v>45879</v>
      </c>
      <c r="D77" t="inlineStr">
        <is>
          <t>JÖNKÖPINGS LÄN</t>
        </is>
      </c>
      <c r="E77" t="inlineStr">
        <is>
          <t>SÄVSJÖ</t>
        </is>
      </c>
      <c r="G77" t="n">
        <v>2.6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33631-2021</t>
        </is>
      </c>
      <c r="B78" s="1" t="n">
        <v>44378</v>
      </c>
      <c r="C78" s="1" t="n">
        <v>45879</v>
      </c>
      <c r="D78" t="inlineStr">
        <is>
          <t>JÖNKÖPINGS LÄN</t>
        </is>
      </c>
      <c r="E78" t="inlineStr">
        <is>
          <t>SÄVSJÖ</t>
        </is>
      </c>
      <c r="G78" t="n">
        <v>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33514-2021</t>
        </is>
      </c>
      <c r="B79" s="1" t="n">
        <v>44377</v>
      </c>
      <c r="C79" s="1" t="n">
        <v>45879</v>
      </c>
      <c r="D79" t="inlineStr">
        <is>
          <t>JÖNKÖPINGS LÄN</t>
        </is>
      </c>
      <c r="E79" t="inlineStr">
        <is>
          <t>SÄVSJÖ</t>
        </is>
      </c>
      <c r="G79" t="n">
        <v>3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15670-2022</t>
        </is>
      </c>
      <c r="B80" s="1" t="n">
        <v>44662.95068287037</v>
      </c>
      <c r="C80" s="1" t="n">
        <v>45879</v>
      </c>
      <c r="D80" t="inlineStr">
        <is>
          <t>JÖNKÖPINGS LÄN</t>
        </is>
      </c>
      <c r="E80" t="inlineStr">
        <is>
          <t>SÄVSJÖ</t>
        </is>
      </c>
      <c r="G80" t="n">
        <v>0.5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13556-2021</t>
        </is>
      </c>
      <c r="B81" s="1" t="n">
        <v>44273</v>
      </c>
      <c r="C81" s="1" t="n">
        <v>45879</v>
      </c>
      <c r="D81" t="inlineStr">
        <is>
          <t>JÖNKÖPINGS LÄN</t>
        </is>
      </c>
      <c r="E81" t="inlineStr">
        <is>
          <t>SÄVSJÖ</t>
        </is>
      </c>
      <c r="G81" t="n">
        <v>1.5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47095-2022</t>
        </is>
      </c>
      <c r="B82" s="1" t="n">
        <v>44852.46984953704</v>
      </c>
      <c r="C82" s="1" t="n">
        <v>45879</v>
      </c>
      <c r="D82" t="inlineStr">
        <is>
          <t>JÖNKÖPINGS LÄN</t>
        </is>
      </c>
      <c r="E82" t="inlineStr">
        <is>
          <t>SÄVSJÖ</t>
        </is>
      </c>
      <c r="G82" t="n">
        <v>0.4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69616-2020</t>
        </is>
      </c>
      <c r="B83" s="1" t="n">
        <v>44195.52358796296</v>
      </c>
      <c r="C83" s="1" t="n">
        <v>45879</v>
      </c>
      <c r="D83" t="inlineStr">
        <is>
          <t>JÖNKÖPINGS LÄN</t>
        </is>
      </c>
      <c r="E83" t="inlineStr">
        <is>
          <t>SÄVSJÖ</t>
        </is>
      </c>
      <c r="G83" t="n">
        <v>0.6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38950-2022</t>
        </is>
      </c>
      <c r="B84" s="1" t="n">
        <v>44816.69122685185</v>
      </c>
      <c r="C84" s="1" t="n">
        <v>45879</v>
      </c>
      <c r="D84" t="inlineStr">
        <is>
          <t>JÖNKÖPINGS LÄN</t>
        </is>
      </c>
      <c r="E84" t="inlineStr">
        <is>
          <t>SÄVSJÖ</t>
        </is>
      </c>
      <c r="G84" t="n">
        <v>0.5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31851-2021</t>
        </is>
      </c>
      <c r="B85" s="1" t="n">
        <v>44370.42076388889</v>
      </c>
      <c r="C85" s="1" t="n">
        <v>45879</v>
      </c>
      <c r="D85" t="inlineStr">
        <is>
          <t>JÖNKÖPINGS LÄN</t>
        </is>
      </c>
      <c r="E85" t="inlineStr">
        <is>
          <t>SÄVSJÖ</t>
        </is>
      </c>
      <c r="G85" t="n">
        <v>1.7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51374-2022</t>
        </is>
      </c>
      <c r="B86" s="1" t="n">
        <v>44869.40421296296</v>
      </c>
      <c r="C86" s="1" t="n">
        <v>45879</v>
      </c>
      <c r="D86" t="inlineStr">
        <is>
          <t>JÖNKÖPINGS LÄN</t>
        </is>
      </c>
      <c r="E86" t="inlineStr">
        <is>
          <t>SÄVSJÖ</t>
        </is>
      </c>
      <c r="G86" t="n">
        <v>0.8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47542-2022</t>
        </is>
      </c>
      <c r="B87" s="1" t="n">
        <v>44853</v>
      </c>
      <c r="C87" s="1" t="n">
        <v>45879</v>
      </c>
      <c r="D87" t="inlineStr">
        <is>
          <t>JÖNKÖPINGS LÄN</t>
        </is>
      </c>
      <c r="E87" t="inlineStr">
        <is>
          <t>SÄVSJÖ</t>
        </is>
      </c>
      <c r="G87" t="n">
        <v>1.7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34119-2022</t>
        </is>
      </c>
      <c r="B88" s="1" t="n">
        <v>44791</v>
      </c>
      <c r="C88" s="1" t="n">
        <v>45879</v>
      </c>
      <c r="D88" t="inlineStr">
        <is>
          <t>JÖNKÖPINGS LÄN</t>
        </is>
      </c>
      <c r="E88" t="inlineStr">
        <is>
          <t>SÄVSJÖ</t>
        </is>
      </c>
      <c r="G88" t="n">
        <v>1.2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36268-2021</t>
        </is>
      </c>
      <c r="B89" s="1" t="n">
        <v>44390.35111111111</v>
      </c>
      <c r="C89" s="1" t="n">
        <v>45879</v>
      </c>
      <c r="D89" t="inlineStr">
        <is>
          <t>JÖNKÖPINGS LÄN</t>
        </is>
      </c>
      <c r="E89" t="inlineStr">
        <is>
          <t>SÄVSJÖ</t>
        </is>
      </c>
      <c r="G89" t="n">
        <v>1.4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48124-2022</t>
        </is>
      </c>
      <c r="B90" s="1" t="n">
        <v>44857.73039351852</v>
      </c>
      <c r="C90" s="1" t="n">
        <v>45879</v>
      </c>
      <c r="D90" t="inlineStr">
        <is>
          <t>JÖNKÖPINGS LÄN</t>
        </is>
      </c>
      <c r="E90" t="inlineStr">
        <is>
          <t>SÄVSJÖ</t>
        </is>
      </c>
      <c r="G90" t="n">
        <v>0.3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53364-2021</t>
        </is>
      </c>
      <c r="B91" s="1" t="n">
        <v>44468.59461805555</v>
      </c>
      <c r="C91" s="1" t="n">
        <v>45879</v>
      </c>
      <c r="D91" t="inlineStr">
        <is>
          <t>JÖNKÖPINGS LÄN</t>
        </is>
      </c>
      <c r="E91" t="inlineStr">
        <is>
          <t>SÄVSJÖ</t>
        </is>
      </c>
      <c r="G91" t="n">
        <v>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33560-2022</t>
        </is>
      </c>
      <c r="B92" s="1" t="n">
        <v>44789.39461805556</v>
      </c>
      <c r="C92" s="1" t="n">
        <v>45879</v>
      </c>
      <c r="D92" t="inlineStr">
        <is>
          <t>JÖNKÖPINGS LÄN</t>
        </is>
      </c>
      <c r="E92" t="inlineStr">
        <is>
          <t>SÄVSJÖ</t>
        </is>
      </c>
      <c r="G92" t="n">
        <v>1.5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68338-2020</t>
        </is>
      </c>
      <c r="B93" s="1" t="n">
        <v>44186.32173611111</v>
      </c>
      <c r="C93" s="1" t="n">
        <v>45879</v>
      </c>
      <c r="D93" t="inlineStr">
        <is>
          <t>JÖNKÖPINGS LÄN</t>
        </is>
      </c>
      <c r="E93" t="inlineStr">
        <is>
          <t>SÄVSJÖ</t>
        </is>
      </c>
      <c r="G93" t="n">
        <v>0.4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28667-2021</t>
        </is>
      </c>
      <c r="B94" s="1" t="n">
        <v>44357.3718287037</v>
      </c>
      <c r="C94" s="1" t="n">
        <v>45879</v>
      </c>
      <c r="D94" t="inlineStr">
        <is>
          <t>JÖNKÖPINGS LÄN</t>
        </is>
      </c>
      <c r="E94" t="inlineStr">
        <is>
          <t>SÄVSJÖ</t>
        </is>
      </c>
      <c r="G94" t="n">
        <v>1.1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49660-2022</t>
        </is>
      </c>
      <c r="B95" s="1" t="n">
        <v>44862</v>
      </c>
      <c r="C95" s="1" t="n">
        <v>45879</v>
      </c>
      <c r="D95" t="inlineStr">
        <is>
          <t>JÖNKÖPINGS LÄN</t>
        </is>
      </c>
      <c r="E95" t="inlineStr">
        <is>
          <t>SÄVSJÖ</t>
        </is>
      </c>
      <c r="G95" t="n">
        <v>0.9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39150-2021</t>
        </is>
      </c>
      <c r="B96" s="1" t="n">
        <v>44412.68837962963</v>
      </c>
      <c r="C96" s="1" t="n">
        <v>45879</v>
      </c>
      <c r="D96" t="inlineStr">
        <is>
          <t>JÖNKÖPINGS LÄN</t>
        </is>
      </c>
      <c r="E96" t="inlineStr">
        <is>
          <t>SÄVSJÖ</t>
        </is>
      </c>
      <c r="G96" t="n">
        <v>0.7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33938-2022</t>
        </is>
      </c>
      <c r="B97" s="1" t="n">
        <v>44790.65711805555</v>
      </c>
      <c r="C97" s="1" t="n">
        <v>45879</v>
      </c>
      <c r="D97" t="inlineStr">
        <is>
          <t>JÖNKÖPINGS LÄN</t>
        </is>
      </c>
      <c r="E97" t="inlineStr">
        <is>
          <t>SÄVSJÖ</t>
        </is>
      </c>
      <c r="G97" t="n">
        <v>0.7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43566-2021</t>
        </is>
      </c>
      <c r="B98" s="1" t="n">
        <v>44433.42069444444</v>
      </c>
      <c r="C98" s="1" t="n">
        <v>45879</v>
      </c>
      <c r="D98" t="inlineStr">
        <is>
          <t>JÖNKÖPINGS LÄN</t>
        </is>
      </c>
      <c r="E98" t="inlineStr">
        <is>
          <t>SÄVSJÖ</t>
        </is>
      </c>
      <c r="G98" t="n">
        <v>7.3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3131-2022</t>
        </is>
      </c>
      <c r="B99" s="1" t="n">
        <v>44582</v>
      </c>
      <c r="C99" s="1" t="n">
        <v>45879</v>
      </c>
      <c r="D99" t="inlineStr">
        <is>
          <t>JÖNKÖPINGS LÄN</t>
        </is>
      </c>
      <c r="E99" t="inlineStr">
        <is>
          <t>SÄVSJÖ</t>
        </is>
      </c>
      <c r="G99" t="n">
        <v>4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54584-2022</t>
        </is>
      </c>
      <c r="B100" s="1" t="n">
        <v>44883.29135416666</v>
      </c>
      <c r="C100" s="1" t="n">
        <v>45879</v>
      </c>
      <c r="D100" t="inlineStr">
        <is>
          <t>JÖNKÖPINGS LÄN</t>
        </is>
      </c>
      <c r="E100" t="inlineStr">
        <is>
          <t>SÄVSJÖ</t>
        </is>
      </c>
      <c r="G100" t="n">
        <v>1.4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61579-2020</t>
        </is>
      </c>
      <c r="B101" s="1" t="n">
        <v>44158</v>
      </c>
      <c r="C101" s="1" t="n">
        <v>45879</v>
      </c>
      <c r="D101" t="inlineStr">
        <is>
          <t>JÖNKÖPINGS LÄN</t>
        </is>
      </c>
      <c r="E101" t="inlineStr">
        <is>
          <t>SÄVSJÖ</t>
        </is>
      </c>
      <c r="F101" t="inlineStr">
        <is>
          <t>Sveaskog</t>
        </is>
      </c>
      <c r="G101" t="n">
        <v>0.9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61944-2021</t>
        </is>
      </c>
      <c r="B102" s="1" t="n">
        <v>44502</v>
      </c>
      <c r="C102" s="1" t="n">
        <v>45879</v>
      </c>
      <c r="D102" t="inlineStr">
        <is>
          <t>JÖNKÖPINGS LÄN</t>
        </is>
      </c>
      <c r="E102" t="inlineStr">
        <is>
          <t>SÄVSJÖ</t>
        </is>
      </c>
      <c r="G102" t="n">
        <v>3.6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69927-2021</t>
        </is>
      </c>
      <c r="B103" s="1" t="n">
        <v>44533.31344907408</v>
      </c>
      <c r="C103" s="1" t="n">
        <v>45879</v>
      </c>
      <c r="D103" t="inlineStr">
        <is>
          <t>JÖNKÖPINGS LÄN</t>
        </is>
      </c>
      <c r="E103" t="inlineStr">
        <is>
          <t>SÄVSJÖ</t>
        </is>
      </c>
      <c r="G103" t="n">
        <v>1.7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71610-2021</t>
        </is>
      </c>
      <c r="B104" s="1" t="n">
        <v>44541</v>
      </c>
      <c r="C104" s="1" t="n">
        <v>45879</v>
      </c>
      <c r="D104" t="inlineStr">
        <is>
          <t>JÖNKÖPINGS LÄN</t>
        </is>
      </c>
      <c r="E104" t="inlineStr">
        <is>
          <t>SÄVSJÖ</t>
        </is>
      </c>
      <c r="G104" t="n">
        <v>0.8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51620-2020</t>
        </is>
      </c>
      <c r="B105" s="1" t="n">
        <v>44113</v>
      </c>
      <c r="C105" s="1" t="n">
        <v>45879</v>
      </c>
      <c r="D105" t="inlineStr">
        <is>
          <t>JÖNKÖPINGS LÄN</t>
        </is>
      </c>
      <c r="E105" t="inlineStr">
        <is>
          <t>SÄVSJÖ</t>
        </is>
      </c>
      <c r="G105" t="n">
        <v>0.8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363-2022</t>
        </is>
      </c>
      <c r="B106" s="1" t="n">
        <v>44565</v>
      </c>
      <c r="C106" s="1" t="n">
        <v>45879</v>
      </c>
      <c r="D106" t="inlineStr">
        <is>
          <t>JÖNKÖPINGS LÄN</t>
        </is>
      </c>
      <c r="E106" t="inlineStr">
        <is>
          <t>SÄVSJÖ</t>
        </is>
      </c>
      <c r="G106" t="n">
        <v>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35446-2022</t>
        </is>
      </c>
      <c r="B107" s="1" t="n">
        <v>44798.67543981481</v>
      </c>
      <c r="C107" s="1" t="n">
        <v>45879</v>
      </c>
      <c r="D107" t="inlineStr">
        <is>
          <t>JÖNKÖPINGS LÄN</t>
        </is>
      </c>
      <c r="E107" t="inlineStr">
        <is>
          <t>SÄVSJÖ</t>
        </is>
      </c>
      <c r="G107" t="n">
        <v>0.5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47070-2022</t>
        </is>
      </c>
      <c r="B108" s="1" t="n">
        <v>44851</v>
      </c>
      <c r="C108" s="1" t="n">
        <v>45879</v>
      </c>
      <c r="D108" t="inlineStr">
        <is>
          <t>JÖNKÖPINGS LÄN</t>
        </is>
      </c>
      <c r="E108" t="inlineStr">
        <is>
          <t>SÄVSJÖ</t>
        </is>
      </c>
      <c r="G108" t="n">
        <v>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10592-2022</t>
        </is>
      </c>
      <c r="B109" s="1" t="n">
        <v>44624</v>
      </c>
      <c r="C109" s="1" t="n">
        <v>45879</v>
      </c>
      <c r="D109" t="inlineStr">
        <is>
          <t>JÖNKÖPINGS LÄN</t>
        </is>
      </c>
      <c r="E109" t="inlineStr">
        <is>
          <t>SÄVSJÖ</t>
        </is>
      </c>
      <c r="G109" t="n">
        <v>0.7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33556-2022</t>
        </is>
      </c>
      <c r="B110" s="1" t="n">
        <v>44789.3846412037</v>
      </c>
      <c r="C110" s="1" t="n">
        <v>45879</v>
      </c>
      <c r="D110" t="inlineStr">
        <is>
          <t>JÖNKÖPINGS LÄN</t>
        </is>
      </c>
      <c r="E110" t="inlineStr">
        <is>
          <t>SÄVSJÖ</t>
        </is>
      </c>
      <c r="G110" t="n">
        <v>1.7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56330-2020</t>
        </is>
      </c>
      <c r="B111" s="1" t="n">
        <v>44134</v>
      </c>
      <c r="C111" s="1" t="n">
        <v>45879</v>
      </c>
      <c r="D111" t="inlineStr">
        <is>
          <t>JÖNKÖPINGS LÄN</t>
        </is>
      </c>
      <c r="E111" t="inlineStr">
        <is>
          <t>SÄVSJÖ</t>
        </is>
      </c>
      <c r="G111" t="n">
        <v>0.9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46514-2021</t>
        </is>
      </c>
      <c r="B112" s="1" t="n">
        <v>44445.44008101852</v>
      </c>
      <c r="C112" s="1" t="n">
        <v>45879</v>
      </c>
      <c r="D112" t="inlineStr">
        <is>
          <t>JÖNKÖPINGS LÄN</t>
        </is>
      </c>
      <c r="E112" t="inlineStr">
        <is>
          <t>SÄVSJÖ</t>
        </is>
      </c>
      <c r="G112" t="n">
        <v>0.6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49221-2022</t>
        </is>
      </c>
      <c r="B113" s="1" t="n">
        <v>44861.34555555556</v>
      </c>
      <c r="C113" s="1" t="n">
        <v>45879</v>
      </c>
      <c r="D113" t="inlineStr">
        <is>
          <t>JÖNKÖPINGS LÄN</t>
        </is>
      </c>
      <c r="E113" t="inlineStr">
        <is>
          <t>SÄVSJÖ</t>
        </is>
      </c>
      <c r="G113" t="n">
        <v>0.6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20603-2022</t>
        </is>
      </c>
      <c r="B114" s="1" t="n">
        <v>44700</v>
      </c>
      <c r="C114" s="1" t="n">
        <v>45879</v>
      </c>
      <c r="D114" t="inlineStr">
        <is>
          <t>JÖNKÖPINGS LÄN</t>
        </is>
      </c>
      <c r="E114" t="inlineStr">
        <is>
          <t>SÄVSJÖ</t>
        </is>
      </c>
      <c r="G114" t="n">
        <v>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43015-2022</t>
        </is>
      </c>
      <c r="B115" s="1" t="n">
        <v>44833.56226851852</v>
      </c>
      <c r="C115" s="1" t="n">
        <v>45879</v>
      </c>
      <c r="D115" t="inlineStr">
        <is>
          <t>JÖNKÖPINGS LÄN</t>
        </is>
      </c>
      <c r="E115" t="inlineStr">
        <is>
          <t>SÄVSJÖ</t>
        </is>
      </c>
      <c r="G115" t="n">
        <v>0.9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38176-2022</t>
        </is>
      </c>
      <c r="B116" s="1" t="n">
        <v>44812.39266203704</v>
      </c>
      <c r="C116" s="1" t="n">
        <v>45879</v>
      </c>
      <c r="D116" t="inlineStr">
        <is>
          <t>JÖNKÖPINGS LÄN</t>
        </is>
      </c>
      <c r="E116" t="inlineStr">
        <is>
          <t>SÄVSJÖ</t>
        </is>
      </c>
      <c r="G116" t="n">
        <v>1.1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63308-2023</t>
        </is>
      </c>
      <c r="B117" s="1" t="n">
        <v>45274.33671296296</v>
      </c>
      <c r="C117" s="1" t="n">
        <v>45879</v>
      </c>
      <c r="D117" t="inlineStr">
        <is>
          <t>JÖNKÖPINGS LÄN</t>
        </is>
      </c>
      <c r="E117" t="inlineStr">
        <is>
          <t>SÄVSJÖ</t>
        </is>
      </c>
      <c r="G117" t="n">
        <v>2.1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56097-2023</t>
        </is>
      </c>
      <c r="B118" s="1" t="n">
        <v>45240.53201388889</v>
      </c>
      <c r="C118" s="1" t="n">
        <v>45879</v>
      </c>
      <c r="D118" t="inlineStr">
        <is>
          <t>JÖNKÖPINGS LÄN</t>
        </is>
      </c>
      <c r="E118" t="inlineStr">
        <is>
          <t>SÄVSJÖ</t>
        </is>
      </c>
      <c r="G118" t="n">
        <v>1.8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66396-2021</t>
        </is>
      </c>
      <c r="B119" s="1" t="n">
        <v>44518</v>
      </c>
      <c r="C119" s="1" t="n">
        <v>45879</v>
      </c>
      <c r="D119" t="inlineStr">
        <is>
          <t>JÖNKÖPINGS LÄN</t>
        </is>
      </c>
      <c r="E119" t="inlineStr">
        <is>
          <t>SÄVSJÖ</t>
        </is>
      </c>
      <c r="G119" t="n">
        <v>0.7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19118-2025</t>
        </is>
      </c>
      <c r="B120" s="1" t="n">
        <v>45768</v>
      </c>
      <c r="C120" s="1" t="n">
        <v>45879</v>
      </c>
      <c r="D120" t="inlineStr">
        <is>
          <t>JÖNKÖPINGS LÄN</t>
        </is>
      </c>
      <c r="E120" t="inlineStr">
        <is>
          <t>SÄVSJÖ</t>
        </is>
      </c>
      <c r="G120" t="n">
        <v>1.6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19123-2025</t>
        </is>
      </c>
      <c r="B121" s="1" t="n">
        <v>45768.83069444444</v>
      </c>
      <c r="C121" s="1" t="n">
        <v>45879</v>
      </c>
      <c r="D121" t="inlineStr">
        <is>
          <t>JÖNKÖPINGS LÄN</t>
        </is>
      </c>
      <c r="E121" t="inlineStr">
        <is>
          <t>SÄVSJÖ</t>
        </is>
      </c>
      <c r="G121" t="n">
        <v>0.6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19847-2023</t>
        </is>
      </c>
      <c r="B122" s="1" t="n">
        <v>45053</v>
      </c>
      <c r="C122" s="1" t="n">
        <v>45879</v>
      </c>
      <c r="D122" t="inlineStr">
        <is>
          <t>JÖNKÖPINGS LÄN</t>
        </is>
      </c>
      <c r="E122" t="inlineStr">
        <is>
          <t>SÄVSJÖ</t>
        </is>
      </c>
      <c r="G122" t="n">
        <v>2.6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3306-2024</t>
        </is>
      </c>
      <c r="B123" s="1" t="n">
        <v>45317</v>
      </c>
      <c r="C123" s="1" t="n">
        <v>45879</v>
      </c>
      <c r="D123" t="inlineStr">
        <is>
          <t>JÖNKÖPINGS LÄN</t>
        </is>
      </c>
      <c r="E123" t="inlineStr">
        <is>
          <t>SÄVSJÖ</t>
        </is>
      </c>
      <c r="G123" t="n">
        <v>19.9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46580-2023</t>
        </is>
      </c>
      <c r="B124" s="1" t="n">
        <v>45198.36701388889</v>
      </c>
      <c r="C124" s="1" t="n">
        <v>45879</v>
      </c>
      <c r="D124" t="inlineStr">
        <is>
          <t>JÖNKÖPINGS LÄN</t>
        </is>
      </c>
      <c r="E124" t="inlineStr">
        <is>
          <t>SÄVSJÖ</t>
        </is>
      </c>
      <c r="G124" t="n">
        <v>3.2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11266-2024</t>
        </is>
      </c>
      <c r="B125" s="1" t="n">
        <v>45371.68094907407</v>
      </c>
      <c r="C125" s="1" t="n">
        <v>45879</v>
      </c>
      <c r="D125" t="inlineStr">
        <is>
          <t>JÖNKÖPINGS LÄN</t>
        </is>
      </c>
      <c r="E125" t="inlineStr">
        <is>
          <t>SÄVSJÖ</t>
        </is>
      </c>
      <c r="G125" t="n">
        <v>5.4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1433-2025</t>
        </is>
      </c>
      <c r="B126" s="1" t="n">
        <v>45669.61686342592</v>
      </c>
      <c r="C126" s="1" t="n">
        <v>45879</v>
      </c>
      <c r="D126" t="inlineStr">
        <is>
          <t>JÖNKÖPINGS LÄN</t>
        </is>
      </c>
      <c r="E126" t="inlineStr">
        <is>
          <t>SÄVSJÖ</t>
        </is>
      </c>
      <c r="G126" t="n">
        <v>1.1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5671-2024</t>
        </is>
      </c>
      <c r="B127" s="1" t="n">
        <v>45334.66422453704</v>
      </c>
      <c r="C127" s="1" t="n">
        <v>45879</v>
      </c>
      <c r="D127" t="inlineStr">
        <is>
          <t>JÖNKÖPINGS LÄN</t>
        </is>
      </c>
      <c r="E127" t="inlineStr">
        <is>
          <t>SÄVSJÖ</t>
        </is>
      </c>
      <c r="G127" t="n">
        <v>0.7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5676-2024</t>
        </is>
      </c>
      <c r="B128" s="1" t="n">
        <v>45334.66792824074</v>
      </c>
      <c r="C128" s="1" t="n">
        <v>45879</v>
      </c>
      <c r="D128" t="inlineStr">
        <is>
          <t>JÖNKÖPINGS LÄN</t>
        </is>
      </c>
      <c r="E128" t="inlineStr">
        <is>
          <t>SÄVSJÖ</t>
        </is>
      </c>
      <c r="G128" t="n">
        <v>1.3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5679-2024</t>
        </is>
      </c>
      <c r="B129" s="1" t="n">
        <v>45334.67164351852</v>
      </c>
      <c r="C129" s="1" t="n">
        <v>45879</v>
      </c>
      <c r="D129" t="inlineStr">
        <is>
          <t>JÖNKÖPINGS LÄN</t>
        </is>
      </c>
      <c r="E129" t="inlineStr">
        <is>
          <t>SÄVSJÖ</t>
        </is>
      </c>
      <c r="G129" t="n">
        <v>3.7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46609-2023</t>
        </is>
      </c>
      <c r="B130" s="1" t="n">
        <v>45198.39920138889</v>
      </c>
      <c r="C130" s="1" t="n">
        <v>45879</v>
      </c>
      <c r="D130" t="inlineStr">
        <is>
          <t>JÖNKÖPINGS LÄN</t>
        </is>
      </c>
      <c r="E130" t="inlineStr">
        <is>
          <t>SÄVSJÖ</t>
        </is>
      </c>
      <c r="G130" t="n">
        <v>1.4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17327-2025</t>
        </is>
      </c>
      <c r="B131" s="1" t="n">
        <v>45756.64060185185</v>
      </c>
      <c r="C131" s="1" t="n">
        <v>45879</v>
      </c>
      <c r="D131" t="inlineStr">
        <is>
          <t>JÖNKÖPINGS LÄN</t>
        </is>
      </c>
      <c r="E131" t="inlineStr">
        <is>
          <t>SÄVSJÖ</t>
        </is>
      </c>
      <c r="F131" t="inlineStr">
        <is>
          <t>Kommuner</t>
        </is>
      </c>
      <c r="G131" t="n">
        <v>1.6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54940-2022</t>
        </is>
      </c>
      <c r="B132" s="1" t="n">
        <v>44886</v>
      </c>
      <c r="C132" s="1" t="n">
        <v>45879</v>
      </c>
      <c r="D132" t="inlineStr">
        <is>
          <t>JÖNKÖPINGS LÄN</t>
        </is>
      </c>
      <c r="E132" t="inlineStr">
        <is>
          <t>SÄVSJÖ</t>
        </is>
      </c>
      <c r="G132" t="n">
        <v>1.4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6292-2024</t>
        </is>
      </c>
      <c r="B133" s="1" t="n">
        <v>45338</v>
      </c>
      <c r="C133" s="1" t="n">
        <v>45879</v>
      </c>
      <c r="D133" t="inlineStr">
        <is>
          <t>JÖNKÖPINGS LÄN</t>
        </is>
      </c>
      <c r="E133" t="inlineStr">
        <is>
          <t>SÄVSJÖ</t>
        </is>
      </c>
      <c r="G133" t="n">
        <v>3.2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24253-2023</t>
        </is>
      </c>
      <c r="B134" s="1" t="n">
        <v>45079</v>
      </c>
      <c r="C134" s="1" t="n">
        <v>45879</v>
      </c>
      <c r="D134" t="inlineStr">
        <is>
          <t>JÖNKÖPINGS LÄN</t>
        </is>
      </c>
      <c r="E134" t="inlineStr">
        <is>
          <t>SÄVSJÖ</t>
        </is>
      </c>
      <c r="G134" t="n">
        <v>0.5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15605-2021</t>
        </is>
      </c>
      <c r="B135" s="1" t="n">
        <v>44285.7033912037</v>
      </c>
      <c r="C135" s="1" t="n">
        <v>45879</v>
      </c>
      <c r="D135" t="inlineStr">
        <is>
          <t>JÖNKÖPINGS LÄN</t>
        </is>
      </c>
      <c r="E135" t="inlineStr">
        <is>
          <t>SÄVSJÖ</t>
        </is>
      </c>
      <c r="G135" t="n">
        <v>1.8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32177-2022</t>
        </is>
      </c>
      <c r="B136" s="1" t="n">
        <v>44781.37054398148</v>
      </c>
      <c r="C136" s="1" t="n">
        <v>45879</v>
      </c>
      <c r="D136" t="inlineStr">
        <is>
          <t>JÖNKÖPINGS LÄN</t>
        </is>
      </c>
      <c r="E136" t="inlineStr">
        <is>
          <t>SÄVSJÖ</t>
        </is>
      </c>
      <c r="G136" t="n">
        <v>1.9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50627-2022</t>
        </is>
      </c>
      <c r="B137" s="1" t="n">
        <v>44866</v>
      </c>
      <c r="C137" s="1" t="n">
        <v>45879</v>
      </c>
      <c r="D137" t="inlineStr">
        <is>
          <t>JÖNKÖPINGS LÄN</t>
        </is>
      </c>
      <c r="E137" t="inlineStr">
        <is>
          <t>SÄVSJÖ</t>
        </is>
      </c>
      <c r="G137" t="n">
        <v>1.1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9373-2025</t>
        </is>
      </c>
      <c r="B138" s="1" t="n">
        <v>45715.32950231482</v>
      </c>
      <c r="C138" s="1" t="n">
        <v>45879</v>
      </c>
      <c r="D138" t="inlineStr">
        <is>
          <t>JÖNKÖPINGS LÄN</t>
        </is>
      </c>
      <c r="E138" t="inlineStr">
        <is>
          <t>SÄVSJÖ</t>
        </is>
      </c>
      <c r="G138" t="n">
        <v>2.4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19759-2025</t>
        </is>
      </c>
      <c r="B139" s="1" t="n">
        <v>45771</v>
      </c>
      <c r="C139" s="1" t="n">
        <v>45879</v>
      </c>
      <c r="D139" t="inlineStr">
        <is>
          <t>JÖNKÖPINGS LÄN</t>
        </is>
      </c>
      <c r="E139" t="inlineStr">
        <is>
          <t>SÄVSJÖ</t>
        </is>
      </c>
      <c r="G139" t="n">
        <v>0.9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16368-2024</t>
        </is>
      </c>
      <c r="B140" s="1" t="n">
        <v>45407.59642361111</v>
      </c>
      <c r="C140" s="1" t="n">
        <v>45879</v>
      </c>
      <c r="D140" t="inlineStr">
        <is>
          <t>JÖNKÖPINGS LÄN</t>
        </is>
      </c>
      <c r="E140" t="inlineStr">
        <is>
          <t>SÄVSJÖ</t>
        </is>
      </c>
      <c r="G140" t="n">
        <v>0.5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16372-2024</t>
        </is>
      </c>
      <c r="B141" s="1" t="n">
        <v>45407.6003587963</v>
      </c>
      <c r="C141" s="1" t="n">
        <v>45879</v>
      </c>
      <c r="D141" t="inlineStr">
        <is>
          <t>JÖNKÖPINGS LÄN</t>
        </is>
      </c>
      <c r="E141" t="inlineStr">
        <is>
          <t>SÄVSJÖ</t>
        </is>
      </c>
      <c r="G141" t="n">
        <v>0.5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42400-2022</t>
        </is>
      </c>
      <c r="B142" s="1" t="n">
        <v>44830</v>
      </c>
      <c r="C142" s="1" t="n">
        <v>45879</v>
      </c>
      <c r="D142" t="inlineStr">
        <is>
          <t>JÖNKÖPINGS LÄN</t>
        </is>
      </c>
      <c r="E142" t="inlineStr">
        <is>
          <t>SÄVSJÖ</t>
        </is>
      </c>
      <c r="G142" t="n">
        <v>1.9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55254-2021</t>
        </is>
      </c>
      <c r="B143" s="1" t="n">
        <v>44475.41114583334</v>
      </c>
      <c r="C143" s="1" t="n">
        <v>45879</v>
      </c>
      <c r="D143" t="inlineStr">
        <is>
          <t>JÖNKÖPINGS LÄN</t>
        </is>
      </c>
      <c r="E143" t="inlineStr">
        <is>
          <t>SÄVSJÖ</t>
        </is>
      </c>
      <c r="G143" t="n">
        <v>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15054-2023</t>
        </is>
      </c>
      <c r="B144" s="1" t="n">
        <v>45015.68395833333</v>
      </c>
      <c r="C144" s="1" t="n">
        <v>45879</v>
      </c>
      <c r="D144" t="inlineStr">
        <is>
          <t>JÖNKÖPINGS LÄN</t>
        </is>
      </c>
      <c r="E144" t="inlineStr">
        <is>
          <t>SÄVSJÖ</t>
        </is>
      </c>
      <c r="G144" t="n">
        <v>0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8600-2023</t>
        </is>
      </c>
      <c r="B145" s="1" t="n">
        <v>44977</v>
      </c>
      <c r="C145" s="1" t="n">
        <v>45879</v>
      </c>
      <c r="D145" t="inlineStr">
        <is>
          <t>JÖNKÖPINGS LÄN</t>
        </is>
      </c>
      <c r="E145" t="inlineStr">
        <is>
          <t>SÄVSJÖ</t>
        </is>
      </c>
      <c r="G145" t="n">
        <v>1.2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49708-2023</t>
        </is>
      </c>
      <c r="B146" s="1" t="n">
        <v>45212.41587962963</v>
      </c>
      <c r="C146" s="1" t="n">
        <v>45879</v>
      </c>
      <c r="D146" t="inlineStr">
        <is>
          <t>JÖNKÖPINGS LÄN</t>
        </is>
      </c>
      <c r="E146" t="inlineStr">
        <is>
          <t>SÄVSJÖ</t>
        </is>
      </c>
      <c r="G146" t="n">
        <v>0.5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19017-2025</t>
        </is>
      </c>
      <c r="B147" s="1" t="n">
        <v>45764.60275462963</v>
      </c>
      <c r="C147" s="1" t="n">
        <v>45879</v>
      </c>
      <c r="D147" t="inlineStr">
        <is>
          <t>JÖNKÖPINGS LÄN</t>
        </is>
      </c>
      <c r="E147" t="inlineStr">
        <is>
          <t>SÄVSJÖ</t>
        </is>
      </c>
      <c r="G147" t="n">
        <v>2.1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30364-2023</t>
        </is>
      </c>
      <c r="B148" s="1" t="n">
        <v>45111.42782407408</v>
      </c>
      <c r="C148" s="1" t="n">
        <v>45879</v>
      </c>
      <c r="D148" t="inlineStr">
        <is>
          <t>JÖNKÖPINGS LÄN</t>
        </is>
      </c>
      <c r="E148" t="inlineStr">
        <is>
          <t>SÄVSJÖ</t>
        </is>
      </c>
      <c r="G148" t="n">
        <v>0.7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62182-2023</t>
        </is>
      </c>
      <c r="B149" s="1" t="n">
        <v>45267.44077546296</v>
      </c>
      <c r="C149" s="1" t="n">
        <v>45879</v>
      </c>
      <c r="D149" t="inlineStr">
        <is>
          <t>JÖNKÖPINGS LÄN</t>
        </is>
      </c>
      <c r="E149" t="inlineStr">
        <is>
          <t>SÄVSJÖ</t>
        </is>
      </c>
      <c r="G149" t="n">
        <v>1.5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908-2024</t>
        </is>
      </c>
      <c r="B150" s="1" t="n">
        <v>45301.46082175926</v>
      </c>
      <c r="C150" s="1" t="n">
        <v>45879</v>
      </c>
      <c r="D150" t="inlineStr">
        <is>
          <t>JÖNKÖPINGS LÄN</t>
        </is>
      </c>
      <c r="E150" t="inlineStr">
        <is>
          <t>SÄVSJÖ</t>
        </is>
      </c>
      <c r="G150" t="n">
        <v>0.9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2860-2024</t>
        </is>
      </c>
      <c r="B151" s="1" t="n">
        <v>45315.4415625</v>
      </c>
      <c r="C151" s="1" t="n">
        <v>45879</v>
      </c>
      <c r="D151" t="inlineStr">
        <is>
          <t>JÖNKÖPINGS LÄN</t>
        </is>
      </c>
      <c r="E151" t="inlineStr">
        <is>
          <t>SÄVSJÖ</t>
        </is>
      </c>
      <c r="G151" t="n">
        <v>0.6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19122-2025</t>
        </is>
      </c>
      <c r="B152" s="1" t="n">
        <v>45768.82885416667</v>
      </c>
      <c r="C152" s="1" t="n">
        <v>45879</v>
      </c>
      <c r="D152" t="inlineStr">
        <is>
          <t>JÖNKÖPINGS LÄN</t>
        </is>
      </c>
      <c r="E152" t="inlineStr">
        <is>
          <t>SÄVSJÖ</t>
        </is>
      </c>
      <c r="G152" t="n">
        <v>2.9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49449-2023</t>
        </is>
      </c>
      <c r="B153" s="1" t="n">
        <v>45211</v>
      </c>
      <c r="C153" s="1" t="n">
        <v>45879</v>
      </c>
      <c r="D153" t="inlineStr">
        <is>
          <t>JÖNKÖPINGS LÄN</t>
        </is>
      </c>
      <c r="E153" t="inlineStr">
        <is>
          <t>SÄVSJÖ</t>
        </is>
      </c>
      <c r="G153" t="n">
        <v>1.2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37108-2022</t>
        </is>
      </c>
      <c r="B154" s="1" t="n">
        <v>44806.52077546297</v>
      </c>
      <c r="C154" s="1" t="n">
        <v>45879</v>
      </c>
      <c r="D154" t="inlineStr">
        <is>
          <t>JÖNKÖPINGS LÄN</t>
        </is>
      </c>
      <c r="E154" t="inlineStr">
        <is>
          <t>SÄVSJÖ</t>
        </is>
      </c>
      <c r="G154" t="n">
        <v>1.2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21788-2023</t>
        </is>
      </c>
      <c r="B155" s="1" t="n">
        <v>45066.71208333333</v>
      </c>
      <c r="C155" s="1" t="n">
        <v>45879</v>
      </c>
      <c r="D155" t="inlineStr">
        <is>
          <t>JÖNKÖPINGS LÄN</t>
        </is>
      </c>
      <c r="E155" t="inlineStr">
        <is>
          <t>SÄVSJÖ</t>
        </is>
      </c>
      <c r="G155" t="n">
        <v>2.9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28423-2023</t>
        </is>
      </c>
      <c r="B156" s="1" t="n">
        <v>45102</v>
      </c>
      <c r="C156" s="1" t="n">
        <v>45879</v>
      </c>
      <c r="D156" t="inlineStr">
        <is>
          <t>JÖNKÖPINGS LÄN</t>
        </is>
      </c>
      <c r="E156" t="inlineStr">
        <is>
          <t>SÄVSJÖ</t>
        </is>
      </c>
      <c r="G156" t="n">
        <v>1.9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50629-2022</t>
        </is>
      </c>
      <c r="B157" s="1" t="n">
        <v>44866</v>
      </c>
      <c r="C157" s="1" t="n">
        <v>45879</v>
      </c>
      <c r="D157" t="inlineStr">
        <is>
          <t>JÖNKÖPINGS LÄN</t>
        </is>
      </c>
      <c r="E157" t="inlineStr">
        <is>
          <t>SÄVSJÖ</t>
        </is>
      </c>
      <c r="G157" t="n">
        <v>5.6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46307-2021</t>
        </is>
      </c>
      <c r="B158" s="1" t="n">
        <v>44442</v>
      </c>
      <c r="C158" s="1" t="n">
        <v>45879</v>
      </c>
      <c r="D158" t="inlineStr">
        <is>
          <t>JÖNKÖPINGS LÄN</t>
        </is>
      </c>
      <c r="E158" t="inlineStr">
        <is>
          <t>SÄVSJÖ</t>
        </is>
      </c>
      <c r="F158" t="inlineStr">
        <is>
          <t>Kommuner</t>
        </is>
      </c>
      <c r="G158" t="n">
        <v>25.6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55799-2022</t>
        </is>
      </c>
      <c r="B159" s="1" t="n">
        <v>44888</v>
      </c>
      <c r="C159" s="1" t="n">
        <v>45879</v>
      </c>
      <c r="D159" t="inlineStr">
        <is>
          <t>JÖNKÖPINGS LÄN</t>
        </is>
      </c>
      <c r="E159" t="inlineStr">
        <is>
          <t>SÄVSJÖ</t>
        </is>
      </c>
      <c r="G159" t="n">
        <v>2.1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15834-2022</t>
        </is>
      </c>
      <c r="B160" s="1" t="n">
        <v>44664.39613425926</v>
      </c>
      <c r="C160" s="1" t="n">
        <v>45879</v>
      </c>
      <c r="D160" t="inlineStr">
        <is>
          <t>JÖNKÖPINGS LÄN</t>
        </is>
      </c>
      <c r="E160" t="inlineStr">
        <is>
          <t>SÄVSJÖ</t>
        </is>
      </c>
      <c r="G160" t="n">
        <v>0.6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12807-2022</t>
        </is>
      </c>
      <c r="B161" s="1" t="n">
        <v>44642</v>
      </c>
      <c r="C161" s="1" t="n">
        <v>45879</v>
      </c>
      <c r="D161" t="inlineStr">
        <is>
          <t>JÖNKÖPINGS LÄN</t>
        </is>
      </c>
      <c r="E161" t="inlineStr">
        <is>
          <t>SÄVSJÖ</t>
        </is>
      </c>
      <c r="G161" t="n">
        <v>1.3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18978-2024</t>
        </is>
      </c>
      <c r="B162" s="1" t="n">
        <v>45427.57880787037</v>
      </c>
      <c r="C162" s="1" t="n">
        <v>45879</v>
      </c>
      <c r="D162" t="inlineStr">
        <is>
          <t>JÖNKÖPINGS LÄN</t>
        </is>
      </c>
      <c r="E162" t="inlineStr">
        <is>
          <t>SÄVSJÖ</t>
        </is>
      </c>
      <c r="G162" t="n">
        <v>0.9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6570-2025</t>
        </is>
      </c>
      <c r="B163" s="1" t="n">
        <v>45699.7653587963</v>
      </c>
      <c r="C163" s="1" t="n">
        <v>45879</v>
      </c>
      <c r="D163" t="inlineStr">
        <is>
          <t>JÖNKÖPINGS LÄN</t>
        </is>
      </c>
      <c r="E163" t="inlineStr">
        <is>
          <t>SÄVSJÖ</t>
        </is>
      </c>
      <c r="G163" t="n">
        <v>2.9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22730-2024</t>
        </is>
      </c>
      <c r="B164" s="1" t="n">
        <v>45448.37774305556</v>
      </c>
      <c r="C164" s="1" t="n">
        <v>45879</v>
      </c>
      <c r="D164" t="inlineStr">
        <is>
          <t>JÖNKÖPINGS LÄN</t>
        </is>
      </c>
      <c r="E164" t="inlineStr">
        <is>
          <t>SÄVSJÖ</t>
        </is>
      </c>
      <c r="G164" t="n">
        <v>1.8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53102-2023</t>
        </is>
      </c>
      <c r="B165" s="1" t="n">
        <v>45228.56903935185</v>
      </c>
      <c r="C165" s="1" t="n">
        <v>45879</v>
      </c>
      <c r="D165" t="inlineStr">
        <is>
          <t>JÖNKÖPINGS LÄN</t>
        </is>
      </c>
      <c r="E165" t="inlineStr">
        <is>
          <t>SÄVSJÖ</t>
        </is>
      </c>
      <c r="G165" t="n">
        <v>5.3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22222-2024</t>
        </is>
      </c>
      <c r="B166" s="1" t="n">
        <v>45446.40579861111</v>
      </c>
      <c r="C166" s="1" t="n">
        <v>45879</v>
      </c>
      <c r="D166" t="inlineStr">
        <is>
          <t>JÖNKÖPINGS LÄN</t>
        </is>
      </c>
      <c r="E166" t="inlineStr">
        <is>
          <t>SÄVSJÖ</t>
        </is>
      </c>
      <c r="G166" t="n">
        <v>5.3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9368-2025</t>
        </is>
      </c>
      <c r="B167" s="1" t="n">
        <v>45715.32331018519</v>
      </c>
      <c r="C167" s="1" t="n">
        <v>45879</v>
      </c>
      <c r="D167" t="inlineStr">
        <is>
          <t>JÖNKÖPINGS LÄN</t>
        </is>
      </c>
      <c r="E167" t="inlineStr">
        <is>
          <t>SÄVSJÖ</t>
        </is>
      </c>
      <c r="G167" t="n">
        <v>2.1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60382-2020</t>
        </is>
      </c>
      <c r="B168" s="1" t="n">
        <v>44152</v>
      </c>
      <c r="C168" s="1" t="n">
        <v>45879</v>
      </c>
      <c r="D168" t="inlineStr">
        <is>
          <t>JÖNKÖPINGS LÄN</t>
        </is>
      </c>
      <c r="E168" t="inlineStr">
        <is>
          <t>SÄVSJÖ</t>
        </is>
      </c>
      <c r="G168" t="n">
        <v>0.9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59056-2023</t>
        </is>
      </c>
      <c r="B169" s="1" t="n">
        <v>45252.79423611111</v>
      </c>
      <c r="C169" s="1" t="n">
        <v>45879</v>
      </c>
      <c r="D169" t="inlineStr">
        <is>
          <t>JÖNKÖPINGS LÄN</t>
        </is>
      </c>
      <c r="E169" t="inlineStr">
        <is>
          <t>SÄVSJÖ</t>
        </is>
      </c>
      <c r="G169" t="n">
        <v>2.6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16034-2025</t>
        </is>
      </c>
      <c r="B170" s="1" t="n">
        <v>45748</v>
      </c>
      <c r="C170" s="1" t="n">
        <v>45879</v>
      </c>
      <c r="D170" t="inlineStr">
        <is>
          <t>JÖNKÖPINGS LÄN</t>
        </is>
      </c>
      <c r="E170" t="inlineStr">
        <is>
          <t>SÄVSJÖ</t>
        </is>
      </c>
      <c r="F170" t="inlineStr">
        <is>
          <t>Kyrkan</t>
        </is>
      </c>
      <c r="G170" t="n">
        <v>0.6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25118-2023</t>
        </is>
      </c>
      <c r="B171" s="1" t="n">
        <v>45086.42130787037</v>
      </c>
      <c r="C171" s="1" t="n">
        <v>45879</v>
      </c>
      <c r="D171" t="inlineStr">
        <is>
          <t>JÖNKÖPINGS LÄN</t>
        </is>
      </c>
      <c r="E171" t="inlineStr">
        <is>
          <t>SÄVSJÖ</t>
        </is>
      </c>
      <c r="G171" t="n">
        <v>0.5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10516-2024</t>
        </is>
      </c>
      <c r="B172" s="1" t="n">
        <v>45366</v>
      </c>
      <c r="C172" s="1" t="n">
        <v>45879</v>
      </c>
      <c r="D172" t="inlineStr">
        <is>
          <t>JÖNKÖPINGS LÄN</t>
        </is>
      </c>
      <c r="E172" t="inlineStr">
        <is>
          <t>SÄVSJÖ</t>
        </is>
      </c>
      <c r="G172" t="n">
        <v>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44245-2022</t>
        </is>
      </c>
      <c r="B173" s="1" t="n">
        <v>44839.55789351852</v>
      </c>
      <c r="C173" s="1" t="n">
        <v>45879</v>
      </c>
      <c r="D173" t="inlineStr">
        <is>
          <t>JÖNKÖPINGS LÄN</t>
        </is>
      </c>
      <c r="E173" t="inlineStr">
        <is>
          <t>SÄVSJÖ</t>
        </is>
      </c>
      <c r="G173" t="n">
        <v>4.7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1106-2025</t>
        </is>
      </c>
      <c r="B174" s="1" t="n">
        <v>45666.65113425926</v>
      </c>
      <c r="C174" s="1" t="n">
        <v>45879</v>
      </c>
      <c r="D174" t="inlineStr">
        <is>
          <t>JÖNKÖPINGS LÄN</t>
        </is>
      </c>
      <c r="E174" t="inlineStr">
        <is>
          <t>SÄVSJÖ</t>
        </is>
      </c>
      <c r="G174" t="n">
        <v>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23637-2024</t>
        </is>
      </c>
      <c r="B175" s="1" t="n">
        <v>45454.48295138889</v>
      </c>
      <c r="C175" s="1" t="n">
        <v>45879</v>
      </c>
      <c r="D175" t="inlineStr">
        <is>
          <t>JÖNKÖPINGS LÄN</t>
        </is>
      </c>
      <c r="E175" t="inlineStr">
        <is>
          <t>SÄVSJÖ</t>
        </is>
      </c>
      <c r="G175" t="n">
        <v>1.1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27014-2023</t>
        </is>
      </c>
      <c r="B176" s="1" t="n">
        <v>45094.85483796296</v>
      </c>
      <c r="C176" s="1" t="n">
        <v>45879</v>
      </c>
      <c r="D176" t="inlineStr">
        <is>
          <t>JÖNKÖPINGS LÄN</t>
        </is>
      </c>
      <c r="E176" t="inlineStr">
        <is>
          <t>SÄVSJÖ</t>
        </is>
      </c>
      <c r="G176" t="n">
        <v>2.2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11258-2024</t>
        </is>
      </c>
      <c r="B177" s="1" t="n">
        <v>45371.66693287037</v>
      </c>
      <c r="C177" s="1" t="n">
        <v>45879</v>
      </c>
      <c r="D177" t="inlineStr">
        <is>
          <t>JÖNKÖPINGS LÄN</t>
        </is>
      </c>
      <c r="E177" t="inlineStr">
        <is>
          <t>SÄVSJÖ</t>
        </is>
      </c>
      <c r="G177" t="n">
        <v>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59125-2023</t>
        </is>
      </c>
      <c r="B178" s="1" t="n">
        <v>45253.34060185185</v>
      </c>
      <c r="C178" s="1" t="n">
        <v>45879</v>
      </c>
      <c r="D178" t="inlineStr">
        <is>
          <t>JÖNKÖPINGS LÄN</t>
        </is>
      </c>
      <c r="E178" t="inlineStr">
        <is>
          <t>SÄVSJÖ</t>
        </is>
      </c>
      <c r="G178" t="n">
        <v>3.8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10284-2024</t>
        </is>
      </c>
      <c r="B179" s="1" t="n">
        <v>45365.46722222222</v>
      </c>
      <c r="C179" s="1" t="n">
        <v>45879</v>
      </c>
      <c r="D179" t="inlineStr">
        <is>
          <t>JÖNKÖPINGS LÄN</t>
        </is>
      </c>
      <c r="E179" t="inlineStr">
        <is>
          <t>SÄVSJÖ</t>
        </is>
      </c>
      <c r="G179" t="n">
        <v>1.9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4814-2023</t>
        </is>
      </c>
      <c r="B180" s="1" t="n">
        <v>44957</v>
      </c>
      <c r="C180" s="1" t="n">
        <v>45879</v>
      </c>
      <c r="D180" t="inlineStr">
        <is>
          <t>JÖNKÖPINGS LÄN</t>
        </is>
      </c>
      <c r="E180" t="inlineStr">
        <is>
          <t>SÄVSJÖ</t>
        </is>
      </c>
      <c r="G180" t="n">
        <v>1.5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41391-2022</t>
        </is>
      </c>
      <c r="B181" s="1" t="n">
        <v>44826.60456018519</v>
      </c>
      <c r="C181" s="1" t="n">
        <v>45879</v>
      </c>
      <c r="D181" t="inlineStr">
        <is>
          <t>JÖNKÖPINGS LÄN</t>
        </is>
      </c>
      <c r="E181" t="inlineStr">
        <is>
          <t>SÄVSJÖ</t>
        </is>
      </c>
      <c r="F181" t="inlineStr">
        <is>
          <t>Sveaskog</t>
        </is>
      </c>
      <c r="G181" t="n">
        <v>2.2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6744-2024</t>
        </is>
      </c>
      <c r="B182" s="1" t="n">
        <v>45342.42133101852</v>
      </c>
      <c r="C182" s="1" t="n">
        <v>45879</v>
      </c>
      <c r="D182" t="inlineStr">
        <is>
          <t>JÖNKÖPINGS LÄN</t>
        </is>
      </c>
      <c r="E182" t="inlineStr">
        <is>
          <t>SÄVSJÖ</t>
        </is>
      </c>
      <c r="G182" t="n">
        <v>0.7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27013-2023</t>
        </is>
      </c>
      <c r="B183" s="1" t="n">
        <v>45094.85306712963</v>
      </c>
      <c r="C183" s="1" t="n">
        <v>45879</v>
      </c>
      <c r="D183" t="inlineStr">
        <is>
          <t>JÖNKÖPINGS LÄN</t>
        </is>
      </c>
      <c r="E183" t="inlineStr">
        <is>
          <t>SÄVSJÖ</t>
        </is>
      </c>
      <c r="G183" t="n">
        <v>2.4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37815-2024</t>
        </is>
      </c>
      <c r="B184" s="1" t="n">
        <v>45544.31510416666</v>
      </c>
      <c r="C184" s="1" t="n">
        <v>45879</v>
      </c>
      <c r="D184" t="inlineStr">
        <is>
          <t>JÖNKÖPINGS LÄN</t>
        </is>
      </c>
      <c r="E184" t="inlineStr">
        <is>
          <t>SÄVSJÖ</t>
        </is>
      </c>
      <c r="G184" t="n">
        <v>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15058-2023</t>
        </is>
      </c>
      <c r="B185" s="1" t="n">
        <v>45015.69268518518</v>
      </c>
      <c r="C185" s="1" t="n">
        <v>45879</v>
      </c>
      <c r="D185" t="inlineStr">
        <is>
          <t>JÖNKÖPINGS LÄN</t>
        </is>
      </c>
      <c r="E185" t="inlineStr">
        <is>
          <t>SÄVSJÖ</t>
        </is>
      </c>
      <c r="G185" t="n">
        <v>0.6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27015-2023</t>
        </is>
      </c>
      <c r="B186" s="1" t="n">
        <v>45094.86106481482</v>
      </c>
      <c r="C186" s="1" t="n">
        <v>45879</v>
      </c>
      <c r="D186" t="inlineStr">
        <is>
          <t>JÖNKÖPINGS LÄN</t>
        </is>
      </c>
      <c r="E186" t="inlineStr">
        <is>
          <t>SÄVSJÖ</t>
        </is>
      </c>
      <c r="G186" t="n">
        <v>2.5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52965-2024</t>
        </is>
      </c>
      <c r="B187" s="1" t="n">
        <v>45611.31553240741</v>
      </c>
      <c r="C187" s="1" t="n">
        <v>45879</v>
      </c>
      <c r="D187" t="inlineStr">
        <is>
          <t>JÖNKÖPINGS LÄN</t>
        </is>
      </c>
      <c r="E187" t="inlineStr">
        <is>
          <t>SÄVSJÖ</t>
        </is>
      </c>
      <c r="G187" t="n">
        <v>0.7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995-2023</t>
        </is>
      </c>
      <c r="B188" s="1" t="n">
        <v>44935</v>
      </c>
      <c r="C188" s="1" t="n">
        <v>45879</v>
      </c>
      <c r="D188" t="inlineStr">
        <is>
          <t>JÖNKÖPINGS LÄN</t>
        </is>
      </c>
      <c r="E188" t="inlineStr">
        <is>
          <t>SÄVSJÖ</t>
        </is>
      </c>
      <c r="F188" t="inlineStr">
        <is>
          <t>Sveaskog</t>
        </is>
      </c>
      <c r="G188" t="n">
        <v>0.8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8439-2021</t>
        </is>
      </c>
      <c r="B189" s="1" t="n">
        <v>44245</v>
      </c>
      <c r="C189" s="1" t="n">
        <v>45879</v>
      </c>
      <c r="D189" t="inlineStr">
        <is>
          <t>JÖNKÖPINGS LÄN</t>
        </is>
      </c>
      <c r="E189" t="inlineStr">
        <is>
          <t>SÄVSJÖ</t>
        </is>
      </c>
      <c r="G189" t="n">
        <v>1.2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24709-2024</t>
        </is>
      </c>
      <c r="B190" s="1" t="n">
        <v>45460.62232638889</v>
      </c>
      <c r="C190" s="1" t="n">
        <v>45879</v>
      </c>
      <c r="D190" t="inlineStr">
        <is>
          <t>JÖNKÖPINGS LÄN</t>
        </is>
      </c>
      <c r="E190" t="inlineStr">
        <is>
          <t>SÄVSJÖ</t>
        </is>
      </c>
      <c r="G190" t="n">
        <v>1.4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6649-2024</t>
        </is>
      </c>
      <c r="B191" s="1" t="n">
        <v>45341.67034722222</v>
      </c>
      <c r="C191" s="1" t="n">
        <v>45879</v>
      </c>
      <c r="D191" t="inlineStr">
        <is>
          <t>JÖNKÖPINGS LÄN</t>
        </is>
      </c>
      <c r="E191" t="inlineStr">
        <is>
          <t>SÄVSJÖ</t>
        </is>
      </c>
      <c r="G191" t="n">
        <v>0.6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18481-2025</t>
        </is>
      </c>
      <c r="B192" s="1" t="n">
        <v>45762.95744212963</v>
      </c>
      <c r="C192" s="1" t="n">
        <v>45879</v>
      </c>
      <c r="D192" t="inlineStr">
        <is>
          <t>JÖNKÖPINGS LÄN</t>
        </is>
      </c>
      <c r="E192" t="inlineStr">
        <is>
          <t>SÄVSJÖ</t>
        </is>
      </c>
      <c r="G192" t="n">
        <v>3.2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54600-2022</t>
        </is>
      </c>
      <c r="B193" s="1" t="n">
        <v>44883.33305555556</v>
      </c>
      <c r="C193" s="1" t="n">
        <v>45879</v>
      </c>
      <c r="D193" t="inlineStr">
        <is>
          <t>JÖNKÖPINGS LÄN</t>
        </is>
      </c>
      <c r="E193" t="inlineStr">
        <is>
          <t>SÄVSJÖ</t>
        </is>
      </c>
      <c r="G193" t="n">
        <v>3.4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61482-2024</t>
        </is>
      </c>
      <c r="B194" s="1" t="n">
        <v>45646</v>
      </c>
      <c r="C194" s="1" t="n">
        <v>45879</v>
      </c>
      <c r="D194" t="inlineStr">
        <is>
          <t>JÖNKÖPINGS LÄN</t>
        </is>
      </c>
      <c r="E194" t="inlineStr">
        <is>
          <t>SÄVSJÖ</t>
        </is>
      </c>
      <c r="G194" t="n">
        <v>6.1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7791-2025</t>
        </is>
      </c>
      <c r="B195" s="1" t="n">
        <v>45706</v>
      </c>
      <c r="C195" s="1" t="n">
        <v>45879</v>
      </c>
      <c r="D195" t="inlineStr">
        <is>
          <t>JÖNKÖPINGS LÄN</t>
        </is>
      </c>
      <c r="E195" t="inlineStr">
        <is>
          <t>SÄVSJÖ</t>
        </is>
      </c>
      <c r="G195" t="n">
        <v>5.4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5673-2024</t>
        </is>
      </c>
      <c r="B196" s="1" t="n">
        <v>45334.66583333333</v>
      </c>
      <c r="C196" s="1" t="n">
        <v>45879</v>
      </c>
      <c r="D196" t="inlineStr">
        <is>
          <t>JÖNKÖPINGS LÄN</t>
        </is>
      </c>
      <c r="E196" t="inlineStr">
        <is>
          <t>SÄVSJÖ</t>
        </is>
      </c>
      <c r="G196" t="n">
        <v>0.7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10210-2025</t>
        </is>
      </c>
      <c r="B197" s="1" t="n">
        <v>45719.83372685185</v>
      </c>
      <c r="C197" s="1" t="n">
        <v>45879</v>
      </c>
      <c r="D197" t="inlineStr">
        <is>
          <t>JÖNKÖPINGS LÄN</t>
        </is>
      </c>
      <c r="E197" t="inlineStr">
        <is>
          <t>SÄVSJÖ</t>
        </is>
      </c>
      <c r="G197" t="n">
        <v>0.5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59057-2023</t>
        </is>
      </c>
      <c r="B198" s="1" t="n">
        <v>45252.79550925926</v>
      </c>
      <c r="C198" s="1" t="n">
        <v>45879</v>
      </c>
      <c r="D198" t="inlineStr">
        <is>
          <t>JÖNKÖPINGS LÄN</t>
        </is>
      </c>
      <c r="E198" t="inlineStr">
        <is>
          <t>SÄVSJÖ</t>
        </is>
      </c>
      <c r="G198" t="n">
        <v>1.8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29009-2023</t>
        </is>
      </c>
      <c r="B199" s="1" t="n">
        <v>45104</v>
      </c>
      <c r="C199" s="1" t="n">
        <v>45879</v>
      </c>
      <c r="D199" t="inlineStr">
        <is>
          <t>JÖNKÖPINGS LÄN</t>
        </is>
      </c>
      <c r="E199" t="inlineStr">
        <is>
          <t>SÄVSJÖ</t>
        </is>
      </c>
      <c r="G199" t="n">
        <v>1.9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3662-2024</t>
        </is>
      </c>
      <c r="B200" s="1" t="n">
        <v>45321.34763888889</v>
      </c>
      <c r="C200" s="1" t="n">
        <v>45879</v>
      </c>
      <c r="D200" t="inlineStr">
        <is>
          <t>JÖNKÖPINGS LÄN</t>
        </is>
      </c>
      <c r="E200" t="inlineStr">
        <is>
          <t>SÄVSJÖ</t>
        </is>
      </c>
      <c r="G200" t="n">
        <v>0.8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64126-2021</t>
        </is>
      </c>
      <c r="B201" s="1" t="n">
        <v>44510.49054398148</v>
      </c>
      <c r="C201" s="1" t="n">
        <v>45879</v>
      </c>
      <c r="D201" t="inlineStr">
        <is>
          <t>JÖNKÖPINGS LÄN</t>
        </is>
      </c>
      <c r="E201" t="inlineStr">
        <is>
          <t>SÄVSJÖ</t>
        </is>
      </c>
      <c r="G201" t="n">
        <v>7.4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57928-2023</t>
        </is>
      </c>
      <c r="B202" s="1" t="n">
        <v>45244</v>
      </c>
      <c r="C202" s="1" t="n">
        <v>45879</v>
      </c>
      <c r="D202" t="inlineStr">
        <is>
          <t>JÖNKÖPINGS LÄN</t>
        </is>
      </c>
      <c r="E202" t="inlineStr">
        <is>
          <t>SÄVSJÖ</t>
        </is>
      </c>
      <c r="G202" t="n">
        <v>0.7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6914-2023</t>
        </is>
      </c>
      <c r="B203" s="1" t="n">
        <v>44964</v>
      </c>
      <c r="C203" s="1" t="n">
        <v>45879</v>
      </c>
      <c r="D203" t="inlineStr">
        <is>
          <t>JÖNKÖPINGS LÄN</t>
        </is>
      </c>
      <c r="E203" t="inlineStr">
        <is>
          <t>SÄVSJÖ</t>
        </is>
      </c>
      <c r="G203" t="n">
        <v>0.9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12952-2023</t>
        </is>
      </c>
      <c r="B204" s="1" t="n">
        <v>45001</v>
      </c>
      <c r="C204" s="1" t="n">
        <v>45879</v>
      </c>
      <c r="D204" t="inlineStr">
        <is>
          <t>JÖNKÖPINGS LÄN</t>
        </is>
      </c>
      <c r="E204" t="inlineStr">
        <is>
          <t>SÄVSJÖ</t>
        </is>
      </c>
      <c r="F204" t="inlineStr">
        <is>
          <t>Kyrkan</t>
        </is>
      </c>
      <c r="G204" t="n">
        <v>0.6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54533-2023</t>
        </is>
      </c>
      <c r="B205" s="1" t="n">
        <v>45226</v>
      </c>
      <c r="C205" s="1" t="n">
        <v>45879</v>
      </c>
      <c r="D205" t="inlineStr">
        <is>
          <t>JÖNKÖPINGS LÄN</t>
        </is>
      </c>
      <c r="E205" t="inlineStr">
        <is>
          <t>SÄVSJÖ</t>
        </is>
      </c>
      <c r="F205" t="inlineStr">
        <is>
          <t>Kyrkan</t>
        </is>
      </c>
      <c r="G205" t="n">
        <v>0.3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17140-2025</t>
        </is>
      </c>
      <c r="B206" s="1" t="n">
        <v>45755.82981481482</v>
      </c>
      <c r="C206" s="1" t="n">
        <v>45879</v>
      </c>
      <c r="D206" t="inlineStr">
        <is>
          <t>JÖNKÖPINGS LÄN</t>
        </is>
      </c>
      <c r="E206" t="inlineStr">
        <is>
          <t>SÄVSJÖ</t>
        </is>
      </c>
      <c r="G206" t="n">
        <v>1.8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31788-2023</t>
        </is>
      </c>
      <c r="B207" s="1" t="n">
        <v>45118.42115740741</v>
      </c>
      <c r="C207" s="1" t="n">
        <v>45879</v>
      </c>
      <c r="D207" t="inlineStr">
        <is>
          <t>JÖNKÖPINGS LÄN</t>
        </is>
      </c>
      <c r="E207" t="inlineStr">
        <is>
          <t>SÄVSJÖ</t>
        </is>
      </c>
      <c r="G207" t="n">
        <v>1.2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38072-2023</t>
        </is>
      </c>
      <c r="B208" s="1" t="n">
        <v>45160.76854166666</v>
      </c>
      <c r="C208" s="1" t="n">
        <v>45879</v>
      </c>
      <c r="D208" t="inlineStr">
        <is>
          <t>JÖNKÖPINGS LÄN</t>
        </is>
      </c>
      <c r="E208" t="inlineStr">
        <is>
          <t>SÄVSJÖ</t>
        </is>
      </c>
      <c r="G208" t="n">
        <v>0.5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62961-2021</t>
        </is>
      </c>
      <c r="B209" s="1" t="n">
        <v>44505.25526620371</v>
      </c>
      <c r="C209" s="1" t="n">
        <v>45879</v>
      </c>
      <c r="D209" t="inlineStr">
        <is>
          <t>JÖNKÖPINGS LÄN</t>
        </is>
      </c>
      <c r="E209" t="inlineStr">
        <is>
          <t>SÄVSJÖ</t>
        </is>
      </c>
      <c r="G209" t="n">
        <v>3.2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59126-2023</t>
        </is>
      </c>
      <c r="B210" s="1" t="n">
        <v>45253.34175925926</v>
      </c>
      <c r="C210" s="1" t="n">
        <v>45879</v>
      </c>
      <c r="D210" t="inlineStr">
        <is>
          <t>JÖNKÖPINGS LÄN</t>
        </is>
      </c>
      <c r="E210" t="inlineStr">
        <is>
          <t>SÄVSJÖ</t>
        </is>
      </c>
      <c r="G210" t="n">
        <v>1.7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15400-2025</t>
        </is>
      </c>
      <c r="B211" s="1" t="n">
        <v>45747.44326388889</v>
      </c>
      <c r="C211" s="1" t="n">
        <v>45879</v>
      </c>
      <c r="D211" t="inlineStr">
        <is>
          <t>JÖNKÖPINGS LÄN</t>
        </is>
      </c>
      <c r="E211" t="inlineStr">
        <is>
          <t>SÄVSJÖ</t>
        </is>
      </c>
      <c r="G211" t="n">
        <v>1.1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7917-2024</t>
        </is>
      </c>
      <c r="B212" s="1" t="n">
        <v>45350</v>
      </c>
      <c r="C212" s="1" t="n">
        <v>45879</v>
      </c>
      <c r="D212" t="inlineStr">
        <is>
          <t>JÖNKÖPINGS LÄN</t>
        </is>
      </c>
      <c r="E212" t="inlineStr">
        <is>
          <t>SÄVSJÖ</t>
        </is>
      </c>
      <c r="G212" t="n">
        <v>0.4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8373-2024</t>
        </is>
      </c>
      <c r="B213" s="1" t="n">
        <v>45352.62596064815</v>
      </c>
      <c r="C213" s="1" t="n">
        <v>45879</v>
      </c>
      <c r="D213" t="inlineStr">
        <is>
          <t>JÖNKÖPINGS LÄN</t>
        </is>
      </c>
      <c r="E213" t="inlineStr">
        <is>
          <t>SÄVSJÖ</t>
        </is>
      </c>
      <c r="G213" t="n">
        <v>0.6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23885-2024</t>
        </is>
      </c>
      <c r="B214" s="1" t="n">
        <v>45455.64677083334</v>
      </c>
      <c r="C214" s="1" t="n">
        <v>45879</v>
      </c>
      <c r="D214" t="inlineStr">
        <is>
          <t>JÖNKÖPINGS LÄN</t>
        </is>
      </c>
      <c r="E214" t="inlineStr">
        <is>
          <t>SÄVSJÖ</t>
        </is>
      </c>
      <c r="G214" t="n">
        <v>0.7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4081-2025</t>
        </is>
      </c>
      <c r="B215" s="1" t="n">
        <v>45684.66012731481</v>
      </c>
      <c r="C215" s="1" t="n">
        <v>45879</v>
      </c>
      <c r="D215" t="inlineStr">
        <is>
          <t>JÖNKÖPINGS LÄN</t>
        </is>
      </c>
      <c r="E215" t="inlineStr">
        <is>
          <t>SÄVSJÖ</t>
        </is>
      </c>
      <c r="G215" t="n">
        <v>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5706-2025</t>
        </is>
      </c>
      <c r="B216" s="1" t="n">
        <v>45694.43865740741</v>
      </c>
      <c r="C216" s="1" t="n">
        <v>45879</v>
      </c>
      <c r="D216" t="inlineStr">
        <is>
          <t>JÖNKÖPINGS LÄN</t>
        </is>
      </c>
      <c r="E216" t="inlineStr">
        <is>
          <t>SÄVSJÖ</t>
        </is>
      </c>
      <c r="G216" t="n">
        <v>1.5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5708-2025</t>
        </is>
      </c>
      <c r="B217" s="1" t="n">
        <v>45694.45162037037</v>
      </c>
      <c r="C217" s="1" t="n">
        <v>45879</v>
      </c>
      <c r="D217" t="inlineStr">
        <is>
          <t>JÖNKÖPINGS LÄN</t>
        </is>
      </c>
      <c r="E217" t="inlineStr">
        <is>
          <t>SÄVSJÖ</t>
        </is>
      </c>
      <c r="G217" t="n">
        <v>0.6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38390-2024</t>
        </is>
      </c>
      <c r="B218" s="1" t="n">
        <v>45546.32325231482</v>
      </c>
      <c r="C218" s="1" t="n">
        <v>45879</v>
      </c>
      <c r="D218" t="inlineStr">
        <is>
          <t>JÖNKÖPINGS LÄN</t>
        </is>
      </c>
      <c r="E218" t="inlineStr">
        <is>
          <t>SÄVSJÖ</t>
        </is>
      </c>
      <c r="G218" t="n">
        <v>0.6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11263-2024</t>
        </is>
      </c>
      <c r="B219" s="1" t="n">
        <v>45371.67920138889</v>
      </c>
      <c r="C219" s="1" t="n">
        <v>45879</v>
      </c>
      <c r="D219" t="inlineStr">
        <is>
          <t>JÖNKÖPINGS LÄN</t>
        </is>
      </c>
      <c r="E219" t="inlineStr">
        <is>
          <t>SÄVSJÖ</t>
        </is>
      </c>
      <c r="G219" t="n">
        <v>0.8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12173-2025</t>
        </is>
      </c>
      <c r="B220" s="1" t="n">
        <v>45729.44790509259</v>
      </c>
      <c r="C220" s="1" t="n">
        <v>45879</v>
      </c>
      <c r="D220" t="inlineStr">
        <is>
          <t>JÖNKÖPINGS LÄN</t>
        </is>
      </c>
      <c r="E220" t="inlineStr">
        <is>
          <t>SÄVSJÖ</t>
        </is>
      </c>
      <c r="G220" t="n">
        <v>3.2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55258-2021</t>
        </is>
      </c>
      <c r="B221" s="1" t="n">
        <v>44475.41305555555</v>
      </c>
      <c r="C221" s="1" t="n">
        <v>45879</v>
      </c>
      <c r="D221" t="inlineStr">
        <is>
          <t>JÖNKÖPINGS LÄN</t>
        </is>
      </c>
      <c r="E221" t="inlineStr">
        <is>
          <t>SÄVSJÖ</t>
        </is>
      </c>
      <c r="G221" t="n">
        <v>2.4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3865-2023</t>
        </is>
      </c>
      <c r="B222" s="1" t="n">
        <v>44951.76560185185</v>
      </c>
      <c r="C222" s="1" t="n">
        <v>45879</v>
      </c>
      <c r="D222" t="inlineStr">
        <is>
          <t>JÖNKÖPINGS LÄN</t>
        </is>
      </c>
      <c r="E222" t="inlineStr">
        <is>
          <t>SÄVSJÖ</t>
        </is>
      </c>
      <c r="G222" t="n">
        <v>0.5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62177-2023</t>
        </is>
      </c>
      <c r="B223" s="1" t="n">
        <v>45267.43850694445</v>
      </c>
      <c r="C223" s="1" t="n">
        <v>45879</v>
      </c>
      <c r="D223" t="inlineStr">
        <is>
          <t>JÖNKÖPINGS LÄN</t>
        </is>
      </c>
      <c r="E223" t="inlineStr">
        <is>
          <t>SÄVSJÖ</t>
        </is>
      </c>
      <c r="G223" t="n">
        <v>0.4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44919-2024</t>
        </is>
      </c>
      <c r="B224" s="1" t="n">
        <v>45575</v>
      </c>
      <c r="C224" s="1" t="n">
        <v>45879</v>
      </c>
      <c r="D224" t="inlineStr">
        <is>
          <t>JÖNKÖPINGS LÄN</t>
        </is>
      </c>
      <c r="E224" t="inlineStr">
        <is>
          <t>SÄVSJÖ</t>
        </is>
      </c>
      <c r="G224" t="n">
        <v>4.2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61408-2024</t>
        </is>
      </c>
      <c r="B225" s="1" t="n">
        <v>45646.43802083333</v>
      </c>
      <c r="C225" s="1" t="n">
        <v>45879</v>
      </c>
      <c r="D225" t="inlineStr">
        <is>
          <t>JÖNKÖPINGS LÄN</t>
        </is>
      </c>
      <c r="E225" t="inlineStr">
        <is>
          <t>SÄVSJÖ</t>
        </is>
      </c>
      <c r="G225" t="n">
        <v>2.9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8748-2023</t>
        </is>
      </c>
      <c r="B226" s="1" t="n">
        <v>44972</v>
      </c>
      <c r="C226" s="1" t="n">
        <v>45879</v>
      </c>
      <c r="D226" t="inlineStr">
        <is>
          <t>JÖNKÖPINGS LÄN</t>
        </is>
      </c>
      <c r="E226" t="inlineStr">
        <is>
          <t>SÄVSJÖ</t>
        </is>
      </c>
      <c r="G226" t="n">
        <v>0.6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35320-2023</t>
        </is>
      </c>
      <c r="B227" s="1" t="n">
        <v>45146.40634259259</v>
      </c>
      <c r="C227" s="1" t="n">
        <v>45879</v>
      </c>
      <c r="D227" t="inlineStr">
        <is>
          <t>JÖNKÖPINGS LÄN</t>
        </is>
      </c>
      <c r="E227" t="inlineStr">
        <is>
          <t>SÄVSJÖ</t>
        </is>
      </c>
      <c r="G227" t="n">
        <v>0.4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2855-2024</t>
        </is>
      </c>
      <c r="B228" s="1" t="n">
        <v>45315.41488425926</v>
      </c>
      <c r="C228" s="1" t="n">
        <v>45879</v>
      </c>
      <c r="D228" t="inlineStr">
        <is>
          <t>JÖNKÖPINGS LÄN</t>
        </is>
      </c>
      <c r="E228" t="inlineStr">
        <is>
          <t>SÄVSJÖ</t>
        </is>
      </c>
      <c r="G228" t="n">
        <v>1.2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27022-2024</t>
        </is>
      </c>
      <c r="B229" s="1" t="n">
        <v>45471.41681712963</v>
      </c>
      <c r="C229" s="1" t="n">
        <v>45879</v>
      </c>
      <c r="D229" t="inlineStr">
        <is>
          <t>JÖNKÖPINGS LÄN</t>
        </is>
      </c>
      <c r="E229" t="inlineStr">
        <is>
          <t>SÄVSJÖ</t>
        </is>
      </c>
      <c r="G229" t="n">
        <v>1.6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27024-2024</t>
        </is>
      </c>
      <c r="B230" s="1" t="n">
        <v>45471.41912037037</v>
      </c>
      <c r="C230" s="1" t="n">
        <v>45879</v>
      </c>
      <c r="D230" t="inlineStr">
        <is>
          <t>JÖNKÖPINGS LÄN</t>
        </is>
      </c>
      <c r="E230" t="inlineStr">
        <is>
          <t>SÄVSJÖ</t>
        </is>
      </c>
      <c r="G230" t="n">
        <v>0.9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15844-2025</t>
        </is>
      </c>
      <c r="B231" s="1" t="n">
        <v>45748.88393518519</v>
      </c>
      <c r="C231" s="1" t="n">
        <v>45879</v>
      </c>
      <c r="D231" t="inlineStr">
        <is>
          <t>JÖNKÖPINGS LÄN</t>
        </is>
      </c>
      <c r="E231" t="inlineStr">
        <is>
          <t>SÄVSJÖ</t>
        </is>
      </c>
      <c r="G231" t="n">
        <v>1.5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35812-2023</t>
        </is>
      </c>
      <c r="B232" s="1" t="n">
        <v>45148.44225694444</v>
      </c>
      <c r="C232" s="1" t="n">
        <v>45879</v>
      </c>
      <c r="D232" t="inlineStr">
        <is>
          <t>JÖNKÖPINGS LÄN</t>
        </is>
      </c>
      <c r="E232" t="inlineStr">
        <is>
          <t>SÄVSJÖ</t>
        </is>
      </c>
      <c r="G232" t="n">
        <v>0.9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19769-2025</t>
        </is>
      </c>
      <c r="B233" s="1" t="n">
        <v>45771.41307870371</v>
      </c>
      <c r="C233" s="1" t="n">
        <v>45879</v>
      </c>
      <c r="D233" t="inlineStr">
        <is>
          <t>JÖNKÖPINGS LÄN</t>
        </is>
      </c>
      <c r="E233" t="inlineStr">
        <is>
          <t>SÄVSJÖ</t>
        </is>
      </c>
      <c r="G233" t="n">
        <v>2.8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20836-2025</t>
        </is>
      </c>
      <c r="B234" s="1" t="n">
        <v>45776.82217592592</v>
      </c>
      <c r="C234" s="1" t="n">
        <v>45879</v>
      </c>
      <c r="D234" t="inlineStr">
        <is>
          <t>JÖNKÖPINGS LÄN</t>
        </is>
      </c>
      <c r="E234" t="inlineStr">
        <is>
          <t>SÄVSJÖ</t>
        </is>
      </c>
      <c r="G234" t="n">
        <v>1.9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39362-2023</t>
        </is>
      </c>
      <c r="B235" s="1" t="n">
        <v>45166.62247685185</v>
      </c>
      <c r="C235" s="1" t="n">
        <v>45879</v>
      </c>
      <c r="D235" t="inlineStr">
        <is>
          <t>JÖNKÖPINGS LÄN</t>
        </is>
      </c>
      <c r="E235" t="inlineStr">
        <is>
          <t>SÄVSJÖ</t>
        </is>
      </c>
      <c r="G235" t="n">
        <v>0.7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31886-2021</t>
        </is>
      </c>
      <c r="B236" s="1" t="n">
        <v>44370.45275462963</v>
      </c>
      <c r="C236" s="1" t="n">
        <v>45879</v>
      </c>
      <c r="D236" t="inlineStr">
        <is>
          <t>JÖNKÖPINGS LÄN</t>
        </is>
      </c>
      <c r="E236" t="inlineStr">
        <is>
          <t>SÄVSJÖ</t>
        </is>
      </c>
      <c r="G236" t="n">
        <v>4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21378-2025</t>
        </is>
      </c>
      <c r="B237" s="1" t="n">
        <v>45782.45408564815</v>
      </c>
      <c r="C237" s="1" t="n">
        <v>45879</v>
      </c>
      <c r="D237" t="inlineStr">
        <is>
          <t>JÖNKÖPINGS LÄN</t>
        </is>
      </c>
      <c r="E237" t="inlineStr">
        <is>
          <t>SÄVSJÖ</t>
        </is>
      </c>
      <c r="G237" t="n">
        <v>1.6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51804-2024</t>
        </is>
      </c>
      <c r="B238" s="1" t="n">
        <v>45607.47658564815</v>
      </c>
      <c r="C238" s="1" t="n">
        <v>45879</v>
      </c>
      <c r="D238" t="inlineStr">
        <is>
          <t>JÖNKÖPINGS LÄN</t>
        </is>
      </c>
      <c r="E238" t="inlineStr">
        <is>
          <t>SÄVSJÖ</t>
        </is>
      </c>
      <c r="G238" t="n">
        <v>0.6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36390-2024</t>
        </is>
      </c>
      <c r="B239" s="1" t="n">
        <v>45534.7590162037</v>
      </c>
      <c r="C239" s="1" t="n">
        <v>45879</v>
      </c>
      <c r="D239" t="inlineStr">
        <is>
          <t>JÖNKÖPINGS LÄN</t>
        </is>
      </c>
      <c r="E239" t="inlineStr">
        <is>
          <t>SÄVSJÖ</t>
        </is>
      </c>
      <c r="G239" t="n">
        <v>2.1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51809-2024</t>
        </is>
      </c>
      <c r="B240" s="1" t="n">
        <v>45607.4868287037</v>
      </c>
      <c r="C240" s="1" t="n">
        <v>45879</v>
      </c>
      <c r="D240" t="inlineStr">
        <is>
          <t>JÖNKÖPINGS LÄN</t>
        </is>
      </c>
      <c r="E240" t="inlineStr">
        <is>
          <t>SÄVSJÖ</t>
        </is>
      </c>
      <c r="G240" t="n">
        <v>0.5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51921-2023</t>
        </is>
      </c>
      <c r="B241" s="1" t="n">
        <v>45223.47211805556</v>
      </c>
      <c r="C241" s="1" t="n">
        <v>45879</v>
      </c>
      <c r="D241" t="inlineStr">
        <is>
          <t>JÖNKÖPINGS LÄN</t>
        </is>
      </c>
      <c r="E241" t="inlineStr">
        <is>
          <t>SÄVSJÖ</t>
        </is>
      </c>
      <c r="G241" t="n">
        <v>2.6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17127-2024</t>
        </is>
      </c>
      <c r="B242" s="1" t="n">
        <v>45412.58770833333</v>
      </c>
      <c r="C242" s="1" t="n">
        <v>45879</v>
      </c>
      <c r="D242" t="inlineStr">
        <is>
          <t>JÖNKÖPINGS LÄN</t>
        </is>
      </c>
      <c r="E242" t="inlineStr">
        <is>
          <t>SÄVSJÖ</t>
        </is>
      </c>
      <c r="G242" t="n">
        <v>1.1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36391-2024</t>
        </is>
      </c>
      <c r="B243" s="1" t="n">
        <v>45534.76076388889</v>
      </c>
      <c r="C243" s="1" t="n">
        <v>45879</v>
      </c>
      <c r="D243" t="inlineStr">
        <is>
          <t>JÖNKÖPINGS LÄN</t>
        </is>
      </c>
      <c r="E243" t="inlineStr">
        <is>
          <t>SÄVSJÖ</t>
        </is>
      </c>
      <c r="G243" t="n">
        <v>2.1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557-2025</t>
        </is>
      </c>
      <c r="B244" s="1" t="n">
        <v>45660</v>
      </c>
      <c r="C244" s="1" t="n">
        <v>45879</v>
      </c>
      <c r="D244" t="inlineStr">
        <is>
          <t>JÖNKÖPINGS LÄN</t>
        </is>
      </c>
      <c r="E244" t="inlineStr">
        <is>
          <t>SÄVSJÖ</t>
        </is>
      </c>
      <c r="G244" t="n">
        <v>2.9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61425-2024</t>
        </is>
      </c>
      <c r="B245" s="1" t="n">
        <v>45646.45358796296</v>
      </c>
      <c r="C245" s="1" t="n">
        <v>45879</v>
      </c>
      <c r="D245" t="inlineStr">
        <is>
          <t>JÖNKÖPINGS LÄN</t>
        </is>
      </c>
      <c r="E245" t="inlineStr">
        <is>
          <t>SÄVSJÖ</t>
        </is>
      </c>
      <c r="G245" t="n">
        <v>2.4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57471-2022</t>
        </is>
      </c>
      <c r="B246" s="1" t="n">
        <v>44896.58753472222</v>
      </c>
      <c r="C246" s="1" t="n">
        <v>45879</v>
      </c>
      <c r="D246" t="inlineStr">
        <is>
          <t>JÖNKÖPINGS LÄN</t>
        </is>
      </c>
      <c r="E246" t="inlineStr">
        <is>
          <t>SÄVSJÖ</t>
        </is>
      </c>
      <c r="G246" t="n">
        <v>1.2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16403-2023</t>
        </is>
      </c>
      <c r="B247" s="1" t="n">
        <v>45029</v>
      </c>
      <c r="C247" s="1" t="n">
        <v>45879</v>
      </c>
      <c r="D247" t="inlineStr">
        <is>
          <t>JÖNKÖPINGS LÄN</t>
        </is>
      </c>
      <c r="E247" t="inlineStr">
        <is>
          <t>SÄVSJÖ</t>
        </is>
      </c>
      <c r="G247" t="n">
        <v>0.5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11185-2025</t>
        </is>
      </c>
      <c r="B248" s="1" t="n">
        <v>45725.54928240741</v>
      </c>
      <c r="C248" s="1" t="n">
        <v>45879</v>
      </c>
      <c r="D248" t="inlineStr">
        <is>
          <t>JÖNKÖPINGS LÄN</t>
        </is>
      </c>
      <c r="E248" t="inlineStr">
        <is>
          <t>SÄVSJÖ</t>
        </is>
      </c>
      <c r="G248" t="n">
        <v>3.1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17722-2023</t>
        </is>
      </c>
      <c r="B249" s="1" t="n">
        <v>45037</v>
      </c>
      <c r="C249" s="1" t="n">
        <v>45879</v>
      </c>
      <c r="D249" t="inlineStr">
        <is>
          <t>JÖNKÖPINGS LÄN</t>
        </is>
      </c>
      <c r="E249" t="inlineStr">
        <is>
          <t>SÄVSJÖ</t>
        </is>
      </c>
      <c r="G249" t="n">
        <v>11.8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17768-2023</t>
        </is>
      </c>
      <c r="B250" s="1" t="n">
        <v>45037.50520833334</v>
      </c>
      <c r="C250" s="1" t="n">
        <v>45879</v>
      </c>
      <c r="D250" t="inlineStr">
        <is>
          <t>JÖNKÖPINGS LÄN</t>
        </is>
      </c>
      <c r="E250" t="inlineStr">
        <is>
          <t>SÄVSJÖ</t>
        </is>
      </c>
      <c r="G250" t="n">
        <v>0.4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58397-2024</t>
        </is>
      </c>
      <c r="B251" s="1" t="n">
        <v>45634.489375</v>
      </c>
      <c r="C251" s="1" t="n">
        <v>45879</v>
      </c>
      <c r="D251" t="inlineStr">
        <is>
          <t>JÖNKÖPINGS LÄN</t>
        </is>
      </c>
      <c r="E251" t="inlineStr">
        <is>
          <t>SÄVSJÖ</t>
        </is>
      </c>
      <c r="G251" t="n">
        <v>0.5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58398-2024</t>
        </is>
      </c>
      <c r="B252" s="1" t="n">
        <v>45634.49143518518</v>
      </c>
      <c r="C252" s="1" t="n">
        <v>45879</v>
      </c>
      <c r="D252" t="inlineStr">
        <is>
          <t>JÖNKÖPINGS LÄN</t>
        </is>
      </c>
      <c r="E252" t="inlineStr">
        <is>
          <t>SÄVSJÖ</t>
        </is>
      </c>
      <c r="G252" t="n">
        <v>0.8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22733-2024</t>
        </is>
      </c>
      <c r="B253" s="1" t="n">
        <v>45448.38703703704</v>
      </c>
      <c r="C253" s="1" t="n">
        <v>45879</v>
      </c>
      <c r="D253" t="inlineStr">
        <is>
          <t>JÖNKÖPINGS LÄN</t>
        </is>
      </c>
      <c r="E253" t="inlineStr">
        <is>
          <t>SÄVSJÖ</t>
        </is>
      </c>
      <c r="G253" t="n">
        <v>2.2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26380-2024</t>
        </is>
      </c>
      <c r="B254" s="1" t="n">
        <v>45469.41991898148</v>
      </c>
      <c r="C254" s="1" t="n">
        <v>45879</v>
      </c>
      <c r="D254" t="inlineStr">
        <is>
          <t>JÖNKÖPINGS LÄN</t>
        </is>
      </c>
      <c r="E254" t="inlineStr">
        <is>
          <t>SÄVSJÖ</t>
        </is>
      </c>
      <c r="G254" t="n">
        <v>2.1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44397-2024</t>
        </is>
      </c>
      <c r="B255" s="1" t="n">
        <v>45573.69949074074</v>
      </c>
      <c r="C255" s="1" t="n">
        <v>45879</v>
      </c>
      <c r="D255" t="inlineStr">
        <is>
          <t>JÖNKÖPINGS LÄN</t>
        </is>
      </c>
      <c r="E255" t="inlineStr">
        <is>
          <t>SÄVSJÖ</t>
        </is>
      </c>
      <c r="G255" t="n">
        <v>1.6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29013-2023</t>
        </is>
      </c>
      <c r="B256" s="1" t="n">
        <v>45104</v>
      </c>
      <c r="C256" s="1" t="n">
        <v>45879</v>
      </c>
      <c r="D256" t="inlineStr">
        <is>
          <t>JÖNKÖPINGS LÄN</t>
        </is>
      </c>
      <c r="E256" t="inlineStr">
        <is>
          <t>SÄVSJÖ</t>
        </is>
      </c>
      <c r="G256" t="n">
        <v>1.7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10591-2023</t>
        </is>
      </c>
      <c r="B257" s="1" t="n">
        <v>44988.38030092593</v>
      </c>
      <c r="C257" s="1" t="n">
        <v>45879</v>
      </c>
      <c r="D257" t="inlineStr">
        <is>
          <t>JÖNKÖPINGS LÄN</t>
        </is>
      </c>
      <c r="E257" t="inlineStr">
        <is>
          <t>SÄVSJÖ</t>
        </is>
      </c>
      <c r="G257" t="n">
        <v>1.1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55801-2021</t>
        </is>
      </c>
      <c r="B258" s="1" t="n">
        <v>44476.58135416666</v>
      </c>
      <c r="C258" s="1" t="n">
        <v>45879</v>
      </c>
      <c r="D258" t="inlineStr">
        <is>
          <t>JÖNKÖPINGS LÄN</t>
        </is>
      </c>
      <c r="E258" t="inlineStr">
        <is>
          <t>SÄVSJÖ</t>
        </is>
      </c>
      <c r="G258" t="n">
        <v>0.7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22066-2025</t>
        </is>
      </c>
      <c r="B259" s="1" t="n">
        <v>45785</v>
      </c>
      <c r="C259" s="1" t="n">
        <v>45879</v>
      </c>
      <c r="D259" t="inlineStr">
        <is>
          <t>JÖNKÖPINGS LÄN</t>
        </is>
      </c>
      <c r="E259" t="inlineStr">
        <is>
          <t>SÄVSJÖ</t>
        </is>
      </c>
      <c r="G259" t="n">
        <v>1.6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12959-2023</t>
        </is>
      </c>
      <c r="B260" s="1" t="n">
        <v>45001.78961805555</v>
      </c>
      <c r="C260" s="1" t="n">
        <v>45879</v>
      </c>
      <c r="D260" t="inlineStr">
        <is>
          <t>JÖNKÖPINGS LÄN</t>
        </is>
      </c>
      <c r="E260" t="inlineStr">
        <is>
          <t>SÄVSJÖ</t>
        </is>
      </c>
      <c r="G260" t="n">
        <v>1.2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60805-2024</t>
        </is>
      </c>
      <c r="B261" s="1" t="n">
        <v>45644</v>
      </c>
      <c r="C261" s="1" t="n">
        <v>45879</v>
      </c>
      <c r="D261" t="inlineStr">
        <is>
          <t>JÖNKÖPINGS LÄN</t>
        </is>
      </c>
      <c r="E261" t="inlineStr">
        <is>
          <t>SÄVSJÖ</t>
        </is>
      </c>
      <c r="G261" t="n">
        <v>0.9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53100-2023</t>
        </is>
      </c>
      <c r="B262" s="1" t="n">
        <v>45228.3557175926</v>
      </c>
      <c r="C262" s="1" t="n">
        <v>45879</v>
      </c>
      <c r="D262" t="inlineStr">
        <is>
          <t>JÖNKÖPINGS LÄN</t>
        </is>
      </c>
      <c r="E262" t="inlineStr">
        <is>
          <t>SÄVSJÖ</t>
        </is>
      </c>
      <c r="G262" t="n">
        <v>1.5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67399-2020</t>
        </is>
      </c>
      <c r="B263" s="1" t="n">
        <v>44181.56023148148</v>
      </c>
      <c r="C263" s="1" t="n">
        <v>45879</v>
      </c>
      <c r="D263" t="inlineStr">
        <is>
          <t>JÖNKÖPINGS LÄN</t>
        </is>
      </c>
      <c r="E263" t="inlineStr">
        <is>
          <t>SÄVSJÖ</t>
        </is>
      </c>
      <c r="G263" t="n">
        <v>1.3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17308-2024</t>
        </is>
      </c>
      <c r="B264" s="1" t="n">
        <v>45414.50645833334</v>
      </c>
      <c r="C264" s="1" t="n">
        <v>45879</v>
      </c>
      <c r="D264" t="inlineStr">
        <is>
          <t>JÖNKÖPINGS LÄN</t>
        </is>
      </c>
      <c r="E264" t="inlineStr">
        <is>
          <t>SÄVSJÖ</t>
        </is>
      </c>
      <c r="G264" t="n">
        <v>1.5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56344-2020</t>
        </is>
      </c>
      <c r="B265" s="1" t="n">
        <v>44134</v>
      </c>
      <c r="C265" s="1" t="n">
        <v>45879</v>
      </c>
      <c r="D265" t="inlineStr">
        <is>
          <t>JÖNKÖPINGS LÄN</t>
        </is>
      </c>
      <c r="E265" t="inlineStr">
        <is>
          <t>SÄVSJÖ</t>
        </is>
      </c>
      <c r="G265" t="n">
        <v>1.1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33220-2023</t>
        </is>
      </c>
      <c r="B266" s="1" t="n">
        <v>45127.46615740741</v>
      </c>
      <c r="C266" s="1" t="n">
        <v>45879</v>
      </c>
      <c r="D266" t="inlineStr">
        <is>
          <t>JÖNKÖPINGS LÄN</t>
        </is>
      </c>
      <c r="E266" t="inlineStr">
        <is>
          <t>SÄVSJÖ</t>
        </is>
      </c>
      <c r="G266" t="n">
        <v>1.5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1916-2025</t>
        </is>
      </c>
      <c r="B267" s="1" t="n">
        <v>45671</v>
      </c>
      <c r="C267" s="1" t="n">
        <v>45879</v>
      </c>
      <c r="D267" t="inlineStr">
        <is>
          <t>JÖNKÖPINGS LÄN</t>
        </is>
      </c>
      <c r="E267" t="inlineStr">
        <is>
          <t>SÄVSJÖ</t>
        </is>
      </c>
      <c r="G267" t="n">
        <v>1.1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24702-2024</t>
        </is>
      </c>
      <c r="B268" s="1" t="n">
        <v>45460.61925925926</v>
      </c>
      <c r="C268" s="1" t="n">
        <v>45879</v>
      </c>
      <c r="D268" t="inlineStr">
        <is>
          <t>JÖNKÖPINGS LÄN</t>
        </is>
      </c>
      <c r="E268" t="inlineStr">
        <is>
          <t>SÄVSJÖ</t>
        </is>
      </c>
      <c r="G268" t="n">
        <v>5.6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61331-2024</t>
        </is>
      </c>
      <c r="B269" s="1" t="n">
        <v>45646.35680555556</v>
      </c>
      <c r="C269" s="1" t="n">
        <v>45879</v>
      </c>
      <c r="D269" t="inlineStr">
        <is>
          <t>JÖNKÖPINGS LÄN</t>
        </is>
      </c>
      <c r="E269" t="inlineStr">
        <is>
          <t>SÄVSJÖ</t>
        </is>
      </c>
      <c r="G269" t="n">
        <v>1.9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4530-2022</t>
        </is>
      </c>
      <c r="B270" s="1" t="n">
        <v>44590.09605324074</v>
      </c>
      <c r="C270" s="1" t="n">
        <v>45879</v>
      </c>
      <c r="D270" t="inlineStr">
        <is>
          <t>JÖNKÖPINGS LÄN</t>
        </is>
      </c>
      <c r="E270" t="inlineStr">
        <is>
          <t>SÄVSJÖ</t>
        </is>
      </c>
      <c r="G270" t="n">
        <v>0.7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33154-2024</t>
        </is>
      </c>
      <c r="B271" s="1" t="n">
        <v>45518.38491898148</v>
      </c>
      <c r="C271" s="1" t="n">
        <v>45879</v>
      </c>
      <c r="D271" t="inlineStr">
        <is>
          <t>JÖNKÖPINGS LÄN</t>
        </is>
      </c>
      <c r="E271" t="inlineStr">
        <is>
          <t>SÄVSJÖ</t>
        </is>
      </c>
      <c r="G271" t="n">
        <v>1.1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54827-2021</t>
        </is>
      </c>
      <c r="B272" s="1" t="n">
        <v>44474</v>
      </c>
      <c r="C272" s="1" t="n">
        <v>45879</v>
      </c>
      <c r="D272" t="inlineStr">
        <is>
          <t>JÖNKÖPINGS LÄN</t>
        </is>
      </c>
      <c r="E272" t="inlineStr">
        <is>
          <t>SÄVSJÖ</t>
        </is>
      </c>
      <c r="G272" t="n">
        <v>3.2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40552-2023</t>
        </is>
      </c>
      <c r="B273" s="1" t="n">
        <v>45170.45388888889</v>
      </c>
      <c r="C273" s="1" t="n">
        <v>45879</v>
      </c>
      <c r="D273" t="inlineStr">
        <is>
          <t>JÖNKÖPINGS LÄN</t>
        </is>
      </c>
      <c r="E273" t="inlineStr">
        <is>
          <t>SÄVSJÖ</t>
        </is>
      </c>
      <c r="G273" t="n">
        <v>2.6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37814-2024</t>
        </is>
      </c>
      <c r="B274" s="1" t="n">
        <v>45544.31252314815</v>
      </c>
      <c r="C274" s="1" t="n">
        <v>45879</v>
      </c>
      <c r="D274" t="inlineStr">
        <is>
          <t>JÖNKÖPINGS LÄN</t>
        </is>
      </c>
      <c r="E274" t="inlineStr">
        <is>
          <t>SÄVSJÖ</t>
        </is>
      </c>
      <c r="G274" t="n">
        <v>2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51998-2024</t>
        </is>
      </c>
      <c r="B275" s="1" t="n">
        <v>45607</v>
      </c>
      <c r="C275" s="1" t="n">
        <v>45879</v>
      </c>
      <c r="D275" t="inlineStr">
        <is>
          <t>JÖNKÖPINGS LÄN</t>
        </is>
      </c>
      <c r="E275" t="inlineStr">
        <is>
          <t>SÄVSJÖ</t>
        </is>
      </c>
      <c r="F275" t="inlineStr">
        <is>
          <t>Övriga Aktiebolag</t>
        </is>
      </c>
      <c r="G275" t="n">
        <v>2.9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18135-2023</t>
        </is>
      </c>
      <c r="B276" s="1" t="n">
        <v>45040</v>
      </c>
      <c r="C276" s="1" t="n">
        <v>45879</v>
      </c>
      <c r="D276" t="inlineStr">
        <is>
          <t>JÖNKÖPINGS LÄN</t>
        </is>
      </c>
      <c r="E276" t="inlineStr">
        <is>
          <t>SÄVSJÖ</t>
        </is>
      </c>
      <c r="G276" t="n">
        <v>6.2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38333-2023</t>
        </is>
      </c>
      <c r="B277" s="1" t="n">
        <v>45161.82835648148</v>
      </c>
      <c r="C277" s="1" t="n">
        <v>45879</v>
      </c>
      <c r="D277" t="inlineStr">
        <is>
          <t>JÖNKÖPINGS LÄN</t>
        </is>
      </c>
      <c r="E277" t="inlineStr">
        <is>
          <t>SÄVSJÖ</t>
        </is>
      </c>
      <c r="G277" t="n">
        <v>0.8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7657-2025</t>
        </is>
      </c>
      <c r="B278" s="1" t="n">
        <v>45706.31609953703</v>
      </c>
      <c r="C278" s="1" t="n">
        <v>45879</v>
      </c>
      <c r="D278" t="inlineStr">
        <is>
          <t>JÖNKÖPINGS LÄN</t>
        </is>
      </c>
      <c r="E278" t="inlineStr">
        <is>
          <t>SÄVSJÖ</t>
        </is>
      </c>
      <c r="G278" t="n">
        <v>0.9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17779-2025</t>
        </is>
      </c>
      <c r="B279" s="1" t="n">
        <v>45758</v>
      </c>
      <c r="C279" s="1" t="n">
        <v>45879</v>
      </c>
      <c r="D279" t="inlineStr">
        <is>
          <t>JÖNKÖPINGS LÄN</t>
        </is>
      </c>
      <c r="E279" t="inlineStr">
        <is>
          <t>SÄVSJÖ</t>
        </is>
      </c>
      <c r="F279" t="inlineStr">
        <is>
          <t>Kyrkan</t>
        </is>
      </c>
      <c r="G279" t="n">
        <v>5.8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36183-2024</t>
        </is>
      </c>
      <c r="B280" s="1" t="n">
        <v>45534.41693287037</v>
      </c>
      <c r="C280" s="1" t="n">
        <v>45879</v>
      </c>
      <c r="D280" t="inlineStr">
        <is>
          <t>JÖNKÖPINGS LÄN</t>
        </is>
      </c>
      <c r="E280" t="inlineStr">
        <is>
          <t>SÄVSJÖ</t>
        </is>
      </c>
      <c r="G280" t="n">
        <v>2.6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20580-2025</t>
        </is>
      </c>
      <c r="B281" s="1" t="n">
        <v>45775.68484953704</v>
      </c>
      <c r="C281" s="1" t="n">
        <v>45879</v>
      </c>
      <c r="D281" t="inlineStr">
        <is>
          <t>JÖNKÖPINGS LÄN</t>
        </is>
      </c>
      <c r="E281" t="inlineStr">
        <is>
          <t>SÄVSJÖ</t>
        </is>
      </c>
      <c r="G281" t="n">
        <v>1.7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20004-2025</t>
        </is>
      </c>
      <c r="B282" s="1" t="n">
        <v>45771.91304398148</v>
      </c>
      <c r="C282" s="1" t="n">
        <v>45879</v>
      </c>
      <c r="D282" t="inlineStr">
        <is>
          <t>JÖNKÖPINGS LÄN</t>
        </is>
      </c>
      <c r="E282" t="inlineStr">
        <is>
          <t>SÄVSJÖ</t>
        </is>
      </c>
      <c r="G282" t="n">
        <v>7.1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3598-2024</t>
        </is>
      </c>
      <c r="B283" s="1" t="n">
        <v>45320.77788194444</v>
      </c>
      <c r="C283" s="1" t="n">
        <v>45879</v>
      </c>
      <c r="D283" t="inlineStr">
        <is>
          <t>JÖNKÖPINGS LÄN</t>
        </is>
      </c>
      <c r="E283" t="inlineStr">
        <is>
          <t>SÄVSJÖ</t>
        </is>
      </c>
      <c r="G283" t="n">
        <v>0.5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3600-2024</t>
        </is>
      </c>
      <c r="B284" s="1" t="n">
        <v>45320</v>
      </c>
      <c r="C284" s="1" t="n">
        <v>45879</v>
      </c>
      <c r="D284" t="inlineStr">
        <is>
          <t>JÖNKÖPINGS LÄN</t>
        </is>
      </c>
      <c r="E284" t="inlineStr">
        <is>
          <t>SÄVSJÖ</t>
        </is>
      </c>
      <c r="G284" t="n">
        <v>0.6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8536-2024</t>
        </is>
      </c>
      <c r="B285" s="1" t="n">
        <v>45355.51554398148</v>
      </c>
      <c r="C285" s="1" t="n">
        <v>45879</v>
      </c>
      <c r="D285" t="inlineStr">
        <is>
          <t>JÖNKÖPINGS LÄN</t>
        </is>
      </c>
      <c r="E285" t="inlineStr">
        <is>
          <t>SÄVSJÖ</t>
        </is>
      </c>
      <c r="G285" t="n">
        <v>6.5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23138-2025</t>
        </is>
      </c>
      <c r="B286" s="1" t="n">
        <v>45791.39371527778</v>
      </c>
      <c r="C286" s="1" t="n">
        <v>45879</v>
      </c>
      <c r="D286" t="inlineStr">
        <is>
          <t>JÖNKÖPINGS LÄN</t>
        </is>
      </c>
      <c r="E286" t="inlineStr">
        <is>
          <t>SÄVSJÖ</t>
        </is>
      </c>
      <c r="G286" t="n">
        <v>1.1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16842-2024</t>
        </is>
      </c>
      <c r="B287" s="1" t="n">
        <v>45411.49608796297</v>
      </c>
      <c r="C287" s="1" t="n">
        <v>45879</v>
      </c>
      <c r="D287" t="inlineStr">
        <is>
          <t>JÖNKÖPINGS LÄN</t>
        </is>
      </c>
      <c r="E287" t="inlineStr">
        <is>
          <t>SÄVSJÖ</t>
        </is>
      </c>
      <c r="G287" t="n">
        <v>0.9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23396-2025</t>
        </is>
      </c>
      <c r="B288" s="1" t="n">
        <v>45791.90171296296</v>
      </c>
      <c r="C288" s="1" t="n">
        <v>45879</v>
      </c>
      <c r="D288" t="inlineStr">
        <is>
          <t>JÖNKÖPINGS LÄN</t>
        </is>
      </c>
      <c r="E288" t="inlineStr">
        <is>
          <t>SÄVSJÖ</t>
        </is>
      </c>
      <c r="G288" t="n">
        <v>0.9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23395-2025</t>
        </is>
      </c>
      <c r="B289" s="1" t="n">
        <v>45791.90017361111</v>
      </c>
      <c r="C289" s="1" t="n">
        <v>45879</v>
      </c>
      <c r="D289" t="inlineStr">
        <is>
          <t>JÖNKÖPINGS LÄN</t>
        </is>
      </c>
      <c r="E289" t="inlineStr">
        <is>
          <t>SÄVSJÖ</t>
        </is>
      </c>
      <c r="G289" t="n">
        <v>6.8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2635-2023</t>
        </is>
      </c>
      <c r="B290" s="1" t="n">
        <v>44942</v>
      </c>
      <c r="C290" s="1" t="n">
        <v>45879</v>
      </c>
      <c r="D290" t="inlineStr">
        <is>
          <t>JÖNKÖPINGS LÄN</t>
        </is>
      </c>
      <c r="E290" t="inlineStr">
        <is>
          <t>SÄVSJÖ</t>
        </is>
      </c>
      <c r="G290" t="n">
        <v>1.1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48893-2023</t>
        </is>
      </c>
      <c r="B291" s="1" t="n">
        <v>45209.49479166666</v>
      </c>
      <c r="C291" s="1" t="n">
        <v>45879</v>
      </c>
      <c r="D291" t="inlineStr">
        <is>
          <t>JÖNKÖPINGS LÄN</t>
        </is>
      </c>
      <c r="E291" t="inlineStr">
        <is>
          <t>SÄVSJÖ</t>
        </is>
      </c>
      <c r="G291" t="n">
        <v>1.4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58361-2024</t>
        </is>
      </c>
      <c r="B292" s="1" t="n">
        <v>45632.67087962963</v>
      </c>
      <c r="C292" s="1" t="n">
        <v>45879</v>
      </c>
      <c r="D292" t="inlineStr">
        <is>
          <t>JÖNKÖPINGS LÄN</t>
        </is>
      </c>
      <c r="E292" t="inlineStr">
        <is>
          <t>SÄVSJÖ</t>
        </is>
      </c>
      <c r="G292" t="n">
        <v>0.5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58362-2024</t>
        </is>
      </c>
      <c r="B293" s="1" t="n">
        <v>45632.67179398148</v>
      </c>
      <c r="C293" s="1" t="n">
        <v>45879</v>
      </c>
      <c r="D293" t="inlineStr">
        <is>
          <t>JÖNKÖPINGS LÄN</t>
        </is>
      </c>
      <c r="E293" t="inlineStr">
        <is>
          <t>SÄVSJÖ</t>
        </is>
      </c>
      <c r="G293" t="n">
        <v>0.6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53154-2024</t>
        </is>
      </c>
      <c r="B294" s="1" t="n">
        <v>45611.62386574074</v>
      </c>
      <c r="C294" s="1" t="n">
        <v>45879</v>
      </c>
      <c r="D294" t="inlineStr">
        <is>
          <t>JÖNKÖPINGS LÄN</t>
        </is>
      </c>
      <c r="E294" t="inlineStr">
        <is>
          <t>SÄVSJÖ</t>
        </is>
      </c>
      <c r="G294" t="n">
        <v>1.2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30162-2023</t>
        </is>
      </c>
      <c r="B295" s="1" t="n">
        <v>45110</v>
      </c>
      <c r="C295" s="1" t="n">
        <v>45879</v>
      </c>
      <c r="D295" t="inlineStr">
        <is>
          <t>JÖNKÖPINGS LÄN</t>
        </is>
      </c>
      <c r="E295" t="inlineStr">
        <is>
          <t>SÄVSJÖ</t>
        </is>
      </c>
      <c r="F295" t="inlineStr">
        <is>
          <t>Kommuner</t>
        </is>
      </c>
      <c r="G295" t="n">
        <v>4.4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37614-2024</t>
        </is>
      </c>
      <c r="B296" s="1" t="n">
        <v>45541.50634259259</v>
      </c>
      <c r="C296" s="1" t="n">
        <v>45879</v>
      </c>
      <c r="D296" t="inlineStr">
        <is>
          <t>JÖNKÖPINGS LÄN</t>
        </is>
      </c>
      <c r="E296" t="inlineStr">
        <is>
          <t>SÄVSJÖ</t>
        </is>
      </c>
      <c r="G296" t="n">
        <v>4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23142-2025</t>
        </is>
      </c>
      <c r="B297" s="1" t="n">
        <v>45791.39672453704</v>
      </c>
      <c r="C297" s="1" t="n">
        <v>45879</v>
      </c>
      <c r="D297" t="inlineStr">
        <is>
          <t>JÖNKÖPINGS LÄN</t>
        </is>
      </c>
      <c r="E297" t="inlineStr">
        <is>
          <t>SÄVSJÖ</t>
        </is>
      </c>
      <c r="G297" t="n">
        <v>0.8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23151-2025</t>
        </is>
      </c>
      <c r="B298" s="1" t="n">
        <v>45791.405</v>
      </c>
      <c r="C298" s="1" t="n">
        <v>45879</v>
      </c>
      <c r="D298" t="inlineStr">
        <is>
          <t>JÖNKÖPINGS LÄN</t>
        </is>
      </c>
      <c r="E298" t="inlineStr">
        <is>
          <t>SÄVSJÖ</t>
        </is>
      </c>
      <c r="G298" t="n">
        <v>0.6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2616-2023</t>
        </is>
      </c>
      <c r="B299" s="1" t="n">
        <v>44944.35530092593</v>
      </c>
      <c r="C299" s="1" t="n">
        <v>45879</v>
      </c>
      <c r="D299" t="inlineStr">
        <is>
          <t>JÖNKÖPINGS LÄN</t>
        </is>
      </c>
      <c r="E299" t="inlineStr">
        <is>
          <t>SÄVSJÖ</t>
        </is>
      </c>
      <c r="G299" t="n">
        <v>1.3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47405-2021</t>
        </is>
      </c>
      <c r="B300" s="1" t="n">
        <v>44447.59116898148</v>
      </c>
      <c r="C300" s="1" t="n">
        <v>45879</v>
      </c>
      <c r="D300" t="inlineStr">
        <is>
          <t>JÖNKÖPINGS LÄN</t>
        </is>
      </c>
      <c r="E300" t="inlineStr">
        <is>
          <t>SÄVSJÖ</t>
        </is>
      </c>
      <c r="G300" t="n">
        <v>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37611-2024</t>
        </is>
      </c>
      <c r="B301" s="1" t="n">
        <v>45541.5005787037</v>
      </c>
      <c r="C301" s="1" t="n">
        <v>45879</v>
      </c>
      <c r="D301" t="inlineStr">
        <is>
          <t>JÖNKÖPINGS LÄN</t>
        </is>
      </c>
      <c r="E301" t="inlineStr">
        <is>
          <t>SÄVSJÖ</t>
        </is>
      </c>
      <c r="G301" t="n">
        <v>3.4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32483-2025</t>
        </is>
      </c>
      <c r="B302" s="1" t="n">
        <v>45838</v>
      </c>
      <c r="C302" s="1" t="n">
        <v>45879</v>
      </c>
      <c r="D302" t="inlineStr">
        <is>
          <t>JÖNKÖPINGS LÄN</t>
        </is>
      </c>
      <c r="E302" t="inlineStr">
        <is>
          <t>SÄVSJÖ</t>
        </is>
      </c>
      <c r="G302" t="n">
        <v>5.1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9366-2025</t>
        </is>
      </c>
      <c r="B303" s="1" t="n">
        <v>45715.32063657408</v>
      </c>
      <c r="C303" s="1" t="n">
        <v>45879</v>
      </c>
      <c r="D303" t="inlineStr">
        <is>
          <t>JÖNKÖPINGS LÄN</t>
        </is>
      </c>
      <c r="E303" t="inlineStr">
        <is>
          <t>SÄVSJÖ</t>
        </is>
      </c>
      <c r="G303" t="n">
        <v>1.6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11822-2025</t>
        </is>
      </c>
      <c r="B304" s="1" t="n">
        <v>45728.32645833334</v>
      </c>
      <c r="C304" s="1" t="n">
        <v>45879</v>
      </c>
      <c r="D304" t="inlineStr">
        <is>
          <t>JÖNKÖPINGS LÄN</t>
        </is>
      </c>
      <c r="E304" t="inlineStr">
        <is>
          <t>SÄVSJÖ</t>
        </is>
      </c>
      <c r="G304" t="n">
        <v>5.4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19935-2023</t>
        </is>
      </c>
      <c r="B305" s="1" t="n">
        <v>45054.48166666667</v>
      </c>
      <c r="C305" s="1" t="n">
        <v>45879</v>
      </c>
      <c r="D305" t="inlineStr">
        <is>
          <t>JÖNKÖPINGS LÄN</t>
        </is>
      </c>
      <c r="E305" t="inlineStr">
        <is>
          <t>SÄVSJÖ</t>
        </is>
      </c>
      <c r="G305" t="n">
        <v>0.8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21795-2023</t>
        </is>
      </c>
      <c r="B306" s="1" t="n">
        <v>45067.58128472222</v>
      </c>
      <c r="C306" s="1" t="n">
        <v>45879</v>
      </c>
      <c r="D306" t="inlineStr">
        <is>
          <t>JÖNKÖPINGS LÄN</t>
        </is>
      </c>
      <c r="E306" t="inlineStr">
        <is>
          <t>SÄVSJÖ</t>
        </is>
      </c>
      <c r="G306" t="n">
        <v>2.2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20915-2023</t>
        </is>
      </c>
      <c r="B307" s="1" t="n">
        <v>45061.29445601852</v>
      </c>
      <c r="C307" s="1" t="n">
        <v>45879</v>
      </c>
      <c r="D307" t="inlineStr">
        <is>
          <t>JÖNKÖPINGS LÄN</t>
        </is>
      </c>
      <c r="E307" t="inlineStr">
        <is>
          <t>SÄVSJÖ</t>
        </is>
      </c>
      <c r="G307" t="n">
        <v>1.1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17766-2023</t>
        </is>
      </c>
      <c r="B308" s="1" t="n">
        <v>45037.50251157407</v>
      </c>
      <c r="C308" s="1" t="n">
        <v>45879</v>
      </c>
      <c r="D308" t="inlineStr">
        <is>
          <t>JÖNKÖPINGS LÄN</t>
        </is>
      </c>
      <c r="E308" t="inlineStr">
        <is>
          <t>SÄVSJÖ</t>
        </is>
      </c>
      <c r="G308" t="n">
        <v>1.5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8121-2025</t>
        </is>
      </c>
      <c r="B309" s="1" t="n">
        <v>45707</v>
      </c>
      <c r="C309" s="1" t="n">
        <v>45879</v>
      </c>
      <c r="D309" t="inlineStr">
        <is>
          <t>JÖNKÖPINGS LÄN</t>
        </is>
      </c>
      <c r="E309" t="inlineStr">
        <is>
          <t>SÄVSJÖ</t>
        </is>
      </c>
      <c r="G309" t="n">
        <v>0.9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23963-2025</t>
        </is>
      </c>
      <c r="B310" s="1" t="n">
        <v>45796</v>
      </c>
      <c r="C310" s="1" t="n">
        <v>45879</v>
      </c>
      <c r="D310" t="inlineStr">
        <is>
          <t>JÖNKÖPINGS LÄN</t>
        </is>
      </c>
      <c r="E310" t="inlineStr">
        <is>
          <t>SÄVSJÖ</t>
        </is>
      </c>
      <c r="G310" t="n">
        <v>1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23664-2025</t>
        </is>
      </c>
      <c r="B311" s="1" t="n">
        <v>45792.82875</v>
      </c>
      <c r="C311" s="1" t="n">
        <v>45879</v>
      </c>
      <c r="D311" t="inlineStr">
        <is>
          <t>JÖNKÖPINGS LÄN</t>
        </is>
      </c>
      <c r="E311" t="inlineStr">
        <is>
          <t>SÄVSJÖ</t>
        </is>
      </c>
      <c r="G311" t="n">
        <v>7.3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44210-2024</t>
        </is>
      </c>
      <c r="B312" s="1" t="n">
        <v>45573.36594907408</v>
      </c>
      <c r="C312" s="1" t="n">
        <v>45879</v>
      </c>
      <c r="D312" t="inlineStr">
        <is>
          <t>JÖNKÖPINGS LÄN</t>
        </is>
      </c>
      <c r="E312" t="inlineStr">
        <is>
          <t>SÄVSJÖ</t>
        </is>
      </c>
      <c r="G312" t="n">
        <v>2.7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6620-2022</t>
        </is>
      </c>
      <c r="B313" s="1" t="n">
        <v>44601</v>
      </c>
      <c r="C313" s="1" t="n">
        <v>45879</v>
      </c>
      <c r="D313" t="inlineStr">
        <is>
          <t>JÖNKÖPINGS LÄN</t>
        </is>
      </c>
      <c r="E313" t="inlineStr">
        <is>
          <t>SÄVSJÖ</t>
        </is>
      </c>
      <c r="F313" t="inlineStr">
        <is>
          <t>Sveaskog</t>
        </is>
      </c>
      <c r="G313" t="n">
        <v>1.2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23665-2025</t>
        </is>
      </c>
      <c r="B314" s="1" t="n">
        <v>45792.83018518519</v>
      </c>
      <c r="C314" s="1" t="n">
        <v>45879</v>
      </c>
      <c r="D314" t="inlineStr">
        <is>
          <t>JÖNKÖPINGS LÄN</t>
        </is>
      </c>
      <c r="E314" t="inlineStr">
        <is>
          <t>SÄVSJÖ</t>
        </is>
      </c>
      <c r="G314" t="n">
        <v>1.6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50493-2024</t>
        </is>
      </c>
      <c r="B315" s="1" t="n">
        <v>45601.50608796296</v>
      </c>
      <c r="C315" s="1" t="n">
        <v>45879</v>
      </c>
      <c r="D315" t="inlineStr">
        <is>
          <t>JÖNKÖPINGS LÄN</t>
        </is>
      </c>
      <c r="E315" t="inlineStr">
        <is>
          <t>SÄVSJÖ</t>
        </is>
      </c>
      <c r="G315" t="n">
        <v>0.4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8217-2025</t>
        </is>
      </c>
      <c r="B316" s="1" t="n">
        <v>45708.44949074074</v>
      </c>
      <c r="C316" s="1" t="n">
        <v>45879</v>
      </c>
      <c r="D316" t="inlineStr">
        <is>
          <t>JÖNKÖPINGS LÄN</t>
        </is>
      </c>
      <c r="E316" t="inlineStr">
        <is>
          <t>SÄVSJÖ</t>
        </is>
      </c>
      <c r="G316" t="n">
        <v>1.2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23945-2025</t>
        </is>
      </c>
      <c r="B317" s="1" t="n">
        <v>45796</v>
      </c>
      <c r="C317" s="1" t="n">
        <v>45879</v>
      </c>
      <c r="D317" t="inlineStr">
        <is>
          <t>JÖNKÖPINGS LÄN</t>
        </is>
      </c>
      <c r="E317" t="inlineStr">
        <is>
          <t>SÄVSJÖ</t>
        </is>
      </c>
      <c r="G317" t="n">
        <v>2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17368-2025</t>
        </is>
      </c>
      <c r="B318" s="1" t="n">
        <v>45756.81445601852</v>
      </c>
      <c r="C318" s="1" t="n">
        <v>45879</v>
      </c>
      <c r="D318" t="inlineStr">
        <is>
          <t>JÖNKÖPINGS LÄN</t>
        </is>
      </c>
      <c r="E318" t="inlineStr">
        <is>
          <t>SÄVSJÖ</t>
        </is>
      </c>
      <c r="F318" t="inlineStr">
        <is>
          <t>Kommuner</t>
        </is>
      </c>
      <c r="G318" t="n">
        <v>1.5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24798-2023</t>
        </is>
      </c>
      <c r="B319" s="1" t="n">
        <v>45084.73050925926</v>
      </c>
      <c r="C319" s="1" t="n">
        <v>45879</v>
      </c>
      <c r="D319" t="inlineStr">
        <is>
          <t>JÖNKÖPINGS LÄN</t>
        </is>
      </c>
      <c r="E319" t="inlineStr">
        <is>
          <t>SÄVSJÖ</t>
        </is>
      </c>
      <c r="G319" t="n">
        <v>1.1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8341-2022</t>
        </is>
      </c>
      <c r="B320" s="1" t="n">
        <v>44610.5587962963</v>
      </c>
      <c r="C320" s="1" t="n">
        <v>45879</v>
      </c>
      <c r="D320" t="inlineStr">
        <is>
          <t>JÖNKÖPINGS LÄN</t>
        </is>
      </c>
      <c r="E320" t="inlineStr">
        <is>
          <t>SÄVSJÖ</t>
        </is>
      </c>
      <c r="G320" t="n">
        <v>0.6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50564-2024</t>
        </is>
      </c>
      <c r="B321" s="1" t="n">
        <v>45601</v>
      </c>
      <c r="C321" s="1" t="n">
        <v>45879</v>
      </c>
      <c r="D321" t="inlineStr">
        <is>
          <t>JÖNKÖPINGS LÄN</t>
        </is>
      </c>
      <c r="E321" t="inlineStr">
        <is>
          <t>SÄVSJÖ</t>
        </is>
      </c>
      <c r="G321" t="n">
        <v>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64573-2023</t>
        </is>
      </c>
      <c r="B322" s="1" t="n">
        <v>45281</v>
      </c>
      <c r="C322" s="1" t="n">
        <v>45879</v>
      </c>
      <c r="D322" t="inlineStr">
        <is>
          <t>JÖNKÖPINGS LÄN</t>
        </is>
      </c>
      <c r="E322" t="inlineStr">
        <is>
          <t>SÄVSJÖ</t>
        </is>
      </c>
      <c r="G322" t="n">
        <v>1.7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15471-2025</t>
        </is>
      </c>
      <c r="B323" s="1" t="n">
        <v>45747.53693287037</v>
      </c>
      <c r="C323" s="1" t="n">
        <v>45879</v>
      </c>
      <c r="D323" t="inlineStr">
        <is>
          <t>JÖNKÖPINGS LÄN</t>
        </is>
      </c>
      <c r="E323" t="inlineStr">
        <is>
          <t>SÄVSJÖ</t>
        </is>
      </c>
      <c r="G323" t="n">
        <v>1.4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47893-2023</t>
        </is>
      </c>
      <c r="B324" s="1" t="n">
        <v>45204</v>
      </c>
      <c r="C324" s="1" t="n">
        <v>45879</v>
      </c>
      <c r="D324" t="inlineStr">
        <is>
          <t>JÖNKÖPINGS LÄN</t>
        </is>
      </c>
      <c r="E324" t="inlineStr">
        <is>
          <t>SÄVSJÖ</t>
        </is>
      </c>
      <c r="G324" t="n">
        <v>1.2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11239-2024</t>
        </is>
      </c>
      <c r="B325" s="1" t="n">
        <v>45371.61538194444</v>
      </c>
      <c r="C325" s="1" t="n">
        <v>45879</v>
      </c>
      <c r="D325" t="inlineStr">
        <is>
          <t>JÖNKÖPINGS LÄN</t>
        </is>
      </c>
      <c r="E325" t="inlineStr">
        <is>
          <t>SÄVSJÖ</t>
        </is>
      </c>
      <c r="G325" t="n">
        <v>0.5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6333-2025</t>
        </is>
      </c>
      <c r="B326" s="1" t="n">
        <v>45698.92776620371</v>
      </c>
      <c r="C326" s="1" t="n">
        <v>45879</v>
      </c>
      <c r="D326" t="inlineStr">
        <is>
          <t>JÖNKÖPINGS LÄN</t>
        </is>
      </c>
      <c r="E326" t="inlineStr">
        <is>
          <t>SÄVSJÖ</t>
        </is>
      </c>
      <c r="G326" t="n">
        <v>1.6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24703-2024</t>
        </is>
      </c>
      <c r="B327" s="1" t="n">
        <v>45460.62070601852</v>
      </c>
      <c r="C327" s="1" t="n">
        <v>45879</v>
      </c>
      <c r="D327" t="inlineStr">
        <is>
          <t>JÖNKÖPINGS LÄN</t>
        </is>
      </c>
      <c r="E327" t="inlineStr">
        <is>
          <t>SÄVSJÖ</t>
        </is>
      </c>
      <c r="G327" t="n">
        <v>1.2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34287-2024</t>
        </is>
      </c>
      <c r="B328" s="1" t="n">
        <v>45524.63298611111</v>
      </c>
      <c r="C328" s="1" t="n">
        <v>45879</v>
      </c>
      <c r="D328" t="inlineStr">
        <is>
          <t>JÖNKÖPINGS LÄN</t>
        </is>
      </c>
      <c r="E328" t="inlineStr">
        <is>
          <t>SÄVSJÖ</t>
        </is>
      </c>
      <c r="G328" t="n">
        <v>2.3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11337-2025</t>
        </is>
      </c>
      <c r="B329" s="1" t="n">
        <v>45726.48827546297</v>
      </c>
      <c r="C329" s="1" t="n">
        <v>45879</v>
      </c>
      <c r="D329" t="inlineStr">
        <is>
          <t>JÖNKÖPINGS LÄN</t>
        </is>
      </c>
      <c r="E329" t="inlineStr">
        <is>
          <t>SÄVSJÖ</t>
        </is>
      </c>
      <c r="G329" t="n">
        <v>1.2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12794-2025</t>
        </is>
      </c>
      <c r="B330" s="1" t="n">
        <v>45733.60925925926</v>
      </c>
      <c r="C330" s="1" t="n">
        <v>45879</v>
      </c>
      <c r="D330" t="inlineStr">
        <is>
          <t>JÖNKÖPINGS LÄN</t>
        </is>
      </c>
      <c r="E330" t="inlineStr">
        <is>
          <t>SÄVSJÖ</t>
        </is>
      </c>
      <c r="G330" t="n">
        <v>0.7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32769-2025</t>
        </is>
      </c>
      <c r="B331" s="1" t="n">
        <v>45839.45849537037</v>
      </c>
      <c r="C331" s="1" t="n">
        <v>45879</v>
      </c>
      <c r="D331" t="inlineStr">
        <is>
          <t>JÖNKÖPINGS LÄN</t>
        </is>
      </c>
      <c r="E331" t="inlineStr">
        <is>
          <t>SÄVSJÖ</t>
        </is>
      </c>
      <c r="G331" t="n">
        <v>6.2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16379-2024</t>
        </is>
      </c>
      <c r="B332" s="1" t="n">
        <v>45407.61017361111</v>
      </c>
      <c r="C332" s="1" t="n">
        <v>45879</v>
      </c>
      <c r="D332" t="inlineStr">
        <is>
          <t>JÖNKÖPINGS LÄN</t>
        </is>
      </c>
      <c r="E332" t="inlineStr">
        <is>
          <t>SÄVSJÖ</t>
        </is>
      </c>
      <c r="G332" t="n">
        <v>1.9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12804-2025</t>
        </is>
      </c>
      <c r="B333" s="1" t="n">
        <v>45733.61469907407</v>
      </c>
      <c r="C333" s="1" t="n">
        <v>45879</v>
      </c>
      <c r="D333" t="inlineStr">
        <is>
          <t>JÖNKÖPINGS LÄN</t>
        </is>
      </c>
      <c r="E333" t="inlineStr">
        <is>
          <t>SÄVSJÖ</t>
        </is>
      </c>
      <c r="G333" t="n">
        <v>0.5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24618-2025</t>
        </is>
      </c>
      <c r="B334" s="1" t="n">
        <v>45798.58947916667</v>
      </c>
      <c r="C334" s="1" t="n">
        <v>45879</v>
      </c>
      <c r="D334" t="inlineStr">
        <is>
          <t>JÖNKÖPINGS LÄN</t>
        </is>
      </c>
      <c r="E334" t="inlineStr">
        <is>
          <t>SÄVSJÖ</t>
        </is>
      </c>
      <c r="G334" t="n">
        <v>3.3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32478-2025</t>
        </is>
      </c>
      <c r="B335" s="1" t="n">
        <v>45838</v>
      </c>
      <c r="C335" s="1" t="n">
        <v>45879</v>
      </c>
      <c r="D335" t="inlineStr">
        <is>
          <t>JÖNKÖPINGS LÄN</t>
        </is>
      </c>
      <c r="E335" t="inlineStr">
        <is>
          <t>SÄVSJÖ</t>
        </is>
      </c>
      <c r="G335" t="n">
        <v>1.1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33089-2025</t>
        </is>
      </c>
      <c r="B336" s="1" t="n">
        <v>45840.46835648148</v>
      </c>
      <c r="C336" s="1" t="n">
        <v>45879</v>
      </c>
      <c r="D336" t="inlineStr">
        <is>
          <t>JÖNKÖPINGS LÄN</t>
        </is>
      </c>
      <c r="E336" t="inlineStr">
        <is>
          <t>SÄVSJÖ</t>
        </is>
      </c>
      <c r="G336" t="n">
        <v>1.6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19047-2025</t>
        </is>
      </c>
      <c r="B337" s="1" t="n">
        <v>45764.83226851852</v>
      </c>
      <c r="C337" s="1" t="n">
        <v>45879</v>
      </c>
      <c r="D337" t="inlineStr">
        <is>
          <t>JÖNKÖPINGS LÄN</t>
        </is>
      </c>
      <c r="E337" t="inlineStr">
        <is>
          <t>SÄVSJÖ</t>
        </is>
      </c>
      <c r="G337" t="n">
        <v>4.1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11335-2025</t>
        </is>
      </c>
      <c r="B338" s="1" t="n">
        <v>45726.48643518519</v>
      </c>
      <c r="C338" s="1" t="n">
        <v>45879</v>
      </c>
      <c r="D338" t="inlineStr">
        <is>
          <t>JÖNKÖPINGS LÄN</t>
        </is>
      </c>
      <c r="E338" t="inlineStr">
        <is>
          <t>SÄVSJÖ</t>
        </is>
      </c>
      <c r="G338" t="n">
        <v>2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32765-2025</t>
        </is>
      </c>
      <c r="B339" s="1" t="n">
        <v>45839.44773148148</v>
      </c>
      <c r="C339" s="1" t="n">
        <v>45879</v>
      </c>
      <c r="D339" t="inlineStr">
        <is>
          <t>JÖNKÖPINGS LÄN</t>
        </is>
      </c>
      <c r="E339" t="inlineStr">
        <is>
          <t>SÄVSJÖ</t>
        </is>
      </c>
      <c r="G339" t="n">
        <v>0.7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12521-2021</t>
        </is>
      </c>
      <c r="B340" s="1" t="n">
        <v>44269</v>
      </c>
      <c r="C340" s="1" t="n">
        <v>45879</v>
      </c>
      <c r="D340" t="inlineStr">
        <is>
          <t>JÖNKÖPINGS LÄN</t>
        </is>
      </c>
      <c r="E340" t="inlineStr">
        <is>
          <t>SÄVSJÖ</t>
        </is>
      </c>
      <c r="G340" t="n">
        <v>1.8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38699-2023</t>
        </is>
      </c>
      <c r="B341" s="1" t="n">
        <v>45163.30577546296</v>
      </c>
      <c r="C341" s="1" t="n">
        <v>45879</v>
      </c>
      <c r="D341" t="inlineStr">
        <is>
          <t>JÖNKÖPINGS LÄN</t>
        </is>
      </c>
      <c r="E341" t="inlineStr">
        <is>
          <t>SÄVSJÖ</t>
        </is>
      </c>
      <c r="G341" t="n">
        <v>1.5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40575-2023</t>
        </is>
      </c>
      <c r="B342" s="1" t="n">
        <v>45170</v>
      </c>
      <c r="C342" s="1" t="n">
        <v>45879</v>
      </c>
      <c r="D342" t="inlineStr">
        <is>
          <t>JÖNKÖPINGS LÄN</t>
        </is>
      </c>
      <c r="E342" t="inlineStr">
        <is>
          <t>SÄVSJÖ</t>
        </is>
      </c>
      <c r="G342" t="n">
        <v>0.7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46906-2023</t>
        </is>
      </c>
      <c r="B343" s="1" t="n">
        <v>45201.37368055555</v>
      </c>
      <c r="C343" s="1" t="n">
        <v>45879</v>
      </c>
      <c r="D343" t="inlineStr">
        <is>
          <t>JÖNKÖPINGS LÄN</t>
        </is>
      </c>
      <c r="E343" t="inlineStr">
        <is>
          <t>SÄVSJÖ</t>
        </is>
      </c>
      <c r="G343" t="n">
        <v>0.5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22263-2025</t>
        </is>
      </c>
      <c r="B344" s="1" t="n">
        <v>45785.79543981481</v>
      </c>
      <c r="C344" s="1" t="n">
        <v>45879</v>
      </c>
      <c r="D344" t="inlineStr">
        <is>
          <t>JÖNKÖPINGS LÄN</t>
        </is>
      </c>
      <c r="E344" t="inlineStr">
        <is>
          <t>SÄVSJÖ</t>
        </is>
      </c>
      <c r="G344" t="n">
        <v>1.8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46408-2023</t>
        </is>
      </c>
      <c r="B345" s="1" t="n">
        <v>45197.51347222222</v>
      </c>
      <c r="C345" s="1" t="n">
        <v>45879</v>
      </c>
      <c r="D345" t="inlineStr">
        <is>
          <t>JÖNKÖPINGS LÄN</t>
        </is>
      </c>
      <c r="E345" t="inlineStr">
        <is>
          <t>SÄVSJÖ</t>
        </is>
      </c>
      <c r="G345" t="n">
        <v>0.6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19019-2025</t>
        </is>
      </c>
      <c r="B346" s="1" t="n">
        <v>45764.614375</v>
      </c>
      <c r="C346" s="1" t="n">
        <v>45879</v>
      </c>
      <c r="D346" t="inlineStr">
        <is>
          <t>JÖNKÖPINGS LÄN</t>
        </is>
      </c>
      <c r="E346" t="inlineStr">
        <is>
          <t>SÄVSJÖ</t>
        </is>
      </c>
      <c r="G346" t="n">
        <v>2.2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61610-2024</t>
        </is>
      </c>
      <c r="B347" s="1" t="n">
        <v>45646.64815972222</v>
      </c>
      <c r="C347" s="1" t="n">
        <v>45879</v>
      </c>
      <c r="D347" t="inlineStr">
        <is>
          <t>JÖNKÖPINGS LÄN</t>
        </is>
      </c>
      <c r="E347" t="inlineStr">
        <is>
          <t>SÄVSJÖ</t>
        </is>
      </c>
      <c r="G347" t="n">
        <v>1.5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39045-2024</t>
        </is>
      </c>
      <c r="B348" s="1" t="n">
        <v>45548.4799537037</v>
      </c>
      <c r="C348" s="1" t="n">
        <v>45879</v>
      </c>
      <c r="D348" t="inlineStr">
        <is>
          <t>JÖNKÖPINGS LÄN</t>
        </is>
      </c>
      <c r="E348" t="inlineStr">
        <is>
          <t>SÄVSJÖ</t>
        </is>
      </c>
      <c r="G348" t="n">
        <v>6.2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49598-2023</t>
        </is>
      </c>
      <c r="B349" s="1" t="n">
        <v>45211.70143518518</v>
      </c>
      <c r="C349" s="1" t="n">
        <v>45879</v>
      </c>
      <c r="D349" t="inlineStr">
        <is>
          <t>JÖNKÖPINGS LÄN</t>
        </is>
      </c>
      <c r="E349" t="inlineStr">
        <is>
          <t>SÄVSJÖ</t>
        </is>
      </c>
      <c r="G349" t="n">
        <v>1.5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11760-2025</t>
        </is>
      </c>
      <c r="B350" s="1" t="n">
        <v>45727</v>
      </c>
      <c r="C350" s="1" t="n">
        <v>45879</v>
      </c>
      <c r="D350" t="inlineStr">
        <is>
          <t>JÖNKÖPINGS LÄN</t>
        </is>
      </c>
      <c r="E350" t="inlineStr">
        <is>
          <t>SÄVSJÖ</t>
        </is>
      </c>
      <c r="G350" t="n">
        <v>1.8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25266-2025</t>
        </is>
      </c>
      <c r="B351" s="1" t="n">
        <v>45800.53733796296</v>
      </c>
      <c r="C351" s="1" t="n">
        <v>45879</v>
      </c>
      <c r="D351" t="inlineStr">
        <is>
          <t>JÖNKÖPINGS LÄN</t>
        </is>
      </c>
      <c r="E351" t="inlineStr">
        <is>
          <t>SÄVSJÖ</t>
        </is>
      </c>
      <c r="G351" t="n">
        <v>3.3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19702-2025</t>
        </is>
      </c>
      <c r="B352" s="1" t="n">
        <v>45771.32804398148</v>
      </c>
      <c r="C352" s="1" t="n">
        <v>45879</v>
      </c>
      <c r="D352" t="inlineStr">
        <is>
          <t>JÖNKÖPINGS LÄN</t>
        </is>
      </c>
      <c r="E352" t="inlineStr">
        <is>
          <t>SÄVSJÖ</t>
        </is>
      </c>
      <c r="G352" t="n">
        <v>2.5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33616-2025</t>
        </is>
      </c>
      <c r="B353" s="1" t="n">
        <v>45841.62478009259</v>
      </c>
      <c r="C353" s="1" t="n">
        <v>45879</v>
      </c>
      <c r="D353" t="inlineStr">
        <is>
          <t>JÖNKÖPINGS LÄN</t>
        </is>
      </c>
      <c r="E353" t="inlineStr">
        <is>
          <t>SÄVSJÖ</t>
        </is>
      </c>
      <c r="G353" t="n">
        <v>2.7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51795-2022</t>
        </is>
      </c>
      <c r="B354" s="1" t="n">
        <v>44872.54512731481</v>
      </c>
      <c r="C354" s="1" t="n">
        <v>45879</v>
      </c>
      <c r="D354" t="inlineStr">
        <is>
          <t>JÖNKÖPINGS LÄN</t>
        </is>
      </c>
      <c r="E354" t="inlineStr">
        <is>
          <t>SÄVSJÖ</t>
        </is>
      </c>
      <c r="G354" t="n">
        <v>3.5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18324-2025</t>
        </is>
      </c>
      <c r="B355" s="1" t="n">
        <v>45762.47472222222</v>
      </c>
      <c r="C355" s="1" t="n">
        <v>45879</v>
      </c>
      <c r="D355" t="inlineStr">
        <is>
          <t>JÖNKÖPINGS LÄN</t>
        </is>
      </c>
      <c r="E355" t="inlineStr">
        <is>
          <t>SÄVSJÖ</t>
        </is>
      </c>
      <c r="G355" t="n">
        <v>2.2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55381-2023</t>
        </is>
      </c>
      <c r="B356" s="1" t="n">
        <v>45238.35755787037</v>
      </c>
      <c r="C356" s="1" t="n">
        <v>45879</v>
      </c>
      <c r="D356" t="inlineStr">
        <is>
          <t>JÖNKÖPINGS LÄN</t>
        </is>
      </c>
      <c r="E356" t="inlineStr">
        <is>
          <t>SÄVSJÖ</t>
        </is>
      </c>
      <c r="G356" t="n">
        <v>0.4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34278-2025</t>
        </is>
      </c>
      <c r="B357" s="1" t="n">
        <v>45845.99798611111</v>
      </c>
      <c r="C357" s="1" t="n">
        <v>45879</v>
      </c>
      <c r="D357" t="inlineStr">
        <is>
          <t>JÖNKÖPINGS LÄN</t>
        </is>
      </c>
      <c r="E357" t="inlineStr">
        <is>
          <t>SÄVSJÖ</t>
        </is>
      </c>
      <c r="G357" t="n">
        <v>3.2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39730-2023</t>
        </is>
      </c>
      <c r="B358" s="1" t="n">
        <v>45167.64136574074</v>
      </c>
      <c r="C358" s="1" t="n">
        <v>45879</v>
      </c>
      <c r="D358" t="inlineStr">
        <is>
          <t>JÖNKÖPINGS LÄN</t>
        </is>
      </c>
      <c r="E358" t="inlineStr">
        <is>
          <t>SÄVSJÖ</t>
        </is>
      </c>
      <c r="G358" t="n">
        <v>0.7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48815-2024</t>
        </is>
      </c>
      <c r="B359" s="1" t="n">
        <v>45593.67476851852</v>
      </c>
      <c r="C359" s="1" t="n">
        <v>45879</v>
      </c>
      <c r="D359" t="inlineStr">
        <is>
          <t>JÖNKÖPINGS LÄN</t>
        </is>
      </c>
      <c r="E359" t="inlineStr">
        <is>
          <t>SÄVSJÖ</t>
        </is>
      </c>
      <c r="G359" t="n">
        <v>0.7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29558-2023</t>
        </is>
      </c>
      <c r="B360" s="1" t="n">
        <v>45106.66707175926</v>
      </c>
      <c r="C360" s="1" t="n">
        <v>45879</v>
      </c>
      <c r="D360" t="inlineStr">
        <is>
          <t>JÖNKÖPINGS LÄN</t>
        </is>
      </c>
      <c r="E360" t="inlineStr">
        <is>
          <t>SÄVSJÖ</t>
        </is>
      </c>
      <c r="G360" t="n">
        <v>2.4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55881-2024</t>
        </is>
      </c>
      <c r="B361" s="1" t="n">
        <v>45623.56214120371</v>
      </c>
      <c r="C361" s="1" t="n">
        <v>45879</v>
      </c>
      <c r="D361" t="inlineStr">
        <is>
          <t>JÖNKÖPINGS LÄN</t>
        </is>
      </c>
      <c r="E361" t="inlineStr">
        <is>
          <t>SÄVSJÖ</t>
        </is>
      </c>
      <c r="G361" t="n">
        <v>2.7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7358-2025</t>
        </is>
      </c>
      <c r="B362" s="1" t="n">
        <v>45704.62030092593</v>
      </c>
      <c r="C362" s="1" t="n">
        <v>45879</v>
      </c>
      <c r="D362" t="inlineStr">
        <is>
          <t>JÖNKÖPINGS LÄN</t>
        </is>
      </c>
      <c r="E362" t="inlineStr">
        <is>
          <t>SÄVSJÖ</t>
        </is>
      </c>
      <c r="G362" t="n">
        <v>1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14880-2022</t>
        </is>
      </c>
      <c r="B363" s="1" t="n">
        <v>44656.81189814815</v>
      </c>
      <c r="C363" s="1" t="n">
        <v>45879</v>
      </c>
      <c r="D363" t="inlineStr">
        <is>
          <t>JÖNKÖPINGS LÄN</t>
        </is>
      </c>
      <c r="E363" t="inlineStr">
        <is>
          <t>SÄVSJÖ</t>
        </is>
      </c>
      <c r="G363" t="n">
        <v>0.8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38283-2023</t>
        </is>
      </c>
      <c r="B364" s="1" t="n">
        <v>45161.63494212963</v>
      </c>
      <c r="C364" s="1" t="n">
        <v>45879</v>
      </c>
      <c r="D364" t="inlineStr">
        <is>
          <t>JÖNKÖPINGS LÄN</t>
        </is>
      </c>
      <c r="E364" t="inlineStr">
        <is>
          <t>SÄVSJÖ</t>
        </is>
      </c>
      <c r="G364" t="n">
        <v>1.6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5724-2025</t>
        </is>
      </c>
      <c r="B365" s="1" t="n">
        <v>45694.48425925926</v>
      </c>
      <c r="C365" s="1" t="n">
        <v>45879</v>
      </c>
      <c r="D365" t="inlineStr">
        <is>
          <t>JÖNKÖPINGS LÄN</t>
        </is>
      </c>
      <c r="E365" t="inlineStr">
        <is>
          <t>SÄVSJÖ</t>
        </is>
      </c>
      <c r="G365" t="n">
        <v>9.800000000000001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1991-2025</t>
        </is>
      </c>
      <c r="B366" s="1" t="n">
        <v>45672.43244212963</v>
      </c>
      <c r="C366" s="1" t="n">
        <v>45879</v>
      </c>
      <c r="D366" t="inlineStr">
        <is>
          <t>JÖNKÖPINGS LÄN</t>
        </is>
      </c>
      <c r="E366" t="inlineStr">
        <is>
          <t>SÄVSJÖ</t>
        </is>
      </c>
      <c r="F366" t="inlineStr">
        <is>
          <t>Kommuner</t>
        </is>
      </c>
      <c r="G366" t="n">
        <v>2.3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18070-2025</t>
        </is>
      </c>
      <c r="B367" s="1" t="n">
        <v>45761.49188657408</v>
      </c>
      <c r="C367" s="1" t="n">
        <v>45879</v>
      </c>
      <c r="D367" t="inlineStr">
        <is>
          <t>JÖNKÖPINGS LÄN</t>
        </is>
      </c>
      <c r="E367" t="inlineStr">
        <is>
          <t>SÄVSJÖ</t>
        </is>
      </c>
      <c r="G367" t="n">
        <v>1.3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63920-2021</t>
        </is>
      </c>
      <c r="B368" s="1" t="n">
        <v>44509.67083333333</v>
      </c>
      <c r="C368" s="1" t="n">
        <v>45879</v>
      </c>
      <c r="D368" t="inlineStr">
        <is>
          <t>JÖNKÖPINGS LÄN</t>
        </is>
      </c>
      <c r="E368" t="inlineStr">
        <is>
          <t>SÄVSJÖ</t>
        </is>
      </c>
      <c r="G368" t="n">
        <v>4.5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4687-2024</t>
        </is>
      </c>
      <c r="B369" s="1" t="n">
        <v>45328.50096064815</v>
      </c>
      <c r="C369" s="1" t="n">
        <v>45879</v>
      </c>
      <c r="D369" t="inlineStr">
        <is>
          <t>JÖNKÖPINGS LÄN</t>
        </is>
      </c>
      <c r="E369" t="inlineStr">
        <is>
          <t>SÄVSJÖ</t>
        </is>
      </c>
      <c r="G369" t="n">
        <v>2.8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10887-2023</t>
        </is>
      </c>
      <c r="B370" s="1" t="n">
        <v>44991.44572916667</v>
      </c>
      <c r="C370" s="1" t="n">
        <v>45879</v>
      </c>
      <c r="D370" t="inlineStr">
        <is>
          <t>JÖNKÖPINGS LÄN</t>
        </is>
      </c>
      <c r="E370" t="inlineStr">
        <is>
          <t>SÄVSJÖ</t>
        </is>
      </c>
      <c r="G370" t="n">
        <v>1.1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20579-2025</t>
        </is>
      </c>
      <c r="B371" s="1" t="n">
        <v>45775.67953703704</v>
      </c>
      <c r="C371" s="1" t="n">
        <v>45879</v>
      </c>
      <c r="D371" t="inlineStr">
        <is>
          <t>JÖNKÖPINGS LÄN</t>
        </is>
      </c>
      <c r="E371" t="inlineStr">
        <is>
          <t>SÄVSJÖ</t>
        </is>
      </c>
      <c r="G371" t="n">
        <v>0.9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17679-2024</t>
        </is>
      </c>
      <c r="B372" s="1" t="n">
        <v>45418.40288194444</v>
      </c>
      <c r="C372" s="1" t="n">
        <v>45879</v>
      </c>
      <c r="D372" t="inlineStr">
        <is>
          <t>JÖNKÖPINGS LÄN</t>
        </is>
      </c>
      <c r="E372" t="inlineStr">
        <is>
          <t>SÄVSJÖ</t>
        </is>
      </c>
      <c r="G372" t="n">
        <v>1.4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3433-2025</t>
        </is>
      </c>
      <c r="B373" s="1" t="n">
        <v>45680.43269675926</v>
      </c>
      <c r="C373" s="1" t="n">
        <v>45879</v>
      </c>
      <c r="D373" t="inlineStr">
        <is>
          <t>JÖNKÖPINGS LÄN</t>
        </is>
      </c>
      <c r="E373" t="inlineStr">
        <is>
          <t>SÄVSJÖ</t>
        </is>
      </c>
      <c r="G373" t="n">
        <v>5.7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1902-2025</t>
        </is>
      </c>
      <c r="B374" s="1" t="n">
        <v>45671</v>
      </c>
      <c r="C374" s="1" t="n">
        <v>45879</v>
      </c>
      <c r="D374" t="inlineStr">
        <is>
          <t>JÖNKÖPINGS LÄN</t>
        </is>
      </c>
      <c r="E374" t="inlineStr">
        <is>
          <t>SÄVSJÖ</t>
        </is>
      </c>
      <c r="G374" t="n">
        <v>1.4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55482-2023</t>
        </is>
      </c>
      <c r="B375" s="1" t="n">
        <v>45238.51251157407</v>
      </c>
      <c r="C375" s="1" t="n">
        <v>45879</v>
      </c>
      <c r="D375" t="inlineStr">
        <is>
          <t>JÖNKÖPINGS LÄN</t>
        </is>
      </c>
      <c r="E375" t="inlineStr">
        <is>
          <t>SÄVSJÖ</t>
        </is>
      </c>
      <c r="G375" t="n">
        <v>1.7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19856-2024</t>
        </is>
      </c>
      <c r="B376" s="1" t="n">
        <v>45433.40761574074</v>
      </c>
      <c r="C376" s="1" t="n">
        <v>45879</v>
      </c>
      <c r="D376" t="inlineStr">
        <is>
          <t>JÖNKÖPINGS LÄN</t>
        </is>
      </c>
      <c r="E376" t="inlineStr">
        <is>
          <t>SÄVSJÖ</t>
        </is>
      </c>
      <c r="G376" t="n">
        <v>3.7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34626-2025</t>
        </is>
      </c>
      <c r="B377" s="1" t="n">
        <v>45847.87125</v>
      </c>
      <c r="C377" s="1" t="n">
        <v>45879</v>
      </c>
      <c r="D377" t="inlineStr">
        <is>
          <t>JÖNKÖPINGS LÄN</t>
        </is>
      </c>
      <c r="E377" t="inlineStr">
        <is>
          <t>SÄVSJÖ</t>
        </is>
      </c>
      <c r="G377" t="n">
        <v>1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3640-2025</t>
        </is>
      </c>
      <c r="B378" s="1" t="n">
        <v>45681.38584490741</v>
      </c>
      <c r="C378" s="1" t="n">
        <v>45879</v>
      </c>
      <c r="D378" t="inlineStr">
        <is>
          <t>JÖNKÖPINGS LÄN</t>
        </is>
      </c>
      <c r="E378" t="inlineStr">
        <is>
          <t>SÄVSJÖ</t>
        </is>
      </c>
      <c r="G378" t="n">
        <v>2.7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7285-2023</t>
        </is>
      </c>
      <c r="B379" s="1" t="n">
        <v>44970</v>
      </c>
      <c r="C379" s="1" t="n">
        <v>45879</v>
      </c>
      <c r="D379" t="inlineStr">
        <is>
          <t>JÖNKÖPINGS LÄN</t>
        </is>
      </c>
      <c r="E379" t="inlineStr">
        <is>
          <t>SÄVSJÖ</t>
        </is>
      </c>
      <c r="G379" t="n">
        <v>1.3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3177-2025</t>
        </is>
      </c>
      <c r="B380" s="1" t="n">
        <v>45679</v>
      </c>
      <c r="C380" s="1" t="n">
        <v>45879</v>
      </c>
      <c r="D380" t="inlineStr">
        <is>
          <t>JÖNKÖPINGS LÄN</t>
        </is>
      </c>
      <c r="E380" t="inlineStr">
        <is>
          <t>SÄVSJÖ</t>
        </is>
      </c>
      <c r="G380" t="n">
        <v>0.6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49276-2023</t>
        </is>
      </c>
      <c r="B381" s="1" t="n">
        <v>45210.6937962963</v>
      </c>
      <c r="C381" s="1" t="n">
        <v>45879</v>
      </c>
      <c r="D381" t="inlineStr">
        <is>
          <t>JÖNKÖPINGS LÄN</t>
        </is>
      </c>
      <c r="E381" t="inlineStr">
        <is>
          <t>SÄVSJÖ</t>
        </is>
      </c>
      <c r="G381" t="n">
        <v>6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55012-2023</t>
        </is>
      </c>
      <c r="B382" s="1" t="n">
        <v>45237.31642361111</v>
      </c>
      <c r="C382" s="1" t="n">
        <v>45879</v>
      </c>
      <c r="D382" t="inlineStr">
        <is>
          <t>JÖNKÖPINGS LÄN</t>
        </is>
      </c>
      <c r="E382" t="inlineStr">
        <is>
          <t>SÄVSJÖ</t>
        </is>
      </c>
      <c r="G382" t="n">
        <v>5.4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26424-2025</t>
        </is>
      </c>
      <c r="B383" s="1" t="n">
        <v>45807.38013888889</v>
      </c>
      <c r="C383" s="1" t="n">
        <v>45879</v>
      </c>
      <c r="D383" t="inlineStr">
        <is>
          <t>JÖNKÖPINGS LÄN</t>
        </is>
      </c>
      <c r="E383" t="inlineStr">
        <is>
          <t>SÄVSJÖ</t>
        </is>
      </c>
      <c r="G383" t="n">
        <v>1.1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25074-2023</t>
        </is>
      </c>
      <c r="B384" s="1" t="n">
        <v>45086</v>
      </c>
      <c r="C384" s="1" t="n">
        <v>45879</v>
      </c>
      <c r="D384" t="inlineStr">
        <is>
          <t>JÖNKÖPINGS LÄN</t>
        </is>
      </c>
      <c r="E384" t="inlineStr">
        <is>
          <t>SÄVSJÖ</t>
        </is>
      </c>
      <c r="G384" t="n">
        <v>3.9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14159-2022</t>
        </is>
      </c>
      <c r="B385" s="1" t="n">
        <v>44651.47270833333</v>
      </c>
      <c r="C385" s="1" t="n">
        <v>45879</v>
      </c>
      <c r="D385" t="inlineStr">
        <is>
          <t>JÖNKÖPINGS LÄN</t>
        </is>
      </c>
      <c r="E385" t="inlineStr">
        <is>
          <t>SÄVSJÖ</t>
        </is>
      </c>
      <c r="G385" t="n">
        <v>1.4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37785-2022</t>
        </is>
      </c>
      <c r="B386" s="1" t="n">
        <v>44810.66979166667</v>
      </c>
      <c r="C386" s="1" t="n">
        <v>45879</v>
      </c>
      <c r="D386" t="inlineStr">
        <is>
          <t>JÖNKÖPINGS LÄN</t>
        </is>
      </c>
      <c r="E386" t="inlineStr">
        <is>
          <t>SÄVSJÖ</t>
        </is>
      </c>
      <c r="G386" t="n">
        <v>0.9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34627-2025</t>
        </is>
      </c>
      <c r="B387" s="1" t="n">
        <v>45847</v>
      </c>
      <c r="C387" s="1" t="n">
        <v>45879</v>
      </c>
      <c r="D387" t="inlineStr">
        <is>
          <t>JÖNKÖPINGS LÄN</t>
        </is>
      </c>
      <c r="E387" t="inlineStr">
        <is>
          <t>SÄVSJÖ</t>
        </is>
      </c>
      <c r="G387" t="n">
        <v>0.6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61373-2024</t>
        </is>
      </c>
      <c r="B388" s="1" t="n">
        <v>45646.39285879629</v>
      </c>
      <c r="C388" s="1" t="n">
        <v>45879</v>
      </c>
      <c r="D388" t="inlineStr">
        <is>
          <t>JÖNKÖPINGS LÄN</t>
        </is>
      </c>
      <c r="E388" t="inlineStr">
        <is>
          <t>SÄVSJÖ</t>
        </is>
      </c>
      <c r="G388" t="n">
        <v>5.9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49406-2023</t>
        </is>
      </c>
      <c r="B389" s="1" t="n">
        <v>45211.4318287037</v>
      </c>
      <c r="C389" s="1" t="n">
        <v>45879</v>
      </c>
      <c r="D389" t="inlineStr">
        <is>
          <t>JÖNKÖPINGS LÄN</t>
        </is>
      </c>
      <c r="E389" t="inlineStr">
        <is>
          <t>SÄVSJÖ</t>
        </is>
      </c>
      <c r="G389" t="n">
        <v>2.4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4151-2025</t>
        </is>
      </c>
      <c r="B390" s="1" t="n">
        <v>45685</v>
      </c>
      <c r="C390" s="1" t="n">
        <v>45879</v>
      </c>
      <c r="D390" t="inlineStr">
        <is>
          <t>JÖNKÖPINGS LÄN</t>
        </is>
      </c>
      <c r="E390" t="inlineStr">
        <is>
          <t>SÄVSJÖ</t>
        </is>
      </c>
      <c r="G390" t="n">
        <v>1.5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26594-2025</t>
        </is>
      </c>
      <c r="B391" s="1" t="n">
        <v>45808.25930555556</v>
      </c>
      <c r="C391" s="1" t="n">
        <v>45879</v>
      </c>
      <c r="D391" t="inlineStr">
        <is>
          <t>JÖNKÖPINGS LÄN</t>
        </is>
      </c>
      <c r="E391" t="inlineStr">
        <is>
          <t>SÄVSJÖ</t>
        </is>
      </c>
      <c r="G391" t="n">
        <v>6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27713-2023</t>
        </is>
      </c>
      <c r="B392" s="1" t="n">
        <v>45098.32418981481</v>
      </c>
      <c r="C392" s="1" t="n">
        <v>45879</v>
      </c>
      <c r="D392" t="inlineStr">
        <is>
          <t>JÖNKÖPINGS LÄN</t>
        </is>
      </c>
      <c r="E392" t="inlineStr">
        <is>
          <t>SÄVSJÖ</t>
        </is>
      </c>
      <c r="G392" t="n">
        <v>3.8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27228-2025</t>
        </is>
      </c>
      <c r="B393" s="1" t="n">
        <v>45812.43444444444</v>
      </c>
      <c r="C393" s="1" t="n">
        <v>45879</v>
      </c>
      <c r="D393" t="inlineStr">
        <is>
          <t>JÖNKÖPINGS LÄN</t>
        </is>
      </c>
      <c r="E393" t="inlineStr">
        <is>
          <t>SÄVSJÖ</t>
        </is>
      </c>
      <c r="G393" t="n">
        <v>1.2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54547-2023</t>
        </is>
      </c>
      <c r="B394" s="1" t="n">
        <v>45226</v>
      </c>
      <c r="C394" s="1" t="n">
        <v>45879</v>
      </c>
      <c r="D394" t="inlineStr">
        <is>
          <t>JÖNKÖPINGS LÄN</t>
        </is>
      </c>
      <c r="E394" t="inlineStr">
        <is>
          <t>SÄVSJÖ</t>
        </is>
      </c>
      <c r="F394" t="inlineStr">
        <is>
          <t>Kyrkan</t>
        </is>
      </c>
      <c r="G394" t="n">
        <v>1.8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26913-2025</t>
        </is>
      </c>
      <c r="B395" s="1" t="n">
        <v>45811.36108796296</v>
      </c>
      <c r="C395" s="1" t="n">
        <v>45879</v>
      </c>
      <c r="D395" t="inlineStr">
        <is>
          <t>JÖNKÖPINGS LÄN</t>
        </is>
      </c>
      <c r="E395" t="inlineStr">
        <is>
          <t>SÄVSJÖ</t>
        </is>
      </c>
      <c r="G395" t="n">
        <v>2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27213-2025</t>
        </is>
      </c>
      <c r="B396" s="1" t="n">
        <v>45812.41163194444</v>
      </c>
      <c r="C396" s="1" t="n">
        <v>45879</v>
      </c>
      <c r="D396" t="inlineStr">
        <is>
          <t>JÖNKÖPINGS LÄN</t>
        </is>
      </c>
      <c r="E396" t="inlineStr">
        <is>
          <t>SÄVSJÖ</t>
        </is>
      </c>
      <c r="G396" t="n">
        <v>1.4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20576-2025</t>
        </is>
      </c>
      <c r="B397" s="1" t="n">
        <v>45775.67828703704</v>
      </c>
      <c r="C397" s="1" t="n">
        <v>45879</v>
      </c>
      <c r="D397" t="inlineStr">
        <is>
          <t>JÖNKÖPINGS LÄN</t>
        </is>
      </c>
      <c r="E397" t="inlineStr">
        <is>
          <t>SÄVSJÖ</t>
        </is>
      </c>
      <c r="G397" t="n">
        <v>0.5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58400-2024</t>
        </is>
      </c>
      <c r="B398" s="1" t="n">
        <v>45634.49747685185</v>
      </c>
      <c r="C398" s="1" t="n">
        <v>45879</v>
      </c>
      <c r="D398" t="inlineStr">
        <is>
          <t>JÖNKÖPINGS LÄN</t>
        </is>
      </c>
      <c r="E398" t="inlineStr">
        <is>
          <t>SÄVSJÖ</t>
        </is>
      </c>
      <c r="G398" t="n">
        <v>0.6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16033-2025</t>
        </is>
      </c>
      <c r="B399" s="1" t="n">
        <v>45748</v>
      </c>
      <c r="C399" s="1" t="n">
        <v>45879</v>
      </c>
      <c r="D399" t="inlineStr">
        <is>
          <t>JÖNKÖPINGS LÄN</t>
        </is>
      </c>
      <c r="E399" t="inlineStr">
        <is>
          <t>SÄVSJÖ</t>
        </is>
      </c>
      <c r="F399" t="inlineStr">
        <is>
          <t>Kyrkan</t>
        </is>
      </c>
      <c r="G399" t="n">
        <v>1.8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37601-2020</t>
        </is>
      </c>
      <c r="B400" s="1" t="n">
        <v>44056</v>
      </c>
      <c r="C400" s="1" t="n">
        <v>45879</v>
      </c>
      <c r="D400" t="inlineStr">
        <is>
          <t>JÖNKÖPINGS LÄN</t>
        </is>
      </c>
      <c r="E400" t="inlineStr">
        <is>
          <t>SÄVSJÖ</t>
        </is>
      </c>
      <c r="G400" t="n">
        <v>1.3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17127-2025</t>
        </is>
      </c>
      <c r="B401" s="1" t="n">
        <v>45755.71290509259</v>
      </c>
      <c r="C401" s="1" t="n">
        <v>45879</v>
      </c>
      <c r="D401" t="inlineStr">
        <is>
          <t>JÖNKÖPINGS LÄN</t>
        </is>
      </c>
      <c r="E401" t="inlineStr">
        <is>
          <t>SÄVSJÖ</t>
        </is>
      </c>
      <c r="G401" t="n">
        <v>1.1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15401-2025</t>
        </is>
      </c>
      <c r="B402" s="1" t="n">
        <v>45747.4444212963</v>
      </c>
      <c r="C402" s="1" t="n">
        <v>45879</v>
      </c>
      <c r="D402" t="inlineStr">
        <is>
          <t>JÖNKÖPINGS LÄN</t>
        </is>
      </c>
      <c r="E402" t="inlineStr">
        <is>
          <t>SÄVSJÖ</t>
        </is>
      </c>
      <c r="G402" t="n">
        <v>1.6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2868-2024</t>
        </is>
      </c>
      <c r="B403" s="1" t="n">
        <v>45315.45684027778</v>
      </c>
      <c r="C403" s="1" t="n">
        <v>45879</v>
      </c>
      <c r="D403" t="inlineStr">
        <is>
          <t>JÖNKÖPINGS LÄN</t>
        </is>
      </c>
      <c r="E403" t="inlineStr">
        <is>
          <t>SÄVSJÖ</t>
        </is>
      </c>
      <c r="G403" t="n">
        <v>2.9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42394-2022</t>
        </is>
      </c>
      <c r="B404" s="1" t="n">
        <v>44830</v>
      </c>
      <c r="C404" s="1" t="n">
        <v>45879</v>
      </c>
      <c r="D404" t="inlineStr">
        <is>
          <t>JÖNKÖPINGS LÄN</t>
        </is>
      </c>
      <c r="E404" t="inlineStr">
        <is>
          <t>SÄVSJÖ</t>
        </is>
      </c>
      <c r="G404" t="n">
        <v>1.8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1201-2024</t>
        </is>
      </c>
      <c r="B405" s="1" t="n">
        <v>45302.62021990741</v>
      </c>
      <c r="C405" s="1" t="n">
        <v>45879</v>
      </c>
      <c r="D405" t="inlineStr">
        <is>
          <t>JÖNKÖPINGS LÄN</t>
        </is>
      </c>
      <c r="E405" t="inlineStr">
        <is>
          <t>SÄVSJÖ</t>
        </is>
      </c>
      <c r="G405" t="n">
        <v>2.2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4813-2023</t>
        </is>
      </c>
      <c r="B406" s="1" t="n">
        <v>44957</v>
      </c>
      <c r="C406" s="1" t="n">
        <v>45879</v>
      </c>
      <c r="D406" t="inlineStr">
        <is>
          <t>JÖNKÖPINGS LÄN</t>
        </is>
      </c>
      <c r="E406" t="inlineStr">
        <is>
          <t>SÄVSJÖ</t>
        </is>
      </c>
      <c r="G406" t="n">
        <v>3.6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35599-2025</t>
        </is>
      </c>
      <c r="B407" s="1" t="n">
        <v>45858.81921296296</v>
      </c>
      <c r="C407" s="1" t="n">
        <v>45879</v>
      </c>
      <c r="D407" t="inlineStr">
        <is>
          <t>JÖNKÖPINGS LÄN</t>
        </is>
      </c>
      <c r="E407" t="inlineStr">
        <is>
          <t>SÄVSJÖ</t>
        </is>
      </c>
      <c r="G407" t="n">
        <v>0.9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39491-2021</t>
        </is>
      </c>
      <c r="B408" s="1" t="n">
        <v>44414</v>
      </c>
      <c r="C408" s="1" t="n">
        <v>45879</v>
      </c>
      <c r="D408" t="inlineStr">
        <is>
          <t>JÖNKÖPINGS LÄN</t>
        </is>
      </c>
      <c r="E408" t="inlineStr">
        <is>
          <t>SÄVSJÖ</t>
        </is>
      </c>
      <c r="G408" t="n">
        <v>0.5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42212-2021</t>
        </is>
      </c>
      <c r="B409" s="1" t="n">
        <v>44426.77716435185</v>
      </c>
      <c r="C409" s="1" t="n">
        <v>45879</v>
      </c>
      <c r="D409" t="inlineStr">
        <is>
          <t>JÖNKÖPINGS LÄN</t>
        </is>
      </c>
      <c r="E409" t="inlineStr">
        <is>
          <t>SÄVSJÖ</t>
        </is>
      </c>
      <c r="G409" t="n">
        <v>0.4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17076-2025</t>
        </is>
      </c>
      <c r="B410" s="1" t="n">
        <v>45755.62408564815</v>
      </c>
      <c r="C410" s="1" t="n">
        <v>45879</v>
      </c>
      <c r="D410" t="inlineStr">
        <is>
          <t>JÖNKÖPINGS LÄN</t>
        </is>
      </c>
      <c r="E410" t="inlineStr">
        <is>
          <t>SÄVSJÖ</t>
        </is>
      </c>
      <c r="G410" t="n">
        <v>5.8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10865-2023</t>
        </is>
      </c>
      <c r="B411" s="1" t="n">
        <v>44991.40253472222</v>
      </c>
      <c r="C411" s="1" t="n">
        <v>45879</v>
      </c>
      <c r="D411" t="inlineStr">
        <is>
          <t>JÖNKÖPINGS LÄN</t>
        </is>
      </c>
      <c r="E411" t="inlineStr">
        <is>
          <t>SÄVSJÖ</t>
        </is>
      </c>
      <c r="G411" t="n">
        <v>1.4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15845-2025</t>
        </is>
      </c>
      <c r="B412" s="1" t="n">
        <v>45748.8884375</v>
      </c>
      <c r="C412" s="1" t="n">
        <v>45879</v>
      </c>
      <c r="D412" t="inlineStr">
        <is>
          <t>JÖNKÖPINGS LÄN</t>
        </is>
      </c>
      <c r="E412" t="inlineStr">
        <is>
          <t>SÄVSJÖ</t>
        </is>
      </c>
      <c r="G412" t="n">
        <v>1.4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55039-2023</t>
        </is>
      </c>
      <c r="B413" s="1" t="n">
        <v>45237.35436342593</v>
      </c>
      <c r="C413" s="1" t="n">
        <v>45879</v>
      </c>
      <c r="D413" t="inlineStr">
        <is>
          <t>JÖNKÖPINGS LÄN</t>
        </is>
      </c>
      <c r="E413" t="inlineStr">
        <is>
          <t>SÄVSJÖ</t>
        </is>
      </c>
      <c r="G413" t="n">
        <v>2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907-2024</t>
        </is>
      </c>
      <c r="B414" s="1" t="n">
        <v>45301</v>
      </c>
      <c r="C414" s="1" t="n">
        <v>45879</v>
      </c>
      <c r="D414" t="inlineStr">
        <is>
          <t>JÖNKÖPINGS LÄN</t>
        </is>
      </c>
      <c r="E414" t="inlineStr">
        <is>
          <t>SÄVSJÖ</t>
        </is>
      </c>
      <c r="G414" t="n">
        <v>0.9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29386-2025</t>
        </is>
      </c>
      <c r="B415" s="1" t="n">
        <v>45824.601875</v>
      </c>
      <c r="C415" s="1" t="n">
        <v>45879</v>
      </c>
      <c r="D415" t="inlineStr">
        <is>
          <t>JÖNKÖPINGS LÄN</t>
        </is>
      </c>
      <c r="E415" t="inlineStr">
        <is>
          <t>SÄVSJÖ</t>
        </is>
      </c>
      <c r="G415" t="n">
        <v>1.6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40111-2022</t>
        </is>
      </c>
      <c r="B416" s="1" t="n">
        <v>44820.49834490741</v>
      </c>
      <c r="C416" s="1" t="n">
        <v>45879</v>
      </c>
      <c r="D416" t="inlineStr">
        <is>
          <t>JÖNKÖPINGS LÄN</t>
        </is>
      </c>
      <c r="E416" t="inlineStr">
        <is>
          <t>SÄVSJÖ</t>
        </is>
      </c>
      <c r="G416" t="n">
        <v>0.5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29716-2025</t>
        </is>
      </c>
      <c r="B417" s="1" t="n">
        <v>45825</v>
      </c>
      <c r="C417" s="1" t="n">
        <v>45879</v>
      </c>
      <c r="D417" t="inlineStr">
        <is>
          <t>JÖNKÖPINGS LÄN</t>
        </is>
      </c>
      <c r="E417" t="inlineStr">
        <is>
          <t>SÄVSJÖ</t>
        </is>
      </c>
      <c r="G417" t="n">
        <v>3.5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63490-2023</t>
        </is>
      </c>
      <c r="B418" s="1" t="n">
        <v>45274.66835648148</v>
      </c>
      <c r="C418" s="1" t="n">
        <v>45879</v>
      </c>
      <c r="D418" t="inlineStr">
        <is>
          <t>JÖNKÖPINGS LÄN</t>
        </is>
      </c>
      <c r="E418" t="inlineStr">
        <is>
          <t>SÄVSJÖ</t>
        </is>
      </c>
      <c r="G418" t="n">
        <v>1.9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21801-2023</t>
        </is>
      </c>
      <c r="B419" s="1" t="n">
        <v>45067.86534722222</v>
      </c>
      <c r="C419" s="1" t="n">
        <v>45879</v>
      </c>
      <c r="D419" t="inlineStr">
        <is>
          <t>JÖNKÖPINGS LÄN</t>
        </is>
      </c>
      <c r="E419" t="inlineStr">
        <is>
          <t>SÄVSJÖ</t>
        </is>
      </c>
      <c r="G419" t="n">
        <v>0.8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29499-2025</t>
        </is>
      </c>
      <c r="B420" s="1" t="n">
        <v>45824.99469907407</v>
      </c>
      <c r="C420" s="1" t="n">
        <v>45879</v>
      </c>
      <c r="D420" t="inlineStr">
        <is>
          <t>JÖNKÖPINGS LÄN</t>
        </is>
      </c>
      <c r="E420" t="inlineStr">
        <is>
          <t>SÄVSJÖ</t>
        </is>
      </c>
      <c r="G420" t="n">
        <v>3.4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61545-2021</t>
        </is>
      </c>
      <c r="B421" s="1" t="n">
        <v>44501.40741898148</v>
      </c>
      <c r="C421" s="1" t="n">
        <v>45879</v>
      </c>
      <c r="D421" t="inlineStr">
        <is>
          <t>JÖNKÖPINGS LÄN</t>
        </is>
      </c>
      <c r="E421" t="inlineStr">
        <is>
          <t>SÄVSJÖ</t>
        </is>
      </c>
      <c r="G421" t="n">
        <v>7.2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15842-2025</t>
        </is>
      </c>
      <c r="B422" s="1" t="n">
        <v>45748.87611111111</v>
      </c>
      <c r="C422" s="1" t="n">
        <v>45879</v>
      </c>
      <c r="D422" t="inlineStr">
        <is>
          <t>JÖNKÖPINGS LÄN</t>
        </is>
      </c>
      <c r="E422" t="inlineStr">
        <is>
          <t>SÄVSJÖ</t>
        </is>
      </c>
      <c r="G422" t="n">
        <v>0.5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15843-2025</t>
        </is>
      </c>
      <c r="B423" s="1" t="n">
        <v>45748.88149305555</v>
      </c>
      <c r="C423" s="1" t="n">
        <v>45879</v>
      </c>
      <c r="D423" t="inlineStr">
        <is>
          <t>JÖNKÖPINGS LÄN</t>
        </is>
      </c>
      <c r="E423" t="inlineStr">
        <is>
          <t>SÄVSJÖ</t>
        </is>
      </c>
      <c r="G423" t="n">
        <v>1.9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7780-2025</t>
        </is>
      </c>
      <c r="B424" s="1" t="n">
        <v>45706</v>
      </c>
      <c r="C424" s="1" t="n">
        <v>45879</v>
      </c>
      <c r="D424" t="inlineStr">
        <is>
          <t>JÖNKÖPINGS LÄN</t>
        </is>
      </c>
      <c r="E424" t="inlineStr">
        <is>
          <t>SÄVSJÖ</t>
        </is>
      </c>
      <c r="G424" t="n">
        <v>1.8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7656-2025</t>
        </is>
      </c>
      <c r="B425" s="1" t="n">
        <v>45706.31474537037</v>
      </c>
      <c r="C425" s="1" t="n">
        <v>45879</v>
      </c>
      <c r="D425" t="inlineStr">
        <is>
          <t>JÖNKÖPINGS LÄN</t>
        </is>
      </c>
      <c r="E425" t="inlineStr">
        <is>
          <t>SÄVSJÖ</t>
        </is>
      </c>
      <c r="G425" t="n">
        <v>3.5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29496-2025</t>
        </is>
      </c>
      <c r="B426" s="1" t="n">
        <v>45824.96583333334</v>
      </c>
      <c r="C426" s="1" t="n">
        <v>45879</v>
      </c>
      <c r="D426" t="inlineStr">
        <is>
          <t>JÖNKÖPINGS LÄN</t>
        </is>
      </c>
      <c r="E426" t="inlineStr">
        <is>
          <t>SÄVSJÖ</t>
        </is>
      </c>
      <c r="G426" t="n">
        <v>2.7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29497-2025</t>
        </is>
      </c>
      <c r="B427" s="1" t="n">
        <v>45824.96704861111</v>
      </c>
      <c r="C427" s="1" t="n">
        <v>45879</v>
      </c>
      <c r="D427" t="inlineStr">
        <is>
          <t>JÖNKÖPINGS LÄN</t>
        </is>
      </c>
      <c r="E427" t="inlineStr">
        <is>
          <t>SÄVSJÖ</t>
        </is>
      </c>
      <c r="G427" t="n">
        <v>1.5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5875-2025</t>
        </is>
      </c>
      <c r="B428" s="1" t="n">
        <v>45695.36819444445</v>
      </c>
      <c r="C428" s="1" t="n">
        <v>45879</v>
      </c>
      <c r="D428" t="inlineStr">
        <is>
          <t>JÖNKÖPINGS LÄN</t>
        </is>
      </c>
      <c r="E428" t="inlineStr">
        <is>
          <t>SÄVSJÖ</t>
        </is>
      </c>
      <c r="G428" t="n">
        <v>0.8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35843-2024</t>
        </is>
      </c>
      <c r="B429" s="1" t="n">
        <v>45532.75570601852</v>
      </c>
      <c r="C429" s="1" t="n">
        <v>45879</v>
      </c>
      <c r="D429" t="inlineStr">
        <is>
          <t>JÖNKÖPINGS LÄN</t>
        </is>
      </c>
      <c r="E429" t="inlineStr">
        <is>
          <t>SÄVSJÖ</t>
        </is>
      </c>
      <c r="G429" t="n">
        <v>1.2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910-2024</t>
        </is>
      </c>
      <c r="B430" s="1" t="n">
        <v>45301</v>
      </c>
      <c r="C430" s="1" t="n">
        <v>45879</v>
      </c>
      <c r="D430" t="inlineStr">
        <is>
          <t>JÖNKÖPINGS LÄN</t>
        </is>
      </c>
      <c r="E430" t="inlineStr">
        <is>
          <t>SÄVSJÖ</t>
        </is>
      </c>
      <c r="G430" t="n">
        <v>2.5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31021-2025</t>
        </is>
      </c>
      <c r="B431" s="1" t="n">
        <v>45832.51432870371</v>
      </c>
      <c r="C431" s="1" t="n">
        <v>45879</v>
      </c>
      <c r="D431" t="inlineStr">
        <is>
          <t>JÖNKÖPINGS LÄN</t>
        </is>
      </c>
      <c r="E431" t="inlineStr">
        <is>
          <t>SÄVSJÖ</t>
        </is>
      </c>
      <c r="G431" t="n">
        <v>2.8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30625-2025</t>
        </is>
      </c>
      <c r="B432" s="1" t="n">
        <v>45831.47387731481</v>
      </c>
      <c r="C432" s="1" t="n">
        <v>45879</v>
      </c>
      <c r="D432" t="inlineStr">
        <is>
          <t>JÖNKÖPINGS LÄN</t>
        </is>
      </c>
      <c r="E432" t="inlineStr">
        <is>
          <t>SÄVSJÖ</t>
        </is>
      </c>
      <c r="G432" t="n">
        <v>2.3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63679-2023</t>
        </is>
      </c>
      <c r="B433" s="1" t="n">
        <v>45275.64987268519</v>
      </c>
      <c r="C433" s="1" t="n">
        <v>45879</v>
      </c>
      <c r="D433" t="inlineStr">
        <is>
          <t>JÖNKÖPINGS LÄN</t>
        </is>
      </c>
      <c r="E433" t="inlineStr">
        <is>
          <t>SÄVSJÖ</t>
        </is>
      </c>
      <c r="G433" t="n">
        <v>0.7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31023-2025</t>
        </is>
      </c>
      <c r="B434" s="1" t="n">
        <v>45832.5195949074</v>
      </c>
      <c r="C434" s="1" t="n">
        <v>45879</v>
      </c>
      <c r="D434" t="inlineStr">
        <is>
          <t>JÖNKÖPINGS LÄN</t>
        </is>
      </c>
      <c r="E434" t="inlineStr">
        <is>
          <t>SÄVSJÖ</t>
        </is>
      </c>
      <c r="G434" t="n">
        <v>0.6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3599-2024</t>
        </is>
      </c>
      <c r="B435" s="1" t="n">
        <v>45320.77902777777</v>
      </c>
      <c r="C435" s="1" t="n">
        <v>45879</v>
      </c>
      <c r="D435" t="inlineStr">
        <is>
          <t>JÖNKÖPINGS LÄN</t>
        </is>
      </c>
      <c r="E435" t="inlineStr">
        <is>
          <t>SÄVSJÖ</t>
        </is>
      </c>
      <c r="G435" t="n">
        <v>0.5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59054-2023</t>
        </is>
      </c>
      <c r="B436" s="1" t="n">
        <v>45252</v>
      </c>
      <c r="C436" s="1" t="n">
        <v>45879</v>
      </c>
      <c r="D436" t="inlineStr">
        <is>
          <t>JÖNKÖPINGS LÄN</t>
        </is>
      </c>
      <c r="E436" t="inlineStr">
        <is>
          <t>SÄVSJÖ</t>
        </is>
      </c>
      <c r="G436" t="n">
        <v>5.9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31755-2025</t>
        </is>
      </c>
      <c r="B437" s="1" t="n">
        <v>45834.48693287037</v>
      </c>
      <c r="C437" s="1" t="n">
        <v>45879</v>
      </c>
      <c r="D437" t="inlineStr">
        <is>
          <t>JÖNKÖPINGS LÄN</t>
        </is>
      </c>
      <c r="E437" t="inlineStr">
        <is>
          <t>SÄVSJÖ</t>
        </is>
      </c>
      <c r="G437" t="n">
        <v>0.9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31491-2025</t>
        </is>
      </c>
      <c r="B438" s="1" t="n">
        <v>45833.58010416666</v>
      </c>
      <c r="C438" s="1" t="n">
        <v>45879</v>
      </c>
      <c r="D438" t="inlineStr">
        <is>
          <t>JÖNKÖPINGS LÄN</t>
        </is>
      </c>
      <c r="E438" t="inlineStr">
        <is>
          <t>SÄVSJÖ</t>
        </is>
      </c>
      <c r="G438" t="n">
        <v>1.6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31505-2025</t>
        </is>
      </c>
      <c r="B439" s="1" t="n">
        <v>45833.59445601852</v>
      </c>
      <c r="C439" s="1" t="n">
        <v>45879</v>
      </c>
      <c r="D439" t="inlineStr">
        <is>
          <t>JÖNKÖPINGS LÄN</t>
        </is>
      </c>
      <c r="E439" t="inlineStr">
        <is>
          <t>SÄVSJÖ</t>
        </is>
      </c>
      <c r="G439" t="n">
        <v>3.3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31752-2025</t>
        </is>
      </c>
      <c r="B440" s="1" t="n">
        <v>45834.48545138889</v>
      </c>
      <c r="C440" s="1" t="n">
        <v>45879</v>
      </c>
      <c r="D440" t="inlineStr">
        <is>
          <t>JÖNKÖPINGS LÄN</t>
        </is>
      </c>
      <c r="E440" t="inlineStr">
        <is>
          <t>SÄVSJÖ</t>
        </is>
      </c>
      <c r="G440" t="n">
        <v>0.9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38914-2024</t>
        </is>
      </c>
      <c r="B441" s="1" t="n">
        <v>45547</v>
      </c>
      <c r="C441" s="1" t="n">
        <v>45879</v>
      </c>
      <c r="D441" t="inlineStr">
        <is>
          <t>JÖNKÖPINGS LÄN</t>
        </is>
      </c>
      <c r="E441" t="inlineStr">
        <is>
          <t>SÄVSJÖ</t>
        </is>
      </c>
      <c r="G441" t="n">
        <v>1.8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31492-2025</t>
        </is>
      </c>
      <c r="B442" s="1" t="n">
        <v>45833.58096064815</v>
      </c>
      <c r="C442" s="1" t="n">
        <v>45879</v>
      </c>
      <c r="D442" t="inlineStr">
        <is>
          <t>JÖNKÖPINGS LÄN</t>
        </is>
      </c>
      <c r="E442" t="inlineStr">
        <is>
          <t>SÄVSJÖ</t>
        </is>
      </c>
      <c r="G442" t="n">
        <v>0.5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31764-2025</t>
        </is>
      </c>
      <c r="B443" s="1" t="n">
        <v>45834.49375</v>
      </c>
      <c r="C443" s="1" t="n">
        <v>45879</v>
      </c>
      <c r="D443" t="inlineStr">
        <is>
          <t>JÖNKÖPINGS LÄN</t>
        </is>
      </c>
      <c r="E443" t="inlineStr">
        <is>
          <t>SÄVSJÖ</t>
        </is>
      </c>
      <c r="G443" t="n">
        <v>4.4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43976-2022</t>
        </is>
      </c>
      <c r="B444" s="1" t="n">
        <v>44838</v>
      </c>
      <c r="C444" s="1" t="n">
        <v>45879</v>
      </c>
      <c r="D444" t="inlineStr">
        <is>
          <t>JÖNKÖPINGS LÄN</t>
        </is>
      </c>
      <c r="E444" t="inlineStr">
        <is>
          <t>SÄVSJÖ</t>
        </is>
      </c>
      <c r="G444" t="n">
        <v>1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31490-2025</t>
        </is>
      </c>
      <c r="B445" s="1" t="n">
        <v>45833.57915509259</v>
      </c>
      <c r="C445" s="1" t="n">
        <v>45879</v>
      </c>
      <c r="D445" t="inlineStr">
        <is>
          <t>JÖNKÖPINGS LÄN</t>
        </is>
      </c>
      <c r="E445" t="inlineStr">
        <is>
          <t>SÄVSJÖ</t>
        </is>
      </c>
      <c r="G445" t="n">
        <v>0.6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55909-2024</t>
        </is>
      </c>
      <c r="B446" s="1" t="n">
        <v>45623.58572916667</v>
      </c>
      <c r="C446" s="1" t="n">
        <v>45879</v>
      </c>
      <c r="D446" t="inlineStr">
        <is>
          <t>JÖNKÖPINGS LÄN</t>
        </is>
      </c>
      <c r="E446" t="inlineStr">
        <is>
          <t>SÄVSJÖ</t>
        </is>
      </c>
      <c r="F446" t="inlineStr">
        <is>
          <t>Kommuner</t>
        </is>
      </c>
      <c r="G446" t="n">
        <v>0.2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2172-2025</t>
        </is>
      </c>
      <c r="B447" s="1" t="n">
        <v>45673.32414351852</v>
      </c>
      <c r="C447" s="1" t="n">
        <v>45879</v>
      </c>
      <c r="D447" t="inlineStr">
        <is>
          <t>JÖNKÖPINGS LÄN</t>
        </is>
      </c>
      <c r="E447" t="inlineStr">
        <is>
          <t>SÄVSJÖ</t>
        </is>
      </c>
      <c r="G447" t="n">
        <v>0.5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36393-2024</t>
        </is>
      </c>
      <c r="B448" s="1" t="n">
        <v>45534.76524305555</v>
      </c>
      <c r="C448" s="1" t="n">
        <v>45879</v>
      </c>
      <c r="D448" t="inlineStr">
        <is>
          <t>JÖNKÖPINGS LÄN</t>
        </is>
      </c>
      <c r="E448" t="inlineStr">
        <is>
          <t>SÄVSJÖ</t>
        </is>
      </c>
      <c r="G448" t="n">
        <v>1.3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4911-2024</t>
        </is>
      </c>
      <c r="B449" s="1" t="n">
        <v>45329</v>
      </c>
      <c r="C449" s="1" t="n">
        <v>45879</v>
      </c>
      <c r="D449" t="inlineStr">
        <is>
          <t>JÖNKÖPINGS LÄN</t>
        </is>
      </c>
      <c r="E449" t="inlineStr">
        <is>
          <t>SÄVSJÖ</t>
        </is>
      </c>
      <c r="G449" t="n">
        <v>1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48582-2020</t>
        </is>
      </c>
      <c r="B450" s="1" t="n">
        <v>44103</v>
      </c>
      <c r="C450" s="1" t="n">
        <v>45879</v>
      </c>
      <c r="D450" t="inlineStr">
        <is>
          <t>JÖNKÖPINGS LÄN</t>
        </is>
      </c>
      <c r="E450" t="inlineStr">
        <is>
          <t>SÄVSJÖ</t>
        </is>
      </c>
      <c r="G450" t="n">
        <v>2.7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65598-2020</t>
        </is>
      </c>
      <c r="B451" s="1" t="n">
        <v>44173</v>
      </c>
      <c r="C451" s="1" t="n">
        <v>45879</v>
      </c>
      <c r="D451" t="inlineStr">
        <is>
          <t>JÖNKÖPINGS LÄN</t>
        </is>
      </c>
      <c r="E451" t="inlineStr">
        <is>
          <t>SÄVSJÖ</t>
        </is>
      </c>
      <c r="G451" t="n">
        <v>1.5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61198-2020</t>
        </is>
      </c>
      <c r="B452" s="1" t="n">
        <v>44155.39440972222</v>
      </c>
      <c r="C452" s="1" t="n">
        <v>45879</v>
      </c>
      <c r="D452" t="inlineStr">
        <is>
          <t>JÖNKÖPINGS LÄN</t>
        </is>
      </c>
      <c r="E452" t="inlineStr">
        <is>
          <t>SÄVSJÖ</t>
        </is>
      </c>
      <c r="G452" t="n">
        <v>1.3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16855-2025</t>
        </is>
      </c>
      <c r="B453" s="1" t="n">
        <v>45754.76953703703</v>
      </c>
      <c r="C453" s="1" t="n">
        <v>45879</v>
      </c>
      <c r="D453" t="inlineStr">
        <is>
          <t>JÖNKÖPINGS LÄN</t>
        </is>
      </c>
      <c r="E453" t="inlineStr">
        <is>
          <t>SÄVSJÖ</t>
        </is>
      </c>
      <c r="G453" t="n">
        <v>3.9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14045-2023</t>
        </is>
      </c>
      <c r="B454" s="1" t="n">
        <v>45008.6652662037</v>
      </c>
      <c r="C454" s="1" t="n">
        <v>45879</v>
      </c>
      <c r="D454" t="inlineStr">
        <is>
          <t>JÖNKÖPINGS LÄN</t>
        </is>
      </c>
      <c r="E454" t="inlineStr">
        <is>
          <t>SÄVSJÖ</t>
        </is>
      </c>
      <c r="F454" t="inlineStr">
        <is>
          <t>Kommuner</t>
        </is>
      </c>
      <c r="G454" t="n">
        <v>1.7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4030-2023</t>
        </is>
      </c>
      <c r="B455" s="1" t="n">
        <v>44952</v>
      </c>
      <c r="C455" s="1" t="n">
        <v>45879</v>
      </c>
      <c r="D455" t="inlineStr">
        <is>
          <t>JÖNKÖPINGS LÄN</t>
        </is>
      </c>
      <c r="E455" t="inlineStr">
        <is>
          <t>SÄVSJÖ</t>
        </is>
      </c>
      <c r="G455" t="n">
        <v>1.9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33237-2023</t>
        </is>
      </c>
      <c r="B456" s="1" t="n">
        <v>45127.49854166667</v>
      </c>
      <c r="C456" s="1" t="n">
        <v>45879</v>
      </c>
      <c r="D456" t="inlineStr">
        <is>
          <t>JÖNKÖPINGS LÄN</t>
        </is>
      </c>
      <c r="E456" t="inlineStr">
        <is>
          <t>SÄVSJÖ</t>
        </is>
      </c>
      <c r="G456" t="n">
        <v>3.9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996-2023</t>
        </is>
      </c>
      <c r="B457" s="1" t="n">
        <v>44935.41263888889</v>
      </c>
      <c r="C457" s="1" t="n">
        <v>45879</v>
      </c>
      <c r="D457" t="inlineStr">
        <is>
          <t>JÖNKÖPINGS LÄN</t>
        </is>
      </c>
      <c r="E457" t="inlineStr">
        <is>
          <t>SÄVSJÖ</t>
        </is>
      </c>
      <c r="F457" t="inlineStr">
        <is>
          <t>Sveaskog</t>
        </is>
      </c>
      <c r="G457" t="n">
        <v>2.9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68431-2020</t>
        </is>
      </c>
      <c r="B458" s="1" t="n">
        <v>44186</v>
      </c>
      <c r="C458" s="1" t="n">
        <v>45879</v>
      </c>
      <c r="D458" t="inlineStr">
        <is>
          <t>JÖNKÖPINGS LÄN</t>
        </is>
      </c>
      <c r="E458" t="inlineStr">
        <is>
          <t>SÄVSJÖ</t>
        </is>
      </c>
      <c r="G458" t="n">
        <v>0.7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297-2023</t>
        </is>
      </c>
      <c r="B459" s="1" t="n">
        <v>44929.3241550926</v>
      </c>
      <c r="C459" s="1" t="n">
        <v>45879</v>
      </c>
      <c r="D459" t="inlineStr">
        <is>
          <t>JÖNKÖPINGS LÄN</t>
        </is>
      </c>
      <c r="E459" t="inlineStr">
        <is>
          <t>SÄVSJÖ</t>
        </is>
      </c>
      <c r="G459" t="n">
        <v>0.5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60915-2023</t>
        </is>
      </c>
      <c r="B460" s="1" t="n">
        <v>45261.3987037037</v>
      </c>
      <c r="C460" s="1" t="n">
        <v>45879</v>
      </c>
      <c r="D460" t="inlineStr">
        <is>
          <t>JÖNKÖPINGS LÄN</t>
        </is>
      </c>
      <c r="E460" t="inlineStr">
        <is>
          <t>SÄVSJÖ</t>
        </is>
      </c>
      <c r="G460" t="n">
        <v>0.6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20015-2025</t>
        </is>
      </c>
      <c r="B461" s="1" t="n">
        <v>45772.31423611111</v>
      </c>
      <c r="C461" s="1" t="n">
        <v>45879</v>
      </c>
      <c r="D461" t="inlineStr">
        <is>
          <t>JÖNKÖPINGS LÄN</t>
        </is>
      </c>
      <c r="E461" t="inlineStr">
        <is>
          <t>SÄVSJÖ</t>
        </is>
      </c>
      <c r="G461" t="n">
        <v>1.7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24714-2024</t>
        </is>
      </c>
      <c r="B462" s="1" t="n">
        <v>45460.62373842593</v>
      </c>
      <c r="C462" s="1" t="n">
        <v>45879</v>
      </c>
      <c r="D462" t="inlineStr">
        <is>
          <t>JÖNKÖPINGS LÄN</t>
        </is>
      </c>
      <c r="E462" t="inlineStr">
        <is>
          <t>SÄVSJÖ</t>
        </is>
      </c>
      <c r="G462" t="n">
        <v>0.6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43332-2024</t>
        </is>
      </c>
      <c r="B463" s="1" t="n">
        <v>45568.48600694445</v>
      </c>
      <c r="C463" s="1" t="n">
        <v>45879</v>
      </c>
      <c r="D463" t="inlineStr">
        <is>
          <t>JÖNKÖPINGS LÄN</t>
        </is>
      </c>
      <c r="E463" t="inlineStr">
        <is>
          <t>SÄVSJÖ</t>
        </is>
      </c>
      <c r="G463" t="n">
        <v>1.6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50901-2020</t>
        </is>
      </c>
      <c r="B464" s="1" t="n">
        <v>44111</v>
      </c>
      <c r="C464" s="1" t="n">
        <v>45879</v>
      </c>
      <c r="D464" t="inlineStr">
        <is>
          <t>JÖNKÖPINGS LÄN</t>
        </is>
      </c>
      <c r="E464" t="inlineStr">
        <is>
          <t>SÄVSJÖ</t>
        </is>
      </c>
      <c r="F464" t="inlineStr">
        <is>
          <t>Kyrkan</t>
        </is>
      </c>
      <c r="G464" t="n">
        <v>1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56617-2022</t>
        </is>
      </c>
      <c r="B465" s="1" t="n">
        <v>44893.59326388889</v>
      </c>
      <c r="C465" s="1" t="n">
        <v>45879</v>
      </c>
      <c r="D465" t="inlineStr">
        <is>
          <t>JÖNKÖPINGS LÄN</t>
        </is>
      </c>
      <c r="E465" t="inlineStr">
        <is>
          <t>SÄVSJÖ</t>
        </is>
      </c>
      <c r="G465" t="n">
        <v>1.6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62204-2020</t>
        </is>
      </c>
      <c r="B466" s="1" t="n">
        <v>44159</v>
      </c>
      <c r="C466" s="1" t="n">
        <v>45879</v>
      </c>
      <c r="D466" t="inlineStr">
        <is>
          <t>JÖNKÖPINGS LÄN</t>
        </is>
      </c>
      <c r="E466" t="inlineStr">
        <is>
          <t>SÄVSJÖ</t>
        </is>
      </c>
      <c r="G466" t="n">
        <v>2.1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51938-2024</t>
        </is>
      </c>
      <c r="B467" s="1" t="n">
        <v>45607</v>
      </c>
      <c r="C467" s="1" t="n">
        <v>45879</v>
      </c>
      <c r="D467" t="inlineStr">
        <is>
          <t>JÖNKÖPINGS LÄN</t>
        </is>
      </c>
      <c r="E467" t="inlineStr">
        <is>
          <t>SÄVSJÖ</t>
        </is>
      </c>
      <c r="G467" t="n">
        <v>5.4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62421-2023</t>
        </is>
      </c>
      <c r="B468" s="1" t="n">
        <v>45268</v>
      </c>
      <c r="C468" s="1" t="n">
        <v>45879</v>
      </c>
      <c r="D468" t="inlineStr">
        <is>
          <t>JÖNKÖPINGS LÄN</t>
        </is>
      </c>
      <c r="E468" t="inlineStr">
        <is>
          <t>SÄVSJÖ</t>
        </is>
      </c>
      <c r="G468" t="n">
        <v>2.1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53916-2021</t>
        </is>
      </c>
      <c r="B469" s="1" t="n">
        <v>44469</v>
      </c>
      <c r="C469" s="1" t="n">
        <v>45879</v>
      </c>
      <c r="D469" t="inlineStr">
        <is>
          <t>JÖNKÖPINGS LÄN</t>
        </is>
      </c>
      <c r="E469" t="inlineStr">
        <is>
          <t>SÄVSJÖ</t>
        </is>
      </c>
      <c r="G469" t="n">
        <v>2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49292-2023</t>
        </is>
      </c>
      <c r="B470" s="1" t="n">
        <v>45210.78241898148</v>
      </c>
      <c r="C470" s="1" t="n">
        <v>45879</v>
      </c>
      <c r="D470" t="inlineStr">
        <is>
          <t>JÖNKÖPINGS LÄN</t>
        </is>
      </c>
      <c r="E470" t="inlineStr">
        <is>
          <t>SÄVSJÖ</t>
        </is>
      </c>
      <c r="G470" t="n">
        <v>0.9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62178-2023</t>
        </is>
      </c>
      <c r="B471" s="1" t="n">
        <v>45267.43935185186</v>
      </c>
      <c r="C471" s="1" t="n">
        <v>45879</v>
      </c>
      <c r="D471" t="inlineStr">
        <is>
          <t>JÖNKÖPINGS LÄN</t>
        </is>
      </c>
      <c r="E471" t="inlineStr">
        <is>
          <t>SÄVSJÖ</t>
        </is>
      </c>
      <c r="G471" t="n">
        <v>1.8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17883-2024</t>
        </is>
      </c>
      <c r="B472" s="1" t="n">
        <v>45419.46804398148</v>
      </c>
      <c r="C472" s="1" t="n">
        <v>45879</v>
      </c>
      <c r="D472" t="inlineStr">
        <is>
          <t>JÖNKÖPINGS LÄN</t>
        </is>
      </c>
      <c r="E472" t="inlineStr">
        <is>
          <t>SÄVSJÖ</t>
        </is>
      </c>
      <c r="G472" t="n">
        <v>1.4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22224-2024</t>
        </is>
      </c>
      <c r="B473" s="1" t="n">
        <v>45446.41450231482</v>
      </c>
      <c r="C473" s="1" t="n">
        <v>45879</v>
      </c>
      <c r="D473" t="inlineStr">
        <is>
          <t>JÖNKÖPINGS LÄN</t>
        </is>
      </c>
      <c r="E473" t="inlineStr">
        <is>
          <t>SÄVSJÖ</t>
        </is>
      </c>
      <c r="G473" t="n">
        <v>6.3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11931-2023</t>
        </is>
      </c>
      <c r="B474" s="1" t="n">
        <v>44995.49431712963</v>
      </c>
      <c r="C474" s="1" t="n">
        <v>45879</v>
      </c>
      <c r="D474" t="inlineStr">
        <is>
          <t>JÖNKÖPINGS LÄN</t>
        </is>
      </c>
      <c r="E474" t="inlineStr">
        <is>
          <t>SÄVSJÖ</t>
        </is>
      </c>
      <c r="G474" t="n">
        <v>2.7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>
      <c r="A475" t="inlineStr">
        <is>
          <t>A 57851-2023</t>
        </is>
      </c>
      <c r="B475" s="1" t="n">
        <v>45247.42733796296</v>
      </c>
      <c r="C475" s="1" t="n">
        <v>45879</v>
      </c>
      <c r="D475" t="inlineStr">
        <is>
          <t>JÖNKÖPINGS LÄN</t>
        </is>
      </c>
      <c r="E475" t="inlineStr">
        <is>
          <t>SÄVSJÖ</t>
        </is>
      </c>
      <c r="G475" t="n">
        <v>2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2025-08-10T08:25:06Z</dcterms:created>
  <dcterms:modified xmlns:dcterms="http://purl.org/dc/terms/" xmlns:xsi="http://www.w3.org/2001/XMLSchema-instance" xsi:type="dcterms:W3CDTF">2025-08-10T08:25:07Z</dcterms:modified>
</cp:coreProperties>
</file>