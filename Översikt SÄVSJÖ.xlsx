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46194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46194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46194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46272-2022</t>
        </is>
      </c>
      <c r="B5" s="1" t="n">
        <v>44847</v>
      </c>
      <c r="C5" s="1" t="n">
        <v>46194</v>
      </c>
      <c r="D5" t="inlineStr">
        <is>
          <t>JÖNKÖPINGS LÄN</t>
        </is>
      </c>
      <c r="E5" t="inlineStr">
        <is>
          <t>SÄVSJÖ</t>
        </is>
      </c>
      <c r="G5" t="n">
        <v>6</v>
      </c>
      <c r="H5" t="n">
        <v>2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Mosippa
Slåttergubbe
Ladusvala</t>
        </is>
      </c>
      <c r="S5">
        <f>HYPERLINK("https://klasma.github.io/Logging_0684/artfynd/A 46272-2022 artfynd.xlsx", "A 46272-2022")</f>
        <v/>
      </c>
      <c r="T5">
        <f>HYPERLINK("https://klasma.github.io/Logging_0684/kartor/A 46272-2022 karta.png", "A 46272-2022")</f>
        <v/>
      </c>
      <c r="V5">
        <f>HYPERLINK("https://klasma.github.io/Logging_0684/klagomål/A 46272-2022 FSC-klagomål.docx", "A 46272-2022")</f>
        <v/>
      </c>
      <c r="W5">
        <f>HYPERLINK("https://klasma.github.io/Logging_0684/klagomålsmail/A 46272-2022 FSC-klagomål mail.docx", "A 46272-2022")</f>
        <v/>
      </c>
      <c r="X5">
        <f>HYPERLINK("https://klasma.github.io/Logging_0684/tillsyn/A 46272-2022 tillsynsbegäran.docx", "A 46272-2022")</f>
        <v/>
      </c>
      <c r="Y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46194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46194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46194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46194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35136-2024</t>
        </is>
      </c>
      <c r="B10" s="1" t="n">
        <v>45530</v>
      </c>
      <c r="C10" s="1" t="n">
        <v>46194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39632-2025</t>
        </is>
      </c>
      <c r="B11" s="1" t="n">
        <v>45890</v>
      </c>
      <c r="C11" s="1" t="n">
        <v>46194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HYPERLINK("https://klasma.github.io/Logging_0684/artfynd/A 39632-2025 artfynd.xlsx", "A 39632-2025")</f>
        <v/>
      </c>
      <c r="T11">
        <f>HYPERLINK("https://klasma.github.io/Logging_0684/kartor/A 39632-2025 karta.png", "A 39632-2025")</f>
        <v/>
      </c>
      <c r="V11">
        <f>HYPERLINK("https://klasma.github.io/Logging_0684/klagomål/A 39632-2025 FSC-klagomål.docx", "A 39632-2025")</f>
        <v/>
      </c>
      <c r="W11">
        <f>HYPERLINK("https://klasma.github.io/Logging_0684/klagomålsmail/A 39632-2025 FSC-klagomål mail.docx", "A 39632-2025")</f>
        <v/>
      </c>
      <c r="X11">
        <f>HYPERLINK("https://klasma.github.io/Logging_0684/tillsyn/A 39632-2025 tillsynsbegäran.docx", "A 39632-2025")</f>
        <v/>
      </c>
      <c r="Y11">
        <f>HYPERLINK("https://klasma.github.io/Logging_0684/tillsynsmail/A 39632-2025 tillsynsbegäran mail.docx", "A 39632-2025")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46194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46194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46194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46194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57846-2025</t>
        </is>
      </c>
      <c r="B16" s="1" t="n">
        <v>45981</v>
      </c>
      <c r="C16" s="1" t="n">
        <v>46194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57846-2025 artfynd.xlsx", "A 57846-2025")</f>
        <v/>
      </c>
      <c r="T16">
        <f>HYPERLINK("https://klasma.github.io/Logging_0684/kartor/A 57846-2025 karta.png", "A 57846-2025")</f>
        <v/>
      </c>
      <c r="V16">
        <f>HYPERLINK("https://klasma.github.io/Logging_0684/klagomål/A 57846-2025 FSC-klagomål.docx", "A 57846-2025")</f>
        <v/>
      </c>
      <c r="W16">
        <f>HYPERLINK("https://klasma.github.io/Logging_0684/klagomålsmail/A 57846-2025 FSC-klagomål mail.docx", "A 57846-2025")</f>
        <v/>
      </c>
      <c r="X16">
        <f>HYPERLINK("https://klasma.github.io/Logging_0684/tillsyn/A 57846-2025 tillsynsbegäran.docx", "A 57846-2025")</f>
        <v/>
      </c>
      <c r="Y16">
        <f>HYPERLINK("https://klasma.github.io/Logging_0684/tillsynsmail/A 57846-2025 tillsynsbegäran mail.docx", "A 57846-2025")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46194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11797-2026</t>
        </is>
      </c>
      <c r="B18" s="1" t="n">
        <v>46085</v>
      </c>
      <c r="C18" s="1" t="n">
        <v>46194</v>
      </c>
      <c r="D18" t="inlineStr">
        <is>
          <t>JÖNKÖPINGS LÄN</t>
        </is>
      </c>
      <c r="E18" t="inlineStr">
        <is>
          <t>SÄVSJÖ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11797-2026 artfynd.xlsx", "A 11797-2026")</f>
        <v/>
      </c>
      <c r="T18">
        <f>HYPERLINK("https://klasma.github.io/Logging_0684/kartor/A 11797-2026 karta.png", "A 11797-2026")</f>
        <v/>
      </c>
      <c r="V18">
        <f>HYPERLINK("https://klasma.github.io/Logging_0684/klagomål/A 11797-2026 FSC-klagomål.docx", "A 11797-2026")</f>
        <v/>
      </c>
      <c r="W18">
        <f>HYPERLINK("https://klasma.github.io/Logging_0684/klagomålsmail/A 11797-2026 FSC-klagomål mail.docx", "A 11797-2026")</f>
        <v/>
      </c>
      <c r="X18">
        <f>HYPERLINK("https://klasma.github.io/Logging_0684/tillsyn/A 11797-2026 tillsynsbegäran.docx", "A 11797-2026")</f>
        <v/>
      </c>
      <c r="Y18">
        <f>HYPERLINK("https://klasma.github.io/Logging_0684/tillsynsmail/A 11797-2026 tillsynsbegäran mail.docx", "A 11797-2026")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46194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46194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34214-2025</t>
        </is>
      </c>
      <c r="B21" s="1" t="n">
        <v>45845</v>
      </c>
      <c r="C21" s="1" t="n">
        <v>46194</v>
      </c>
      <c r="D21" t="inlineStr">
        <is>
          <t>JÖNKÖPINGS LÄN</t>
        </is>
      </c>
      <c r="E21" t="inlineStr">
        <is>
          <t>SÄVSJÖ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Lungrot</t>
        </is>
      </c>
      <c r="S21">
        <f>HYPERLINK("https://klasma.github.io/Logging_0684/artfynd/A 34214-2025 artfynd.xlsx", "A 34214-2025")</f>
        <v/>
      </c>
      <c r="T21">
        <f>HYPERLINK("https://klasma.github.io/Logging_0684/kartor/A 34214-2025 karta.png", "A 34214-2025")</f>
        <v/>
      </c>
      <c r="V21">
        <f>HYPERLINK("https://klasma.github.io/Logging_0684/klagomål/A 34214-2025 FSC-klagomål.docx", "A 34214-2025")</f>
        <v/>
      </c>
      <c r="W21">
        <f>HYPERLINK("https://klasma.github.io/Logging_0684/klagomålsmail/A 34214-2025 FSC-klagomål mail.docx", "A 34214-2025")</f>
        <v/>
      </c>
      <c r="X21">
        <f>HYPERLINK("https://klasma.github.io/Logging_0684/tillsyn/A 34214-2025 tillsynsbegäran.docx", "A 34214-2025")</f>
        <v/>
      </c>
      <c r="Y21">
        <f>HYPERLINK("https://klasma.github.io/Logging_0684/tillsynsmail/A 34214-2025 tillsynsbegäran mail.docx", "A 34214-2025")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46194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46194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</v>
      </c>
      <c r="C24" s="1" t="n">
        <v>46194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</v>
      </c>
      <c r="C25" s="1" t="n">
        <v>46194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</v>
      </c>
      <c r="C26" s="1" t="n">
        <v>46194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</v>
      </c>
      <c r="C27" s="1" t="n">
        <v>46194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31901-2021</t>
        </is>
      </c>
      <c r="B28" s="1" t="n">
        <v>44370</v>
      </c>
      <c r="C28" s="1" t="n">
        <v>46194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</v>
      </c>
      <c r="C29" s="1" t="n">
        <v>46194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</v>
      </c>
      <c r="C30" s="1" t="n">
        <v>46194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46194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46194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46194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46194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46194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46194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49662-2022</t>
        </is>
      </c>
      <c r="B38" s="1" t="n">
        <v>44862</v>
      </c>
      <c r="C38" s="1" t="n">
        <v>46194</v>
      </c>
      <c r="D38" t="inlineStr">
        <is>
          <t>JÖNKÖPINGS LÄN</t>
        </is>
      </c>
      <c r="E38" t="inlineStr">
        <is>
          <t>SÄVSJÖ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55136-2022</t>
        </is>
      </c>
      <c r="B39" s="1" t="n">
        <v>44886</v>
      </c>
      <c r="C39" s="1" t="n">
        <v>46194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49653-2022</t>
        </is>
      </c>
      <c r="B40" s="1" t="n">
        <v>44862</v>
      </c>
      <c r="C40" s="1" t="n">
        <v>46194</v>
      </c>
      <c r="D40" t="inlineStr">
        <is>
          <t>JÖNKÖPINGS LÄN</t>
        </is>
      </c>
      <c r="E40" t="inlineStr">
        <is>
          <t>SÄVSJÖ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69638-2021</t>
        </is>
      </c>
      <c r="B41" s="1" t="n">
        <v>44532</v>
      </c>
      <c r="C41" s="1" t="n">
        <v>46194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37299-2021</t>
        </is>
      </c>
      <c r="B42" s="1" t="n">
        <v>44397</v>
      </c>
      <c r="C42" s="1" t="n">
        <v>46194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2654-2022</t>
        </is>
      </c>
      <c r="B43" s="1" t="n">
        <v>44580</v>
      </c>
      <c r="C43" s="1" t="n">
        <v>46194</v>
      </c>
      <c r="D43" t="inlineStr">
        <is>
          <t>JÖNKÖPINGS LÄN</t>
        </is>
      </c>
      <c r="E43" t="inlineStr">
        <is>
          <t>SÄVSJÖ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1307-2022</t>
        </is>
      </c>
      <c r="B44" s="1" t="n">
        <v>44572</v>
      </c>
      <c r="C44" s="1" t="n">
        <v>46194</v>
      </c>
      <c r="D44" t="inlineStr">
        <is>
          <t>JÖNKÖPINGS LÄN</t>
        </is>
      </c>
      <c r="E44" t="inlineStr">
        <is>
          <t>SÄVSJÖ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41210-2022</t>
        </is>
      </c>
      <c r="B45" s="1" t="n">
        <v>44826</v>
      </c>
      <c r="C45" s="1" t="n">
        <v>46194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28127-2022</t>
        </is>
      </c>
      <c r="B46" s="1" t="n">
        <v>44746</v>
      </c>
      <c r="C46" s="1" t="n">
        <v>46194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46194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46194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46194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38265-2021</t>
        </is>
      </c>
      <c r="B50" s="1" t="n">
        <v>44405</v>
      </c>
      <c r="C50" s="1" t="n">
        <v>46194</v>
      </c>
      <c r="D50" t="inlineStr">
        <is>
          <t>JÖNKÖPINGS LÄN</t>
        </is>
      </c>
      <c r="E50" t="inlineStr">
        <is>
          <t>SÄVSJÖ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43604-2021</t>
        </is>
      </c>
      <c r="B51" s="1" t="n">
        <v>44433</v>
      </c>
      <c r="C51" s="1" t="n">
        <v>46194</v>
      </c>
      <c r="D51" t="inlineStr">
        <is>
          <t>JÖNKÖPINGS LÄN</t>
        </is>
      </c>
      <c r="E51" t="inlineStr">
        <is>
          <t>SÄVSJÖ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46194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46194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46194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46194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46194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49660-2022</t>
        </is>
      </c>
      <c r="B57" s="1" t="n">
        <v>44862</v>
      </c>
      <c r="C57" s="1" t="n">
        <v>46194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46194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43566-2021</t>
        </is>
      </c>
      <c r="B59" s="1" t="n">
        <v>44433</v>
      </c>
      <c r="C59" s="1" t="n">
        <v>46194</v>
      </c>
      <c r="D59" t="inlineStr">
        <is>
          <t>JÖNKÖPINGS LÄN</t>
        </is>
      </c>
      <c r="E59" t="inlineStr">
        <is>
          <t>SÄVSJÖ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54584-2022</t>
        </is>
      </c>
      <c r="B60" s="1" t="n">
        <v>44883</v>
      </c>
      <c r="C60" s="1" t="n">
        <v>46194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3131-2022</t>
        </is>
      </c>
      <c r="B61" s="1" t="n">
        <v>44582</v>
      </c>
      <c r="C61" s="1" t="n">
        <v>46194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46194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46194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46194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46194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46194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46194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46194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46194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46194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46194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8748-2023</t>
        </is>
      </c>
      <c r="B73" s="1" t="n">
        <v>44972</v>
      </c>
      <c r="C73" s="1" t="n">
        <v>46194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46194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33514-2021</t>
        </is>
      </c>
      <c r="B75" s="1" t="n">
        <v>44377</v>
      </c>
      <c r="C75" s="1" t="n">
        <v>46194</v>
      </c>
      <c r="D75" t="inlineStr">
        <is>
          <t>JÖNKÖPINGS LÄN</t>
        </is>
      </c>
      <c r="E75" t="inlineStr">
        <is>
          <t>SÄVSJÖ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996-2023</t>
        </is>
      </c>
      <c r="B76" s="1" t="n">
        <v>44935</v>
      </c>
      <c r="C76" s="1" t="n">
        <v>46194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38950-2022</t>
        </is>
      </c>
      <c r="B77" s="1" t="n">
        <v>44816</v>
      </c>
      <c r="C77" s="1" t="n">
        <v>46194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31886-2021</t>
        </is>
      </c>
      <c r="B78" s="1" t="n">
        <v>44370</v>
      </c>
      <c r="C78" s="1" t="n">
        <v>46194</v>
      </c>
      <c r="D78" t="inlineStr">
        <is>
          <t>JÖNKÖPINGS LÄN</t>
        </is>
      </c>
      <c r="E78" t="inlineStr">
        <is>
          <t>SÄVSJÖ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297-2023</t>
        </is>
      </c>
      <c r="B79" s="1" t="n">
        <v>44929</v>
      </c>
      <c r="C79" s="1" t="n">
        <v>46194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60915-2023</t>
        </is>
      </c>
      <c r="B80" s="1" t="n">
        <v>45261</v>
      </c>
      <c r="C80" s="1" t="n">
        <v>46194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</v>
      </c>
      <c r="C81" s="1" t="n">
        <v>46194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46194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36390-2024</t>
        </is>
      </c>
      <c r="B83" s="1" t="n">
        <v>45534</v>
      </c>
      <c r="C83" s="1" t="n">
        <v>46194</v>
      </c>
      <c r="D83" t="inlineStr">
        <is>
          <t>JÖNKÖPINGS LÄN</t>
        </is>
      </c>
      <c r="E83" t="inlineStr">
        <is>
          <t>SÄVSJÖ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557-2025</t>
        </is>
      </c>
      <c r="B84" s="1" t="n">
        <v>45660</v>
      </c>
      <c r="C84" s="1" t="n">
        <v>46194</v>
      </c>
      <c r="D84" t="inlineStr">
        <is>
          <t>JÖNKÖPINGS LÄN</t>
        </is>
      </c>
      <c r="E84" t="inlineStr">
        <is>
          <t>SÄVSJÖ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35446-2022</t>
        </is>
      </c>
      <c r="B85" s="1" t="n">
        <v>44798</v>
      </c>
      <c r="C85" s="1" t="n">
        <v>46194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57471-2022</t>
        </is>
      </c>
      <c r="B86" s="1" t="n">
        <v>44896</v>
      </c>
      <c r="C86" s="1" t="n">
        <v>46194</v>
      </c>
      <c r="D86" t="inlineStr">
        <is>
          <t>JÖNKÖPINGS LÄN</t>
        </is>
      </c>
      <c r="E86" t="inlineStr">
        <is>
          <t>SÄVSJÖ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56617-2022</t>
        </is>
      </c>
      <c r="B87" s="1" t="n">
        <v>44893</v>
      </c>
      <c r="C87" s="1" t="n">
        <v>46194</v>
      </c>
      <c r="D87" t="inlineStr">
        <is>
          <t>JÖNKÖPINGS LÄN</t>
        </is>
      </c>
      <c r="E87" t="inlineStr">
        <is>
          <t>SÄVSJÖ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16403-2023</t>
        </is>
      </c>
      <c r="B88" s="1" t="n">
        <v>45029</v>
      </c>
      <c r="C88" s="1" t="n">
        <v>46194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33556-2022</t>
        </is>
      </c>
      <c r="B89" s="1" t="n">
        <v>44789</v>
      </c>
      <c r="C89" s="1" t="n">
        <v>46194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51938-2024</t>
        </is>
      </c>
      <c r="B90" s="1" t="n">
        <v>45607</v>
      </c>
      <c r="C90" s="1" t="n">
        <v>46194</v>
      </c>
      <c r="D90" t="inlineStr">
        <is>
          <t>JÖNKÖPINGS LÄN</t>
        </is>
      </c>
      <c r="E90" t="inlineStr">
        <is>
          <t>SÄVSJÖ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49221-2022</t>
        </is>
      </c>
      <c r="B91" s="1" t="n">
        <v>44861</v>
      </c>
      <c r="C91" s="1" t="n">
        <v>46194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</v>
      </c>
      <c r="C92" s="1" t="n">
        <v>46194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12959-2023</t>
        </is>
      </c>
      <c r="B93" s="1" t="n">
        <v>45001</v>
      </c>
      <c r="C93" s="1" t="n">
        <v>46194</v>
      </c>
      <c r="D93" t="inlineStr">
        <is>
          <t>JÖNKÖPINGS LÄN</t>
        </is>
      </c>
      <c r="E93" t="inlineStr">
        <is>
          <t>SÄVSJÖ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</v>
      </c>
      <c r="C94" s="1" t="n">
        <v>46194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1433-2025</t>
        </is>
      </c>
      <c r="B95" s="1" t="n">
        <v>45669</v>
      </c>
      <c r="C95" s="1" t="n">
        <v>46194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5679-2024</t>
        </is>
      </c>
      <c r="B96" s="1" t="n">
        <v>45334</v>
      </c>
      <c r="C96" s="1" t="n">
        <v>46194</v>
      </c>
      <c r="D96" t="inlineStr">
        <is>
          <t>JÖNKÖPINGS LÄN</t>
        </is>
      </c>
      <c r="E96" t="inlineStr">
        <is>
          <t>SÄVSJÖ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46609-2023</t>
        </is>
      </c>
      <c r="B97" s="1" t="n">
        <v>45198</v>
      </c>
      <c r="C97" s="1" t="n">
        <v>46194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33220-2023</t>
        </is>
      </c>
      <c r="B98" s="1" t="n">
        <v>45127</v>
      </c>
      <c r="C98" s="1" t="n">
        <v>46194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62421-2023</t>
        </is>
      </c>
      <c r="B99" s="1" t="n">
        <v>45268</v>
      </c>
      <c r="C99" s="1" t="n">
        <v>46194</v>
      </c>
      <c r="D99" t="inlineStr">
        <is>
          <t>JÖNKÖPINGS LÄN</t>
        </is>
      </c>
      <c r="E99" t="inlineStr">
        <is>
          <t>SÄVSJÖ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53916-2021</t>
        </is>
      </c>
      <c r="B100" s="1" t="n">
        <v>44469</v>
      </c>
      <c r="C100" s="1" t="n">
        <v>46194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1916-2025</t>
        </is>
      </c>
      <c r="B101" s="1" t="n">
        <v>45671</v>
      </c>
      <c r="C101" s="1" t="n">
        <v>46194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4530-2022</t>
        </is>
      </c>
      <c r="B102" s="1" t="n">
        <v>44590</v>
      </c>
      <c r="C102" s="1" t="n">
        <v>46194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61944-2021</t>
        </is>
      </c>
      <c r="B103" s="1" t="n">
        <v>44502</v>
      </c>
      <c r="C103" s="1" t="n">
        <v>46194</v>
      </c>
      <c r="D103" t="inlineStr">
        <is>
          <t>JÖNKÖPINGS LÄN</t>
        </is>
      </c>
      <c r="E103" t="inlineStr">
        <is>
          <t>SÄVSJÖ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71610-2021</t>
        </is>
      </c>
      <c r="B104" s="1" t="n">
        <v>44541</v>
      </c>
      <c r="C104" s="1" t="n">
        <v>46194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6292-2024</t>
        </is>
      </c>
      <c r="B105" s="1" t="n">
        <v>45338</v>
      </c>
      <c r="C105" s="1" t="n">
        <v>46194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49292-2023</t>
        </is>
      </c>
      <c r="B106" s="1" t="n">
        <v>45210</v>
      </c>
      <c r="C106" s="1" t="n">
        <v>46194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</v>
      </c>
      <c r="C107" s="1" t="n">
        <v>46194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3598-2024</t>
        </is>
      </c>
      <c r="B108" s="1" t="n">
        <v>45320</v>
      </c>
      <c r="C108" s="1" t="n">
        <v>46194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3600-2024</t>
        </is>
      </c>
      <c r="B109" s="1" t="n">
        <v>45320</v>
      </c>
      <c r="C109" s="1" t="n">
        <v>46194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62178-2023</t>
        </is>
      </c>
      <c r="B110" s="1" t="n">
        <v>45267</v>
      </c>
      <c r="C110" s="1" t="n">
        <v>46194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42400-2022</t>
        </is>
      </c>
      <c r="B111" s="1" t="n">
        <v>44830</v>
      </c>
      <c r="C111" s="1" t="n">
        <v>46194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55254-2021</t>
        </is>
      </c>
      <c r="B112" s="1" t="n">
        <v>44475</v>
      </c>
      <c r="C112" s="1" t="n">
        <v>46194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17883-2024</t>
        </is>
      </c>
      <c r="B113" s="1" t="n">
        <v>45419</v>
      </c>
      <c r="C113" s="1" t="n">
        <v>46194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2635-2023</t>
        </is>
      </c>
      <c r="B114" s="1" t="n">
        <v>44942</v>
      </c>
      <c r="C114" s="1" t="n">
        <v>46194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48893-2023</t>
        </is>
      </c>
      <c r="B115" s="1" t="n">
        <v>45209</v>
      </c>
      <c r="C115" s="1" t="n">
        <v>46194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10592-2022</t>
        </is>
      </c>
      <c r="B116" s="1" t="n">
        <v>44624</v>
      </c>
      <c r="C116" s="1" t="n">
        <v>46194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46514-2021</t>
        </is>
      </c>
      <c r="B117" s="1" t="n">
        <v>44445</v>
      </c>
      <c r="C117" s="1" t="n">
        <v>46194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11931-2023</t>
        </is>
      </c>
      <c r="B118" s="1" t="n">
        <v>44995</v>
      </c>
      <c r="C118" s="1" t="n">
        <v>46194</v>
      </c>
      <c r="D118" t="inlineStr">
        <is>
          <t>JÖNKÖPINGS LÄN</t>
        </is>
      </c>
      <c r="E118" t="inlineStr">
        <is>
          <t>SÄVSJÖ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2616-2023</t>
        </is>
      </c>
      <c r="B119" s="1" t="n">
        <v>44944</v>
      </c>
      <c r="C119" s="1" t="n">
        <v>46194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47405-2021</t>
        </is>
      </c>
      <c r="B120" s="1" t="n">
        <v>44447</v>
      </c>
      <c r="C120" s="1" t="n">
        <v>46194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37611-2024</t>
        </is>
      </c>
      <c r="B121" s="1" t="n">
        <v>45541</v>
      </c>
      <c r="C121" s="1" t="n">
        <v>46194</v>
      </c>
      <c r="D121" t="inlineStr">
        <is>
          <t>JÖNKÖPINGS LÄN</t>
        </is>
      </c>
      <c r="E121" t="inlineStr">
        <is>
          <t>SÄVSJÖ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20915-2023</t>
        </is>
      </c>
      <c r="B122" s="1" t="n">
        <v>45061</v>
      </c>
      <c r="C122" s="1" t="n">
        <v>46194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17766-2023</t>
        </is>
      </c>
      <c r="B123" s="1" t="n">
        <v>45037</v>
      </c>
      <c r="C123" s="1" t="n">
        <v>46194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20603-2022</t>
        </is>
      </c>
      <c r="B124" s="1" t="n">
        <v>44700</v>
      </c>
      <c r="C124" s="1" t="n">
        <v>46194</v>
      </c>
      <c r="D124" t="inlineStr">
        <is>
          <t>JÖNKÖPINGS LÄN</t>
        </is>
      </c>
      <c r="E124" t="inlineStr">
        <is>
          <t>SÄVSJÖ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8121-2025</t>
        </is>
      </c>
      <c r="B125" s="1" t="n">
        <v>45707</v>
      </c>
      <c r="C125" s="1" t="n">
        <v>46194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38176-2022</t>
        </is>
      </c>
      <c r="B126" s="1" t="n">
        <v>44812</v>
      </c>
      <c r="C126" s="1" t="n">
        <v>46194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46194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50493-2024</t>
        </is>
      </c>
      <c r="B128" s="1" t="n">
        <v>45601</v>
      </c>
      <c r="C128" s="1" t="n">
        <v>46194</v>
      </c>
      <c r="D128" t="inlineStr">
        <is>
          <t>JÖNKÖPINGS LÄN</t>
        </is>
      </c>
      <c r="E128" t="inlineStr">
        <is>
          <t>SÄVSJÖ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19847-2023</t>
        </is>
      </c>
      <c r="B129" s="1" t="n">
        <v>45053</v>
      </c>
      <c r="C129" s="1" t="n">
        <v>46194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3306-2024</t>
        </is>
      </c>
      <c r="B130" s="1" t="n">
        <v>45317</v>
      </c>
      <c r="C130" s="1" t="n">
        <v>46194</v>
      </c>
      <c r="D130" t="inlineStr">
        <is>
          <t>JÖNKÖPINGS LÄN</t>
        </is>
      </c>
      <c r="E130" t="inlineStr">
        <is>
          <t>SÄVSJÖ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</v>
      </c>
      <c r="C131" s="1" t="n">
        <v>46194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11266-2024</t>
        </is>
      </c>
      <c r="B132" s="1" t="n">
        <v>45371</v>
      </c>
      <c r="C132" s="1" t="n">
        <v>46194</v>
      </c>
      <c r="D132" t="inlineStr">
        <is>
          <t>JÖNKÖPINGS LÄN</t>
        </is>
      </c>
      <c r="E132" t="inlineStr">
        <is>
          <t>SÄVSJÖ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37980-2025</t>
        </is>
      </c>
      <c r="B133" s="1" t="n">
        <v>45881</v>
      </c>
      <c r="C133" s="1" t="n">
        <v>46194</v>
      </c>
      <c r="D133" t="inlineStr">
        <is>
          <t>JÖNKÖPINGS LÄN</t>
        </is>
      </c>
      <c r="E133" t="inlineStr">
        <is>
          <t>SÄVSJÖ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22730-2024</t>
        </is>
      </c>
      <c r="B134" s="1" t="n">
        <v>45448</v>
      </c>
      <c r="C134" s="1" t="n">
        <v>46194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</v>
      </c>
      <c r="C135" s="1" t="n">
        <v>46194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6333-2025</t>
        </is>
      </c>
      <c r="B136" s="1" t="n">
        <v>45698</v>
      </c>
      <c r="C136" s="1" t="n">
        <v>46194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34287-2024</t>
        </is>
      </c>
      <c r="B137" s="1" t="n">
        <v>45524</v>
      </c>
      <c r="C137" s="1" t="n">
        <v>46194</v>
      </c>
      <c r="D137" t="inlineStr">
        <is>
          <t>JÖNKÖPINGS LÄN</t>
        </is>
      </c>
      <c r="E137" t="inlineStr">
        <is>
          <t>SÄVSJÖ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19759-2025</t>
        </is>
      </c>
      <c r="B138" s="1" t="n">
        <v>45771</v>
      </c>
      <c r="C138" s="1" t="n">
        <v>46194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16368-2024</t>
        </is>
      </c>
      <c r="B139" s="1" t="n">
        <v>45407</v>
      </c>
      <c r="C139" s="1" t="n">
        <v>46194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16372-2024</t>
        </is>
      </c>
      <c r="B140" s="1" t="n">
        <v>45407</v>
      </c>
      <c r="C140" s="1" t="n">
        <v>46194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38505-2025</t>
        </is>
      </c>
      <c r="B141" s="1" t="n">
        <v>45884</v>
      </c>
      <c r="C141" s="1" t="n">
        <v>46194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23637-2024</t>
        </is>
      </c>
      <c r="B142" s="1" t="n">
        <v>45454</v>
      </c>
      <c r="C142" s="1" t="n">
        <v>46194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30162-2023</t>
        </is>
      </c>
      <c r="B143" s="1" t="n">
        <v>45110</v>
      </c>
      <c r="C143" s="1" t="n">
        <v>46194</v>
      </c>
      <c r="D143" t="inlineStr">
        <is>
          <t>JÖNKÖPINGS LÄN</t>
        </is>
      </c>
      <c r="E143" t="inlineStr">
        <is>
          <t>SÄVSJÖ</t>
        </is>
      </c>
      <c r="F143" t="inlineStr">
        <is>
          <t>Kommuner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49708-2023</t>
        </is>
      </c>
      <c r="B144" s="1" t="n">
        <v>45212</v>
      </c>
      <c r="C144" s="1" t="n">
        <v>46194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59125-2023</t>
        </is>
      </c>
      <c r="B145" s="1" t="n">
        <v>45253</v>
      </c>
      <c r="C145" s="1" t="n">
        <v>46194</v>
      </c>
      <c r="D145" t="inlineStr">
        <is>
          <t>JÖNKÖPINGS LÄN</t>
        </is>
      </c>
      <c r="E145" t="inlineStr">
        <is>
          <t>SÄVSJÖ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19017-2025</t>
        </is>
      </c>
      <c r="B146" s="1" t="n">
        <v>45764</v>
      </c>
      <c r="C146" s="1" t="n">
        <v>46194</v>
      </c>
      <c r="D146" t="inlineStr">
        <is>
          <t>JÖNKÖPINGS LÄN</t>
        </is>
      </c>
      <c r="E146" t="inlineStr">
        <is>
          <t>SÄVSJÖ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10284-2024</t>
        </is>
      </c>
      <c r="B147" s="1" t="n">
        <v>45365</v>
      </c>
      <c r="C147" s="1" t="n">
        <v>46194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11337-2025</t>
        </is>
      </c>
      <c r="B148" s="1" t="n">
        <v>45726</v>
      </c>
      <c r="C148" s="1" t="n">
        <v>46194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908-2024</t>
        </is>
      </c>
      <c r="B149" s="1" t="n">
        <v>45301</v>
      </c>
      <c r="C149" s="1" t="n">
        <v>46194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2860-2024</t>
        </is>
      </c>
      <c r="B150" s="1" t="n">
        <v>45315</v>
      </c>
      <c r="C150" s="1" t="n">
        <v>46194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28423-2023</t>
        </is>
      </c>
      <c r="B151" s="1" t="n">
        <v>45102</v>
      </c>
      <c r="C151" s="1" t="n">
        <v>46194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50629-2022</t>
        </is>
      </c>
      <c r="B152" s="1" t="n">
        <v>44866</v>
      </c>
      <c r="C152" s="1" t="n">
        <v>46194</v>
      </c>
      <c r="D152" t="inlineStr">
        <is>
          <t>JÖNKÖPINGS LÄN</t>
        </is>
      </c>
      <c r="E152" t="inlineStr">
        <is>
          <t>SÄVSJÖ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15834-2022</t>
        </is>
      </c>
      <c r="B153" s="1" t="n">
        <v>44664</v>
      </c>
      <c r="C153" s="1" t="n">
        <v>46194</v>
      </c>
      <c r="D153" t="inlineStr">
        <is>
          <t>JÖNKÖPINGS LÄN</t>
        </is>
      </c>
      <c r="E153" t="inlineStr">
        <is>
          <t>SÄVSJÖ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24703-2024</t>
        </is>
      </c>
      <c r="B154" s="1" t="n">
        <v>45460</v>
      </c>
      <c r="C154" s="1" t="n">
        <v>46194</v>
      </c>
      <c r="D154" t="inlineStr">
        <is>
          <t>JÖNKÖPINGS LÄN</t>
        </is>
      </c>
      <c r="E154" t="inlineStr">
        <is>
          <t>SÄVSJÖ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12807-2022</t>
        </is>
      </c>
      <c r="B155" s="1" t="n">
        <v>44642</v>
      </c>
      <c r="C155" s="1" t="n">
        <v>46194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53102-2023</t>
        </is>
      </c>
      <c r="B156" s="1" t="n">
        <v>45228</v>
      </c>
      <c r="C156" s="1" t="n">
        <v>46194</v>
      </c>
      <c r="D156" t="inlineStr">
        <is>
          <t>JÖNKÖPINGS LÄN</t>
        </is>
      </c>
      <c r="E156" t="inlineStr">
        <is>
          <t>SÄVSJÖ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48815-2024</t>
        </is>
      </c>
      <c r="B157" s="1" t="n">
        <v>45593</v>
      </c>
      <c r="C157" s="1" t="n">
        <v>46194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29558-2023</t>
        </is>
      </c>
      <c r="B158" s="1" t="n">
        <v>45106</v>
      </c>
      <c r="C158" s="1" t="n">
        <v>46194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55881-2024</t>
        </is>
      </c>
      <c r="B159" s="1" t="n">
        <v>45623</v>
      </c>
      <c r="C159" s="1" t="n">
        <v>46194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54600-2022</t>
        </is>
      </c>
      <c r="B160" s="1" t="n">
        <v>44883</v>
      </c>
      <c r="C160" s="1" t="n">
        <v>46194</v>
      </c>
      <c r="D160" t="inlineStr">
        <is>
          <t>JÖNKÖPINGS LÄN</t>
        </is>
      </c>
      <c r="E160" t="inlineStr">
        <is>
          <t>SÄVSJÖ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63920-2021</t>
        </is>
      </c>
      <c r="B161" s="1" t="n">
        <v>44509</v>
      </c>
      <c r="C161" s="1" t="n">
        <v>46194</v>
      </c>
      <c r="D161" t="inlineStr">
        <is>
          <t>JÖNKÖPINGS LÄN</t>
        </is>
      </c>
      <c r="E161" t="inlineStr">
        <is>
          <t>SÄVSJÖ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10887-2023</t>
        </is>
      </c>
      <c r="B162" s="1" t="n">
        <v>44991</v>
      </c>
      <c r="C162" s="1" t="n">
        <v>46194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10516-2024</t>
        </is>
      </c>
      <c r="B163" s="1" t="n">
        <v>45366</v>
      </c>
      <c r="C163" s="1" t="n">
        <v>46194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1902-2025</t>
        </is>
      </c>
      <c r="B164" s="1" t="n">
        <v>45671</v>
      </c>
      <c r="C164" s="1" t="n">
        <v>46194</v>
      </c>
      <c r="D164" t="inlineStr">
        <is>
          <t>JÖNKÖPINGS LÄN</t>
        </is>
      </c>
      <c r="E164" t="inlineStr">
        <is>
          <t>SÄVSJÖ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57928-2023</t>
        </is>
      </c>
      <c r="B165" s="1" t="n">
        <v>45244</v>
      </c>
      <c r="C165" s="1" t="n">
        <v>46194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11258-2024</t>
        </is>
      </c>
      <c r="B166" s="1" t="n">
        <v>45371</v>
      </c>
      <c r="C166" s="1" t="n">
        <v>46194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54533-2023</t>
        </is>
      </c>
      <c r="B167" s="1" t="n">
        <v>45226</v>
      </c>
      <c r="C167" s="1" t="n">
        <v>46194</v>
      </c>
      <c r="D167" t="inlineStr">
        <is>
          <t>JÖNKÖPINGS LÄN</t>
        </is>
      </c>
      <c r="E167" t="inlineStr">
        <is>
          <t>SÄVSJÖ</t>
        </is>
      </c>
      <c r="F167" t="inlineStr">
        <is>
          <t>Kyrkan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38072-2023</t>
        </is>
      </c>
      <c r="B168" s="1" t="n">
        <v>45160</v>
      </c>
      <c r="C168" s="1" t="n">
        <v>46194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15058-2023</t>
        </is>
      </c>
      <c r="B169" s="1" t="n">
        <v>45015</v>
      </c>
      <c r="C169" s="1" t="n">
        <v>46194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27015-2023</t>
        </is>
      </c>
      <c r="B170" s="1" t="n">
        <v>45094</v>
      </c>
      <c r="C170" s="1" t="n">
        <v>46194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52965-2024</t>
        </is>
      </c>
      <c r="B171" s="1" t="n">
        <v>45611</v>
      </c>
      <c r="C171" s="1" t="n">
        <v>46194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995-2023</t>
        </is>
      </c>
      <c r="B172" s="1" t="n">
        <v>44935</v>
      </c>
      <c r="C172" s="1" t="n">
        <v>46194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7285-2023</t>
        </is>
      </c>
      <c r="B173" s="1" t="n">
        <v>44970</v>
      </c>
      <c r="C173" s="1" t="n">
        <v>46194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3177-2025</t>
        </is>
      </c>
      <c r="B174" s="1" t="n">
        <v>45679</v>
      </c>
      <c r="C174" s="1" t="n">
        <v>46194</v>
      </c>
      <c r="D174" t="inlineStr">
        <is>
          <t>JÖNKÖPINGS LÄN</t>
        </is>
      </c>
      <c r="E174" t="inlineStr">
        <is>
          <t>SÄVSJÖ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6649-2024</t>
        </is>
      </c>
      <c r="B175" s="1" t="n">
        <v>45341</v>
      </c>
      <c r="C175" s="1" t="n">
        <v>46194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23885-2024</t>
        </is>
      </c>
      <c r="B176" s="1" t="n">
        <v>45455</v>
      </c>
      <c r="C176" s="1" t="n">
        <v>46194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</v>
      </c>
      <c r="C177" s="1" t="n">
        <v>46194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55258-2021</t>
        </is>
      </c>
      <c r="B178" s="1" t="n">
        <v>44475</v>
      </c>
      <c r="C178" s="1" t="n">
        <v>46194</v>
      </c>
      <c r="D178" t="inlineStr">
        <is>
          <t>JÖNKÖPINGS LÄN</t>
        </is>
      </c>
      <c r="E178" t="inlineStr">
        <is>
          <t>SÄVSJÖ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3865-2023</t>
        </is>
      </c>
      <c r="B179" s="1" t="n">
        <v>44951</v>
      </c>
      <c r="C179" s="1" t="n">
        <v>46194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4151-2025</t>
        </is>
      </c>
      <c r="B180" s="1" t="n">
        <v>45685</v>
      </c>
      <c r="C180" s="1" t="n">
        <v>46194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27713-2023</t>
        </is>
      </c>
      <c r="B181" s="1" t="n">
        <v>45098</v>
      </c>
      <c r="C181" s="1" t="n">
        <v>46194</v>
      </c>
      <c r="D181" t="inlineStr">
        <is>
          <t>JÖNKÖPINGS LÄN</t>
        </is>
      </c>
      <c r="E181" t="inlineStr">
        <is>
          <t>SÄVSJÖ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5673-2024</t>
        </is>
      </c>
      <c r="B182" s="1" t="n">
        <v>45334</v>
      </c>
      <c r="C182" s="1" t="n">
        <v>46194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10210-2025</t>
        </is>
      </c>
      <c r="B183" s="1" t="n">
        <v>45719</v>
      </c>
      <c r="C183" s="1" t="n">
        <v>46194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59057-2023</t>
        </is>
      </c>
      <c r="B184" s="1" t="n">
        <v>45252</v>
      </c>
      <c r="C184" s="1" t="n">
        <v>46194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46194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6914-2023</t>
        </is>
      </c>
      <c r="B186" s="1" t="n">
        <v>44964</v>
      </c>
      <c r="C186" s="1" t="n">
        <v>46194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58400-2024</t>
        </is>
      </c>
      <c r="B187" s="1" t="n">
        <v>45634</v>
      </c>
      <c r="C187" s="1" t="n">
        <v>46194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12952-2023</t>
        </is>
      </c>
      <c r="B188" s="1" t="n">
        <v>45001</v>
      </c>
      <c r="C188" s="1" t="n">
        <v>46194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41914-2025</t>
        </is>
      </c>
      <c r="B189" s="1" t="n">
        <v>45903</v>
      </c>
      <c r="C189" s="1" t="n">
        <v>46194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42384-2025</t>
        </is>
      </c>
      <c r="B190" s="1" t="n">
        <v>45905</v>
      </c>
      <c r="C190" s="1" t="n">
        <v>46194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39491-2021</t>
        </is>
      </c>
      <c r="B191" s="1" t="n">
        <v>44414</v>
      </c>
      <c r="C191" s="1" t="n">
        <v>46194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17140-2025</t>
        </is>
      </c>
      <c r="B192" s="1" t="n">
        <v>45755</v>
      </c>
      <c r="C192" s="1" t="n">
        <v>46194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42212-2021</t>
        </is>
      </c>
      <c r="B193" s="1" t="n">
        <v>44426</v>
      </c>
      <c r="C193" s="1" t="n">
        <v>46194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43303-2025</t>
        </is>
      </c>
      <c r="B194" s="1" t="n">
        <v>45910</v>
      </c>
      <c r="C194" s="1" t="n">
        <v>46194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4814-2023</t>
        </is>
      </c>
      <c r="B195" s="1" t="n">
        <v>44957</v>
      </c>
      <c r="C195" s="1" t="n">
        <v>46194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59126-2023</t>
        </is>
      </c>
      <c r="B196" s="1" t="n">
        <v>45253</v>
      </c>
      <c r="C196" s="1" t="n">
        <v>46194</v>
      </c>
      <c r="D196" t="inlineStr">
        <is>
          <t>JÖNKÖPINGS LÄN</t>
        </is>
      </c>
      <c r="E196" t="inlineStr">
        <is>
          <t>SÄVSJÖ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10865-2023</t>
        </is>
      </c>
      <c r="B197" s="1" t="n">
        <v>44991</v>
      </c>
      <c r="C197" s="1" t="n">
        <v>46194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15400-2025</t>
        </is>
      </c>
      <c r="B198" s="1" t="n">
        <v>45747</v>
      </c>
      <c r="C198" s="1" t="n">
        <v>46194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7917-2024</t>
        </is>
      </c>
      <c r="B199" s="1" t="n">
        <v>45350</v>
      </c>
      <c r="C199" s="1" t="n">
        <v>46194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46194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4081-2025</t>
        </is>
      </c>
      <c r="B201" s="1" t="n">
        <v>45684</v>
      </c>
      <c r="C201" s="1" t="n">
        <v>46194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5706-2025</t>
        </is>
      </c>
      <c r="B202" s="1" t="n">
        <v>45694</v>
      </c>
      <c r="C202" s="1" t="n">
        <v>46194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5708-2025</t>
        </is>
      </c>
      <c r="B203" s="1" t="n">
        <v>45694</v>
      </c>
      <c r="C203" s="1" t="n">
        <v>46194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40111-2022</t>
        </is>
      </c>
      <c r="B204" s="1" t="n">
        <v>44820</v>
      </c>
      <c r="C204" s="1" t="n">
        <v>46194</v>
      </c>
      <c r="D204" t="inlineStr">
        <is>
          <t>JÖNKÖPINGS LÄN</t>
        </is>
      </c>
      <c r="E204" t="inlineStr">
        <is>
          <t>SÄVSJÖ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61408-2024</t>
        </is>
      </c>
      <c r="B205" s="1" t="n">
        <v>45646</v>
      </c>
      <c r="C205" s="1" t="n">
        <v>46194</v>
      </c>
      <c r="D205" t="inlineStr">
        <is>
          <t>JÖNKÖPINGS LÄN</t>
        </is>
      </c>
      <c r="E205" t="inlineStr">
        <is>
          <t>SÄVSJÖ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21801-2023</t>
        </is>
      </c>
      <c r="B206" s="1" t="n">
        <v>45067</v>
      </c>
      <c r="C206" s="1" t="n">
        <v>46194</v>
      </c>
      <c r="D206" t="inlineStr">
        <is>
          <t>JÖNKÖPINGS LÄN</t>
        </is>
      </c>
      <c r="E206" t="inlineStr">
        <is>
          <t>SÄVSJÖ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2855-2024</t>
        </is>
      </c>
      <c r="B207" s="1" t="n">
        <v>45315</v>
      </c>
      <c r="C207" s="1" t="n">
        <v>46194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61545-2021</t>
        </is>
      </c>
      <c r="B208" s="1" t="n">
        <v>44501</v>
      </c>
      <c r="C208" s="1" t="n">
        <v>46194</v>
      </c>
      <c r="D208" t="inlineStr">
        <is>
          <t>JÖNKÖPINGS LÄN</t>
        </is>
      </c>
      <c r="E208" t="inlineStr">
        <is>
          <t>SÄVSJÖ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15842-2025</t>
        </is>
      </c>
      <c r="B209" s="1" t="n">
        <v>45748</v>
      </c>
      <c r="C209" s="1" t="n">
        <v>46194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5875-2025</t>
        </is>
      </c>
      <c r="B210" s="1" t="n">
        <v>45695</v>
      </c>
      <c r="C210" s="1" t="n">
        <v>46194</v>
      </c>
      <c r="D210" t="inlineStr">
        <is>
          <t>JÖNKÖPINGS LÄN</t>
        </is>
      </c>
      <c r="E210" t="inlineStr">
        <is>
          <t>SÄVSJÖ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51921-2023</t>
        </is>
      </c>
      <c r="B211" s="1" t="n">
        <v>45223</v>
      </c>
      <c r="C211" s="1" t="n">
        <v>46194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63308-2023</t>
        </is>
      </c>
      <c r="B212" s="1" t="n">
        <v>45274</v>
      </c>
      <c r="C212" s="1" t="n">
        <v>46194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56097-2023</t>
        </is>
      </c>
      <c r="B213" s="1" t="n">
        <v>45240</v>
      </c>
      <c r="C213" s="1" t="n">
        <v>46194</v>
      </c>
      <c r="D213" t="inlineStr">
        <is>
          <t>JÖNKÖPINGS LÄN</t>
        </is>
      </c>
      <c r="E213" t="inlineStr">
        <is>
          <t>SÄVSJÖ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19123-2025</t>
        </is>
      </c>
      <c r="B214" s="1" t="n">
        <v>45768</v>
      </c>
      <c r="C214" s="1" t="n">
        <v>46194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17127-2024</t>
        </is>
      </c>
      <c r="B215" s="1" t="n">
        <v>45412</v>
      </c>
      <c r="C215" s="1" t="n">
        <v>46194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11185-2025</t>
        </is>
      </c>
      <c r="B216" s="1" t="n">
        <v>45725</v>
      </c>
      <c r="C216" s="1" t="n">
        <v>46194</v>
      </c>
      <c r="D216" t="inlineStr">
        <is>
          <t>JÖNKÖPINGS LÄN</t>
        </is>
      </c>
      <c r="E216" t="inlineStr">
        <is>
          <t>SÄVSJÖ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54940-2022</t>
        </is>
      </c>
      <c r="B217" s="1" t="n">
        <v>44886</v>
      </c>
      <c r="C217" s="1" t="n">
        <v>46194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22733-2024</t>
        </is>
      </c>
      <c r="B218" s="1" t="n">
        <v>45448</v>
      </c>
      <c r="C218" s="1" t="n">
        <v>46194</v>
      </c>
      <c r="D218" t="inlineStr">
        <is>
          <t>JÖNKÖPINGS LÄN</t>
        </is>
      </c>
      <c r="E218" t="inlineStr">
        <is>
          <t>SÄVSJÖ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47800-2025</t>
        </is>
      </c>
      <c r="B219" s="1" t="n">
        <v>45931</v>
      </c>
      <c r="C219" s="1" t="n">
        <v>46194</v>
      </c>
      <c r="D219" t="inlineStr">
        <is>
          <t>JÖNKÖPINGS LÄN</t>
        </is>
      </c>
      <c r="E219" t="inlineStr">
        <is>
          <t>SÄVSJÖ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44397-2024</t>
        </is>
      </c>
      <c r="B220" s="1" t="n">
        <v>45573</v>
      </c>
      <c r="C220" s="1" t="n">
        <v>46194</v>
      </c>
      <c r="D220" t="inlineStr">
        <is>
          <t>JÖNKÖPINGS LÄN</t>
        </is>
      </c>
      <c r="E220" t="inlineStr">
        <is>
          <t>SÄVSJÖ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60805-2024</t>
        </is>
      </c>
      <c r="B221" s="1" t="n">
        <v>45644</v>
      </c>
      <c r="C221" s="1" t="n">
        <v>46194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17308-2024</t>
        </is>
      </c>
      <c r="B222" s="1" t="n">
        <v>45414</v>
      </c>
      <c r="C222" s="1" t="n">
        <v>46194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24253-2023</t>
        </is>
      </c>
      <c r="B223" s="1" t="n">
        <v>45079</v>
      </c>
      <c r="C223" s="1" t="n">
        <v>46194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50627-2022</t>
        </is>
      </c>
      <c r="B224" s="1" t="n">
        <v>44866</v>
      </c>
      <c r="C224" s="1" t="n">
        <v>46194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61331-2024</t>
        </is>
      </c>
      <c r="B225" s="1" t="n">
        <v>45646</v>
      </c>
      <c r="C225" s="1" t="n">
        <v>46194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15054-2023</t>
        </is>
      </c>
      <c r="B226" s="1" t="n">
        <v>45015</v>
      </c>
      <c r="C226" s="1" t="n">
        <v>46194</v>
      </c>
      <c r="D226" t="inlineStr">
        <is>
          <t>JÖNKÖPINGS LÄN</t>
        </is>
      </c>
      <c r="E226" t="inlineStr">
        <is>
          <t>SÄVSJÖ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23396-2025</t>
        </is>
      </c>
      <c r="B227" s="1" t="n">
        <v>45791</v>
      </c>
      <c r="C227" s="1" t="n">
        <v>46194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30364-2023</t>
        </is>
      </c>
      <c r="B228" s="1" t="n">
        <v>45111</v>
      </c>
      <c r="C228" s="1" t="n">
        <v>46194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53154-2024</t>
        </is>
      </c>
      <c r="B229" s="1" t="n">
        <v>45611</v>
      </c>
      <c r="C229" s="1" t="n">
        <v>46194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62182-2023</t>
        </is>
      </c>
      <c r="B230" s="1" t="n">
        <v>45267</v>
      </c>
      <c r="C230" s="1" t="n">
        <v>46194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23151-2025</t>
        </is>
      </c>
      <c r="B231" s="1" t="n">
        <v>45791</v>
      </c>
      <c r="C231" s="1" t="n">
        <v>46194</v>
      </c>
      <c r="D231" t="inlineStr">
        <is>
          <t>JÖNKÖPINGS LÄN</t>
        </is>
      </c>
      <c r="E231" t="inlineStr">
        <is>
          <t>SÄVSJÖ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21788-2023</t>
        </is>
      </c>
      <c r="B232" s="1" t="n">
        <v>45066</v>
      </c>
      <c r="C232" s="1" t="n">
        <v>46194</v>
      </c>
      <c r="D232" t="inlineStr">
        <is>
          <t>JÖNKÖPINGS LÄN</t>
        </is>
      </c>
      <c r="E232" t="inlineStr">
        <is>
          <t>SÄVSJÖ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46307-2021</t>
        </is>
      </c>
      <c r="B233" s="1" t="n">
        <v>44442</v>
      </c>
      <c r="C233" s="1" t="n">
        <v>46194</v>
      </c>
      <c r="D233" t="inlineStr">
        <is>
          <t>JÖNKÖPINGS LÄN</t>
        </is>
      </c>
      <c r="E233" t="inlineStr">
        <is>
          <t>SÄVSJÖ</t>
        </is>
      </c>
      <c r="F233" t="inlineStr">
        <is>
          <t>Kommuner</t>
        </is>
      </c>
      <c r="G233" t="n">
        <v>25.6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18978-2024</t>
        </is>
      </c>
      <c r="B234" s="1" t="n">
        <v>45427</v>
      </c>
      <c r="C234" s="1" t="n">
        <v>46194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50791-2025</t>
        </is>
      </c>
      <c r="B235" s="1" t="n">
        <v>45946</v>
      </c>
      <c r="C235" s="1" t="n">
        <v>46194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12794-2025</t>
        </is>
      </c>
      <c r="B236" s="1" t="n">
        <v>45733</v>
      </c>
      <c r="C236" s="1" t="n">
        <v>46194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12804-2025</t>
        </is>
      </c>
      <c r="B237" s="1" t="n">
        <v>45733</v>
      </c>
      <c r="C237" s="1" t="n">
        <v>46194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59056-2023</t>
        </is>
      </c>
      <c r="B238" s="1" t="n">
        <v>45252</v>
      </c>
      <c r="C238" s="1" t="n">
        <v>46194</v>
      </c>
      <c r="D238" t="inlineStr">
        <is>
          <t>JÖNKÖPINGS LÄN</t>
        </is>
      </c>
      <c r="E238" t="inlineStr">
        <is>
          <t>SÄVSJÖ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61610-2024</t>
        </is>
      </c>
      <c r="B239" s="1" t="n">
        <v>45646</v>
      </c>
      <c r="C239" s="1" t="n">
        <v>46194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39045-2024</t>
        </is>
      </c>
      <c r="B240" s="1" t="n">
        <v>45548</v>
      </c>
      <c r="C240" s="1" t="n">
        <v>46194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25118-2023</t>
        </is>
      </c>
      <c r="B241" s="1" t="n">
        <v>45086</v>
      </c>
      <c r="C241" s="1" t="n">
        <v>46194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11760-2025</t>
        </is>
      </c>
      <c r="B242" s="1" t="n">
        <v>45727</v>
      </c>
      <c r="C242" s="1" t="n">
        <v>46194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44245-2022</t>
        </is>
      </c>
      <c r="B243" s="1" t="n">
        <v>44839</v>
      </c>
      <c r="C243" s="1" t="n">
        <v>46194</v>
      </c>
      <c r="D243" t="inlineStr">
        <is>
          <t>JÖNKÖPINGS LÄN</t>
        </is>
      </c>
      <c r="E243" t="inlineStr">
        <is>
          <t>SÄVSJÖ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27014-2023</t>
        </is>
      </c>
      <c r="B244" s="1" t="n">
        <v>45094</v>
      </c>
      <c r="C244" s="1" t="n">
        <v>46194</v>
      </c>
      <c r="D244" t="inlineStr">
        <is>
          <t>JÖNKÖPINGS LÄN</t>
        </is>
      </c>
      <c r="E244" t="inlineStr">
        <is>
          <t>SÄVSJÖ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52363-2025</t>
        </is>
      </c>
      <c r="B245" s="1" t="n">
        <v>45953</v>
      </c>
      <c r="C245" s="1" t="n">
        <v>46194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52314-2025</t>
        </is>
      </c>
      <c r="B246" s="1" t="n">
        <v>45953</v>
      </c>
      <c r="C246" s="1" t="n">
        <v>46194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52857-2025</t>
        </is>
      </c>
      <c r="B247" s="1" t="n">
        <v>45954</v>
      </c>
      <c r="C247" s="1" t="n">
        <v>46194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41391-2022</t>
        </is>
      </c>
      <c r="B248" s="1" t="n">
        <v>44826</v>
      </c>
      <c r="C248" s="1" t="n">
        <v>46194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52361-2025</t>
        </is>
      </c>
      <c r="B249" s="1" t="n">
        <v>45953</v>
      </c>
      <c r="C249" s="1" t="n">
        <v>46194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27013-2023</t>
        </is>
      </c>
      <c r="B250" s="1" t="n">
        <v>45094</v>
      </c>
      <c r="C250" s="1" t="n">
        <v>46194</v>
      </c>
      <c r="D250" t="inlineStr">
        <is>
          <t>JÖNKÖPINGS LÄN</t>
        </is>
      </c>
      <c r="E250" t="inlineStr">
        <is>
          <t>SÄVSJÖ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52360-2025</t>
        </is>
      </c>
      <c r="B251" s="1" t="n">
        <v>45953</v>
      </c>
      <c r="C251" s="1" t="n">
        <v>46194</v>
      </c>
      <c r="D251" t="inlineStr">
        <is>
          <t>JÖNKÖPINGS LÄN</t>
        </is>
      </c>
      <c r="E251" t="inlineStr">
        <is>
          <t>SÄVSJÖ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26673-2026</t>
        </is>
      </c>
      <c r="B252" s="1" t="n">
        <v>46184</v>
      </c>
      <c r="C252" s="1" t="n">
        <v>46194</v>
      </c>
      <c r="D252" t="inlineStr">
        <is>
          <t>JÖNKÖPINGS LÄN</t>
        </is>
      </c>
      <c r="E252" t="inlineStr">
        <is>
          <t>SÄVSJÖ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52810-2025</t>
        </is>
      </c>
      <c r="B253" s="1" t="n">
        <v>45957</v>
      </c>
      <c r="C253" s="1" t="n">
        <v>46194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29009-2023</t>
        </is>
      </c>
      <c r="B254" s="1" t="n">
        <v>45104</v>
      </c>
      <c r="C254" s="1" t="n">
        <v>46194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53302-2025</t>
        </is>
      </c>
      <c r="B255" s="1" t="n">
        <v>45959</v>
      </c>
      <c r="C255" s="1" t="n">
        <v>46194</v>
      </c>
      <c r="D255" t="inlineStr">
        <is>
          <t>JÖNKÖPINGS LÄN</t>
        </is>
      </c>
      <c r="E255" t="inlineStr">
        <is>
          <t>SÄVSJÖ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64126-2021</t>
        </is>
      </c>
      <c r="B256" s="1" t="n">
        <v>44510</v>
      </c>
      <c r="C256" s="1" t="n">
        <v>46194</v>
      </c>
      <c r="D256" t="inlineStr">
        <is>
          <t>JÖNKÖPINGS LÄN</t>
        </is>
      </c>
      <c r="E256" t="inlineStr">
        <is>
          <t>SÄVSJÖ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53307-2025</t>
        </is>
      </c>
      <c r="B257" s="1" t="n">
        <v>45959</v>
      </c>
      <c r="C257" s="1" t="n">
        <v>46194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31788-2023</t>
        </is>
      </c>
      <c r="B258" s="1" t="n">
        <v>45118</v>
      </c>
      <c r="C258" s="1" t="n">
        <v>46194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62961-2021</t>
        </is>
      </c>
      <c r="B259" s="1" t="n">
        <v>44505</v>
      </c>
      <c r="C259" s="1" t="n">
        <v>46194</v>
      </c>
      <c r="D259" t="inlineStr">
        <is>
          <t>JÖNKÖPINGS LÄN</t>
        </is>
      </c>
      <c r="E259" t="inlineStr">
        <is>
          <t>SÄVSJÖ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54275-2025</t>
        </is>
      </c>
      <c r="B260" s="1" t="n">
        <v>45964</v>
      </c>
      <c r="C260" s="1" t="n">
        <v>46194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11263-2024</t>
        </is>
      </c>
      <c r="B261" s="1" t="n">
        <v>45371</v>
      </c>
      <c r="C261" s="1" t="n">
        <v>46194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62177-2023</t>
        </is>
      </c>
      <c r="B262" s="1" t="n">
        <v>45267</v>
      </c>
      <c r="C262" s="1" t="n">
        <v>46194</v>
      </c>
      <c r="D262" t="inlineStr">
        <is>
          <t>JÖNKÖPINGS LÄN</t>
        </is>
      </c>
      <c r="E262" t="inlineStr">
        <is>
          <t>SÄVSJÖ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54759-2025</t>
        </is>
      </c>
      <c r="B263" s="1" t="n">
        <v>45966</v>
      </c>
      <c r="C263" s="1" t="n">
        <v>46194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54883-2025</t>
        </is>
      </c>
      <c r="B264" s="1" t="n">
        <v>45967</v>
      </c>
      <c r="C264" s="1" t="n">
        <v>46194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35320-2023</t>
        </is>
      </c>
      <c r="B265" s="1" t="n">
        <v>45146</v>
      </c>
      <c r="C265" s="1" t="n">
        <v>46194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55358-2025</t>
        </is>
      </c>
      <c r="B266" s="1" t="n">
        <v>45971</v>
      </c>
      <c r="C266" s="1" t="n">
        <v>46194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29386-2025</t>
        </is>
      </c>
      <c r="B267" s="1" t="n">
        <v>45824</v>
      </c>
      <c r="C267" s="1" t="n">
        <v>46194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29716-2025</t>
        </is>
      </c>
      <c r="B268" s="1" t="n">
        <v>45825</v>
      </c>
      <c r="C268" s="1" t="n">
        <v>46194</v>
      </c>
      <c r="D268" t="inlineStr">
        <is>
          <t>JÖNKÖPINGS LÄN</t>
        </is>
      </c>
      <c r="E268" t="inlineStr">
        <is>
          <t>SÄVSJÖ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35812-2023</t>
        </is>
      </c>
      <c r="B269" s="1" t="n">
        <v>45148</v>
      </c>
      <c r="C269" s="1" t="n">
        <v>46194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19769-2025</t>
        </is>
      </c>
      <c r="B270" s="1" t="n">
        <v>45771</v>
      </c>
      <c r="C270" s="1" t="n">
        <v>46194</v>
      </c>
      <c r="D270" t="inlineStr">
        <is>
          <t>JÖNKÖPINGS LÄN</t>
        </is>
      </c>
      <c r="E270" t="inlineStr">
        <is>
          <t>SÄVSJÖ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39362-2023</t>
        </is>
      </c>
      <c r="B271" s="1" t="n">
        <v>45166</v>
      </c>
      <c r="C271" s="1" t="n">
        <v>46194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51804-2024</t>
        </is>
      </c>
      <c r="B272" s="1" t="n">
        <v>45607</v>
      </c>
      <c r="C272" s="1" t="n">
        <v>46194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51809-2024</t>
        </is>
      </c>
      <c r="B273" s="1" t="n">
        <v>45607</v>
      </c>
      <c r="C273" s="1" t="n">
        <v>46194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31023-2025</t>
        </is>
      </c>
      <c r="B274" s="1" t="n">
        <v>45832</v>
      </c>
      <c r="C274" s="1" t="n">
        <v>46194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56829-2025</t>
        </is>
      </c>
      <c r="B275" s="1" t="n">
        <v>45978</v>
      </c>
      <c r="C275" s="1" t="n">
        <v>46194</v>
      </c>
      <c r="D275" t="inlineStr">
        <is>
          <t>JÖNKÖPINGS LÄN</t>
        </is>
      </c>
      <c r="E275" t="inlineStr">
        <is>
          <t>SÄVSJÖ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31505-2025</t>
        </is>
      </c>
      <c r="B276" s="1" t="n">
        <v>45833</v>
      </c>
      <c r="C276" s="1" t="n">
        <v>46194</v>
      </c>
      <c r="D276" t="inlineStr">
        <is>
          <t>JÖNKÖPINGS LÄN</t>
        </is>
      </c>
      <c r="E276" t="inlineStr">
        <is>
          <t>SÄVSJÖ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36391-2024</t>
        </is>
      </c>
      <c r="B277" s="1" t="n">
        <v>45534</v>
      </c>
      <c r="C277" s="1" t="n">
        <v>46194</v>
      </c>
      <c r="D277" t="inlineStr">
        <is>
          <t>JÖNKÖPINGS LÄN</t>
        </is>
      </c>
      <c r="E277" t="inlineStr">
        <is>
          <t>SÄVSJÖ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56519-2025</t>
        </is>
      </c>
      <c r="B278" s="1" t="n">
        <v>45975</v>
      </c>
      <c r="C278" s="1" t="n">
        <v>46194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56453-2025</t>
        </is>
      </c>
      <c r="B279" s="1" t="n">
        <v>45975</v>
      </c>
      <c r="C279" s="1" t="n">
        <v>46194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31492-2025</t>
        </is>
      </c>
      <c r="B280" s="1" t="n">
        <v>45833</v>
      </c>
      <c r="C280" s="1" t="n">
        <v>46194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56460-2025</t>
        </is>
      </c>
      <c r="B281" s="1" t="n">
        <v>45975</v>
      </c>
      <c r="C281" s="1" t="n">
        <v>46194</v>
      </c>
      <c r="D281" t="inlineStr">
        <is>
          <t>JÖNKÖPINGS LÄN</t>
        </is>
      </c>
      <c r="E281" t="inlineStr">
        <is>
          <t>SÄVSJÖ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56456-2025</t>
        </is>
      </c>
      <c r="B282" s="1" t="n">
        <v>45975</v>
      </c>
      <c r="C282" s="1" t="n">
        <v>46194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31490-2025</t>
        </is>
      </c>
      <c r="B283" s="1" t="n">
        <v>45833</v>
      </c>
      <c r="C283" s="1" t="n">
        <v>46194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19019-2025</t>
        </is>
      </c>
      <c r="B284" s="1" t="n">
        <v>45764</v>
      </c>
      <c r="C284" s="1" t="n">
        <v>46194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17768-2023</t>
        </is>
      </c>
      <c r="B285" s="1" t="n">
        <v>45037</v>
      </c>
      <c r="C285" s="1" t="n">
        <v>46194</v>
      </c>
      <c r="D285" t="inlineStr">
        <is>
          <t>JÖNKÖPINGS LÄN</t>
        </is>
      </c>
      <c r="E285" t="inlineStr">
        <is>
          <t>SÄVSJÖ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58397-2024</t>
        </is>
      </c>
      <c r="B286" s="1" t="n">
        <v>45634</v>
      </c>
      <c r="C286" s="1" t="n">
        <v>46194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58398-2024</t>
        </is>
      </c>
      <c r="B287" s="1" t="n">
        <v>45634</v>
      </c>
      <c r="C287" s="1" t="n">
        <v>46194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26380-2024</t>
        </is>
      </c>
      <c r="B288" s="1" t="n">
        <v>45469</v>
      </c>
      <c r="C288" s="1" t="n">
        <v>46194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29013-2023</t>
        </is>
      </c>
      <c r="B289" s="1" t="n">
        <v>45104</v>
      </c>
      <c r="C289" s="1" t="n">
        <v>46194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10591-2023</t>
        </is>
      </c>
      <c r="B290" s="1" t="n">
        <v>44988</v>
      </c>
      <c r="C290" s="1" t="n">
        <v>46194</v>
      </c>
      <c r="D290" t="inlineStr">
        <is>
          <t>JÖNKÖPINGS LÄN</t>
        </is>
      </c>
      <c r="E290" t="inlineStr">
        <is>
          <t>SÄVSJÖ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32765-2025</t>
        </is>
      </c>
      <c r="B291" s="1" t="n">
        <v>45839</v>
      </c>
      <c r="C291" s="1" t="n">
        <v>46194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55801-2021</t>
        </is>
      </c>
      <c r="B292" s="1" t="n">
        <v>44476</v>
      </c>
      <c r="C292" s="1" t="n">
        <v>46194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57597-2025</t>
        </is>
      </c>
      <c r="B293" s="1" t="n">
        <v>45980</v>
      </c>
      <c r="C293" s="1" t="n">
        <v>46194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57830-2025</t>
        </is>
      </c>
      <c r="B294" s="1" t="n">
        <v>45981</v>
      </c>
      <c r="C294" s="1" t="n">
        <v>46194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57852-2025</t>
        </is>
      </c>
      <c r="B295" s="1" t="n">
        <v>45981</v>
      </c>
      <c r="C295" s="1" t="n">
        <v>46194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57810-2025</t>
        </is>
      </c>
      <c r="B296" s="1" t="n">
        <v>45981</v>
      </c>
      <c r="C296" s="1" t="n">
        <v>46194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57592-2025</t>
        </is>
      </c>
      <c r="B297" s="1" t="n">
        <v>45980</v>
      </c>
      <c r="C297" s="1" t="n">
        <v>46194</v>
      </c>
      <c r="D297" t="inlineStr">
        <is>
          <t>JÖNKÖPINGS LÄN</t>
        </is>
      </c>
      <c r="E297" t="inlineStr">
        <is>
          <t>SÄVSJÖ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58725-2025</t>
        </is>
      </c>
      <c r="B298" s="1" t="n">
        <v>45986</v>
      </c>
      <c r="C298" s="1" t="n">
        <v>46194</v>
      </c>
      <c r="D298" t="inlineStr">
        <is>
          <t>JÖNKÖPINGS LÄN</t>
        </is>
      </c>
      <c r="E298" t="inlineStr">
        <is>
          <t>SÄVSJÖ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58712-2025</t>
        </is>
      </c>
      <c r="B299" s="1" t="n">
        <v>45986</v>
      </c>
      <c r="C299" s="1" t="n">
        <v>46194</v>
      </c>
      <c r="D299" t="inlineStr">
        <is>
          <t>JÖNKÖPINGS LÄN</t>
        </is>
      </c>
      <c r="E299" t="inlineStr">
        <is>
          <t>SÄVSJÖ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59332-2025</t>
        </is>
      </c>
      <c r="B300" s="1" t="n">
        <v>45989</v>
      </c>
      <c r="C300" s="1" t="n">
        <v>46194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33154-2024</t>
        </is>
      </c>
      <c r="B301" s="1" t="n">
        <v>45518</v>
      </c>
      <c r="C301" s="1" t="n">
        <v>46194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17679-2024</t>
        </is>
      </c>
      <c r="B302" s="1" t="n">
        <v>45418</v>
      </c>
      <c r="C302" s="1" t="n">
        <v>46194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40552-2023</t>
        </is>
      </c>
      <c r="B303" s="1" t="n">
        <v>45170</v>
      </c>
      <c r="C303" s="1" t="n">
        <v>46194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51998-2024</t>
        </is>
      </c>
      <c r="B304" s="1" t="n">
        <v>45607</v>
      </c>
      <c r="C304" s="1" t="n">
        <v>46194</v>
      </c>
      <c r="D304" t="inlineStr">
        <is>
          <t>JÖNKÖPINGS LÄN</t>
        </is>
      </c>
      <c r="E304" t="inlineStr">
        <is>
          <t>SÄVSJÖ</t>
        </is>
      </c>
      <c r="F304" t="inlineStr">
        <is>
          <t>Övriga Aktiebolag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18135-2023</t>
        </is>
      </c>
      <c r="B305" s="1" t="n">
        <v>45040</v>
      </c>
      <c r="C305" s="1" t="n">
        <v>46194</v>
      </c>
      <c r="D305" t="inlineStr">
        <is>
          <t>JÖNKÖPINGS LÄN</t>
        </is>
      </c>
      <c r="E305" t="inlineStr">
        <is>
          <t>SÄVSJÖ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38333-2023</t>
        </is>
      </c>
      <c r="B306" s="1" t="n">
        <v>45161</v>
      </c>
      <c r="C306" s="1" t="n">
        <v>46194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4911-2024</t>
        </is>
      </c>
      <c r="B307" s="1" t="n">
        <v>45329</v>
      </c>
      <c r="C307" s="1" t="n">
        <v>46194</v>
      </c>
      <c r="D307" t="inlineStr">
        <is>
          <t>JÖNKÖPINGS LÄN</t>
        </is>
      </c>
      <c r="E307" t="inlineStr">
        <is>
          <t>SÄVSJÖ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54827-2021</t>
        </is>
      </c>
      <c r="B308" s="1" t="n">
        <v>44474</v>
      </c>
      <c r="C308" s="1" t="n">
        <v>46194</v>
      </c>
      <c r="D308" t="inlineStr">
        <is>
          <t>JÖNKÖPINGS LÄN</t>
        </is>
      </c>
      <c r="E308" t="inlineStr">
        <is>
          <t>SÄVSJÖ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17779-2025</t>
        </is>
      </c>
      <c r="B309" s="1" t="n">
        <v>45758</v>
      </c>
      <c r="C309" s="1" t="n">
        <v>46194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36183-2024</t>
        </is>
      </c>
      <c r="B310" s="1" t="n">
        <v>45534</v>
      </c>
      <c r="C310" s="1" t="n">
        <v>46194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60199-2025</t>
        </is>
      </c>
      <c r="B311" s="1" t="n">
        <v>45994</v>
      </c>
      <c r="C311" s="1" t="n">
        <v>46194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30162-2023</t>
        </is>
      </c>
      <c r="B312" s="1" t="n">
        <v>45110</v>
      </c>
      <c r="C312" s="1" t="n">
        <v>46194</v>
      </c>
      <c r="D312" t="inlineStr">
        <is>
          <t>JÖNKÖPINGS LÄN</t>
        </is>
      </c>
      <c r="E312" t="inlineStr">
        <is>
          <t>SÄVSJÖ</t>
        </is>
      </c>
      <c r="F312" t="inlineStr">
        <is>
          <t>Kommuner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43015-2022</t>
        </is>
      </c>
      <c r="B313" s="1" t="n">
        <v>44833</v>
      </c>
      <c r="C313" s="1" t="n">
        <v>46194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46194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8536-2024</t>
        </is>
      </c>
      <c r="B315" s="1" t="n">
        <v>45355</v>
      </c>
      <c r="C315" s="1" t="n">
        <v>46194</v>
      </c>
      <c r="D315" t="inlineStr">
        <is>
          <t>JÖNKÖPINGS LÄN</t>
        </is>
      </c>
      <c r="E315" t="inlineStr">
        <is>
          <t>SÄVSJÖ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16842-2024</t>
        </is>
      </c>
      <c r="B316" s="1" t="n">
        <v>45411</v>
      </c>
      <c r="C316" s="1" t="n">
        <v>46194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58361-2024</t>
        </is>
      </c>
      <c r="B317" s="1" t="n">
        <v>45632</v>
      </c>
      <c r="C317" s="1" t="n">
        <v>46194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58362-2024</t>
        </is>
      </c>
      <c r="B318" s="1" t="n">
        <v>45632</v>
      </c>
      <c r="C318" s="1" t="n">
        <v>46194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19935-2023</t>
        </is>
      </c>
      <c r="B319" s="1" t="n">
        <v>45054</v>
      </c>
      <c r="C319" s="1" t="n">
        <v>46194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21795-2023</t>
        </is>
      </c>
      <c r="B320" s="1" t="n">
        <v>45067</v>
      </c>
      <c r="C320" s="1" t="n">
        <v>46194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6620-2022</t>
        </is>
      </c>
      <c r="B321" s="1" t="n">
        <v>44601</v>
      </c>
      <c r="C321" s="1" t="n">
        <v>46194</v>
      </c>
      <c r="D321" t="inlineStr">
        <is>
          <t>JÖNKÖPINGS LÄN</t>
        </is>
      </c>
      <c r="E321" t="inlineStr">
        <is>
          <t>SÄVSJÖ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24798-2023</t>
        </is>
      </c>
      <c r="B322" s="1" t="n">
        <v>45084</v>
      </c>
      <c r="C322" s="1" t="n">
        <v>46194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8341-2022</t>
        </is>
      </c>
      <c r="B323" s="1" t="n">
        <v>44610</v>
      </c>
      <c r="C323" s="1" t="n">
        <v>46194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50564-2024</t>
        </is>
      </c>
      <c r="B324" s="1" t="n">
        <v>45601</v>
      </c>
      <c r="C324" s="1" t="n">
        <v>46194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64573-2023</t>
        </is>
      </c>
      <c r="B325" s="1" t="n">
        <v>45281</v>
      </c>
      <c r="C325" s="1" t="n">
        <v>46194</v>
      </c>
      <c r="D325" t="inlineStr">
        <is>
          <t>JÖNKÖPINGS LÄN</t>
        </is>
      </c>
      <c r="E325" t="inlineStr">
        <is>
          <t>SÄVSJÖ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62870-2025</t>
        </is>
      </c>
      <c r="B326" s="1" t="n">
        <v>46008</v>
      </c>
      <c r="C326" s="1" t="n">
        <v>46194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47893-2023</t>
        </is>
      </c>
      <c r="B327" s="1" t="n">
        <v>45204</v>
      </c>
      <c r="C327" s="1" t="n">
        <v>46194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11239-2024</t>
        </is>
      </c>
      <c r="B328" s="1" t="n">
        <v>45371</v>
      </c>
      <c r="C328" s="1" t="n">
        <v>46194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63352-2025</t>
        </is>
      </c>
      <c r="B329" s="1" t="n">
        <v>46010</v>
      </c>
      <c r="C329" s="1" t="n">
        <v>46194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16379-2024</t>
        </is>
      </c>
      <c r="B330" s="1" t="n">
        <v>45407</v>
      </c>
      <c r="C330" s="1" t="n">
        <v>46194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63599-2025</t>
        </is>
      </c>
      <c r="B331" s="1" t="n">
        <v>46014</v>
      </c>
      <c r="C331" s="1" t="n">
        <v>46194</v>
      </c>
      <c r="D331" t="inlineStr">
        <is>
          <t>JÖNKÖPINGS LÄN</t>
        </is>
      </c>
      <c r="E331" t="inlineStr">
        <is>
          <t>SÄVSJÖ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63668-2025</t>
        </is>
      </c>
      <c r="B332" s="1" t="n">
        <v>46014</v>
      </c>
      <c r="C332" s="1" t="n">
        <v>46194</v>
      </c>
      <c r="D332" t="inlineStr">
        <is>
          <t>JÖNKÖPINGS LÄN</t>
        </is>
      </c>
      <c r="E332" t="inlineStr">
        <is>
          <t>SÄVSJÖ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63660-2025</t>
        </is>
      </c>
      <c r="B333" s="1" t="n">
        <v>46014</v>
      </c>
      <c r="C333" s="1" t="n">
        <v>46194</v>
      </c>
      <c r="D333" t="inlineStr">
        <is>
          <t>JÖNKÖPINGS LÄN</t>
        </is>
      </c>
      <c r="E333" t="inlineStr">
        <is>
          <t>SÄVSJÖ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63633-2025</t>
        </is>
      </c>
      <c r="B334" s="1" t="n">
        <v>46014</v>
      </c>
      <c r="C334" s="1" t="n">
        <v>46194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38699-2023</t>
        </is>
      </c>
      <c r="B335" s="1" t="n">
        <v>45163</v>
      </c>
      <c r="C335" s="1" t="n">
        <v>46194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40575-2023</t>
        </is>
      </c>
      <c r="B336" s="1" t="n">
        <v>45170</v>
      </c>
      <c r="C336" s="1" t="n">
        <v>46194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46906-2023</t>
        </is>
      </c>
      <c r="B337" s="1" t="n">
        <v>45201</v>
      </c>
      <c r="C337" s="1" t="n">
        <v>46194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27897-2026</t>
        </is>
      </c>
      <c r="B338" s="1" t="n">
        <v>46191</v>
      </c>
      <c r="C338" s="1" t="n">
        <v>46194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46408-2023</t>
        </is>
      </c>
      <c r="B339" s="1" t="n">
        <v>45197</v>
      </c>
      <c r="C339" s="1" t="n">
        <v>46194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63750-2025</t>
        </is>
      </c>
      <c r="B340" s="1" t="n">
        <v>46017</v>
      </c>
      <c r="C340" s="1" t="n">
        <v>46194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63752-2025</t>
        </is>
      </c>
      <c r="B341" s="1" t="n">
        <v>46017</v>
      </c>
      <c r="C341" s="1" t="n">
        <v>46194</v>
      </c>
      <c r="D341" t="inlineStr">
        <is>
          <t>JÖNKÖPINGS LÄN</t>
        </is>
      </c>
      <c r="E341" t="inlineStr">
        <is>
          <t>SÄVSJÖ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63763-2025</t>
        </is>
      </c>
      <c r="B342" s="1" t="n">
        <v>46018</v>
      </c>
      <c r="C342" s="1" t="n">
        <v>46194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49598-2023</t>
        </is>
      </c>
      <c r="B343" s="1" t="n">
        <v>45211</v>
      </c>
      <c r="C343" s="1" t="n">
        <v>46194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51795-2022</t>
        </is>
      </c>
      <c r="B344" s="1" t="n">
        <v>44872</v>
      </c>
      <c r="C344" s="1" t="n">
        <v>46194</v>
      </c>
      <c r="D344" t="inlineStr">
        <is>
          <t>JÖNKÖPINGS LÄN</t>
        </is>
      </c>
      <c r="E344" t="inlineStr">
        <is>
          <t>SÄVSJÖ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55381-2023</t>
        </is>
      </c>
      <c r="B345" s="1" t="n">
        <v>45238</v>
      </c>
      <c r="C345" s="1" t="n">
        <v>46194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39730-2023</t>
        </is>
      </c>
      <c r="B346" s="1" t="n">
        <v>45167</v>
      </c>
      <c r="C346" s="1" t="n">
        <v>46194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7358-2025</t>
        </is>
      </c>
      <c r="B347" s="1" t="n">
        <v>45704</v>
      </c>
      <c r="C347" s="1" t="n">
        <v>46194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14880-2022</t>
        </is>
      </c>
      <c r="B348" s="1" t="n">
        <v>44656</v>
      </c>
      <c r="C348" s="1" t="n">
        <v>46194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38283-2023</t>
        </is>
      </c>
      <c r="B349" s="1" t="n">
        <v>45161</v>
      </c>
      <c r="C349" s="1" t="n">
        <v>46194</v>
      </c>
      <c r="D349" t="inlineStr">
        <is>
          <t>JÖNKÖPINGS LÄN</t>
        </is>
      </c>
      <c r="E349" t="inlineStr">
        <is>
          <t>SÄVSJÖ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5724-2025</t>
        </is>
      </c>
      <c r="B350" s="1" t="n">
        <v>45694</v>
      </c>
      <c r="C350" s="1" t="n">
        <v>46194</v>
      </c>
      <c r="D350" t="inlineStr">
        <is>
          <t>JÖNKÖPINGS LÄN</t>
        </is>
      </c>
      <c r="E350" t="inlineStr">
        <is>
          <t>SÄVSJÖ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27890-2026</t>
        </is>
      </c>
      <c r="B351" s="1" t="n">
        <v>46191</v>
      </c>
      <c r="C351" s="1" t="n">
        <v>46194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55482-2023</t>
        </is>
      </c>
      <c r="B352" s="1" t="n">
        <v>45238</v>
      </c>
      <c r="C352" s="1" t="n">
        <v>46194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19856-2024</t>
        </is>
      </c>
      <c r="B353" s="1" t="n">
        <v>45433</v>
      </c>
      <c r="C353" s="1" t="n">
        <v>46194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55012-2023</t>
        </is>
      </c>
      <c r="B354" s="1" t="n">
        <v>45237</v>
      </c>
      <c r="C354" s="1" t="n">
        <v>46194</v>
      </c>
      <c r="D354" t="inlineStr">
        <is>
          <t>JÖNKÖPINGS LÄN</t>
        </is>
      </c>
      <c r="E354" t="inlineStr">
        <is>
          <t>SÄVSJÖ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14159-2022</t>
        </is>
      </c>
      <c r="B355" s="1" t="n">
        <v>44651</v>
      </c>
      <c r="C355" s="1" t="n">
        <v>46194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49406-2023</t>
        </is>
      </c>
      <c r="B356" s="1" t="n">
        <v>45211</v>
      </c>
      <c r="C356" s="1" t="n">
        <v>46194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54547-2023</t>
        </is>
      </c>
      <c r="B357" s="1" t="n">
        <v>45226</v>
      </c>
      <c r="C357" s="1" t="n">
        <v>46194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20576-2025</t>
        </is>
      </c>
      <c r="B358" s="1" t="n">
        <v>45775</v>
      </c>
      <c r="C358" s="1" t="n">
        <v>46194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2868-2024</t>
        </is>
      </c>
      <c r="B359" s="1" t="n">
        <v>45315</v>
      </c>
      <c r="C359" s="1" t="n">
        <v>46194</v>
      </c>
      <c r="D359" t="inlineStr">
        <is>
          <t>JÖNKÖPINGS LÄN</t>
        </is>
      </c>
      <c r="E359" t="inlineStr">
        <is>
          <t>SÄVSJÖ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46194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1201-2024</t>
        </is>
      </c>
      <c r="B361" s="1" t="n">
        <v>45302</v>
      </c>
      <c r="C361" s="1" t="n">
        <v>46194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8716-2026</t>
        </is>
      </c>
      <c r="B362" s="1" t="n">
        <v>46066</v>
      </c>
      <c r="C362" s="1" t="n">
        <v>46194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8720-2026</t>
        </is>
      </c>
      <c r="B363" s="1" t="n">
        <v>46066</v>
      </c>
      <c r="C363" s="1" t="n">
        <v>46194</v>
      </c>
      <c r="D363" t="inlineStr">
        <is>
          <t>JÖNKÖPINGS LÄN</t>
        </is>
      </c>
      <c r="E363" t="inlineStr">
        <is>
          <t>SÄVSJÖ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8723-2026</t>
        </is>
      </c>
      <c r="B364" s="1" t="n">
        <v>46066</v>
      </c>
      <c r="C364" s="1" t="n">
        <v>46194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55039-2023</t>
        </is>
      </c>
      <c r="B365" s="1" t="n">
        <v>45237</v>
      </c>
      <c r="C365" s="1" t="n">
        <v>46194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907-2024</t>
        </is>
      </c>
      <c r="B366" s="1" t="n">
        <v>45301</v>
      </c>
      <c r="C366" s="1" t="n">
        <v>46194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9643-2026</t>
        </is>
      </c>
      <c r="B367" s="1" t="n">
        <v>46070</v>
      </c>
      <c r="C367" s="1" t="n">
        <v>46194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9645-2026</t>
        </is>
      </c>
      <c r="B368" s="1" t="n">
        <v>46070</v>
      </c>
      <c r="C368" s="1" t="n">
        <v>46194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35843-2024</t>
        </is>
      </c>
      <c r="B369" s="1" t="n">
        <v>45532</v>
      </c>
      <c r="C369" s="1" t="n">
        <v>46194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910-2024</t>
        </is>
      </c>
      <c r="B370" s="1" t="n">
        <v>45301</v>
      </c>
      <c r="C370" s="1" t="n">
        <v>46194</v>
      </c>
      <c r="D370" t="inlineStr">
        <is>
          <t>JÖNKÖPINGS LÄN</t>
        </is>
      </c>
      <c r="E370" t="inlineStr">
        <is>
          <t>SÄVSJÖ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63679-2023</t>
        </is>
      </c>
      <c r="B371" s="1" t="n">
        <v>45275</v>
      </c>
      <c r="C371" s="1" t="n">
        <v>46194</v>
      </c>
      <c r="D371" t="inlineStr">
        <is>
          <t>JÖNKÖPINGS LÄN</t>
        </is>
      </c>
      <c r="E371" t="inlineStr">
        <is>
          <t>SÄVSJÖ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3599-2024</t>
        </is>
      </c>
      <c r="B372" s="1" t="n">
        <v>45320</v>
      </c>
      <c r="C372" s="1" t="n">
        <v>46194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59054-2023</t>
        </is>
      </c>
      <c r="B373" s="1" t="n">
        <v>45252</v>
      </c>
      <c r="C373" s="1" t="n">
        <v>46194</v>
      </c>
      <c r="D373" t="inlineStr">
        <is>
          <t>JÖNKÖPINGS LÄN</t>
        </is>
      </c>
      <c r="E373" t="inlineStr">
        <is>
          <t>SÄVSJÖ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38914-2024</t>
        </is>
      </c>
      <c r="B374" s="1" t="n">
        <v>45547</v>
      </c>
      <c r="C374" s="1" t="n">
        <v>46194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43976-2022</t>
        </is>
      </c>
      <c r="B375" s="1" t="n">
        <v>44838</v>
      </c>
      <c r="C375" s="1" t="n">
        <v>46194</v>
      </c>
      <c r="D375" t="inlineStr">
        <is>
          <t>JÖNKÖPINGS LÄN</t>
        </is>
      </c>
      <c r="E375" t="inlineStr">
        <is>
          <t>SÄVSJÖ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55909-2024</t>
        </is>
      </c>
      <c r="B376" s="1" t="n">
        <v>45623</v>
      </c>
      <c r="C376" s="1" t="n">
        <v>46194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12242-2026</t>
        </is>
      </c>
      <c r="B377" s="1" t="n">
        <v>46087</v>
      </c>
      <c r="C377" s="1" t="n">
        <v>46194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36393-2024</t>
        </is>
      </c>
      <c r="B378" s="1" t="n">
        <v>45534</v>
      </c>
      <c r="C378" s="1" t="n">
        <v>46194</v>
      </c>
      <c r="D378" t="inlineStr">
        <is>
          <t>JÖNKÖPINGS LÄN</t>
        </is>
      </c>
      <c r="E378" t="inlineStr">
        <is>
          <t>SÄVSJÖ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14045-2023</t>
        </is>
      </c>
      <c r="B379" s="1" t="n">
        <v>45008</v>
      </c>
      <c r="C379" s="1" t="n">
        <v>46194</v>
      </c>
      <c r="D379" t="inlineStr">
        <is>
          <t>JÖNKÖPINGS LÄN</t>
        </is>
      </c>
      <c r="E379" t="inlineStr">
        <is>
          <t>SÄVSJÖ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13693-2026</t>
        </is>
      </c>
      <c r="B380" s="1" t="n">
        <v>46097</v>
      </c>
      <c r="C380" s="1" t="n">
        <v>46194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4030-2023</t>
        </is>
      </c>
      <c r="B381" s="1" t="n">
        <v>44952</v>
      </c>
      <c r="C381" s="1" t="n">
        <v>46194</v>
      </c>
      <c r="D381" t="inlineStr">
        <is>
          <t>JÖNKÖPINGS LÄN</t>
        </is>
      </c>
      <c r="E381" t="inlineStr">
        <is>
          <t>SÄVSJÖ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14062-2026</t>
        </is>
      </c>
      <c r="B382" s="1" t="n">
        <v>46099</v>
      </c>
      <c r="C382" s="1" t="n">
        <v>46194</v>
      </c>
      <c r="D382" t="inlineStr">
        <is>
          <t>JÖNKÖPINGS LÄN</t>
        </is>
      </c>
      <c r="E382" t="inlineStr">
        <is>
          <t>SÄVSJÖ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14778-2026</t>
        </is>
      </c>
      <c r="B383" s="1" t="n">
        <v>46101</v>
      </c>
      <c r="C383" s="1" t="n">
        <v>46194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14779-2026</t>
        </is>
      </c>
      <c r="B384" s="1" t="n">
        <v>46101</v>
      </c>
      <c r="C384" s="1" t="n">
        <v>46194</v>
      </c>
      <c r="D384" t="inlineStr">
        <is>
          <t>JÖNKÖPINGS LÄN</t>
        </is>
      </c>
      <c r="E384" t="inlineStr">
        <is>
          <t>SÄVSJÖ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14620-2026</t>
        </is>
      </c>
      <c r="B385" s="1" t="n">
        <v>46101</v>
      </c>
      <c r="C385" s="1" t="n">
        <v>46194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15991-2026</t>
        </is>
      </c>
      <c r="B386" s="1" t="n">
        <v>46108</v>
      </c>
      <c r="C386" s="1" t="n">
        <v>46194</v>
      </c>
      <c r="D386" t="inlineStr">
        <is>
          <t>JÖNKÖPINGS LÄN</t>
        </is>
      </c>
      <c r="E386" t="inlineStr">
        <is>
          <t>SÄVSJÖ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16736-2026</t>
        </is>
      </c>
      <c r="B387" s="1" t="n">
        <v>46113</v>
      </c>
      <c r="C387" s="1" t="n">
        <v>46194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23776-2026</t>
        </is>
      </c>
      <c r="B388" s="1" t="n">
        <v>46164</v>
      </c>
      <c r="C388" s="1" t="n">
        <v>46194</v>
      </c>
      <c r="D388" t="inlineStr">
        <is>
          <t>JÖNKÖPINGS LÄN</t>
        </is>
      </c>
      <c r="E388" t="inlineStr">
        <is>
          <t>SÄVSJÖ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18045-2026</t>
        </is>
      </c>
      <c r="B389" s="1" t="n">
        <v>46125</v>
      </c>
      <c r="C389" s="1" t="n">
        <v>46194</v>
      </c>
      <c r="D389" t="inlineStr">
        <is>
          <t>JÖNKÖPINGS LÄN</t>
        </is>
      </c>
      <c r="E389" t="inlineStr">
        <is>
          <t>SÄVSJÖ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18089-2026</t>
        </is>
      </c>
      <c r="B390" s="1" t="n">
        <v>46125</v>
      </c>
      <c r="C390" s="1" t="n">
        <v>46194</v>
      </c>
      <c r="D390" t="inlineStr">
        <is>
          <t>JÖNKÖPINGS LÄN</t>
        </is>
      </c>
      <c r="E390" t="inlineStr">
        <is>
          <t>SÄVSJÖ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18174-2026</t>
        </is>
      </c>
      <c r="B391" s="1" t="n">
        <v>46125</v>
      </c>
      <c r="C391" s="1" t="n">
        <v>46194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23816-2026</t>
        </is>
      </c>
      <c r="B392" s="1" t="n">
        <v>46165</v>
      </c>
      <c r="C392" s="1" t="n">
        <v>46194</v>
      </c>
      <c r="D392" t="inlineStr">
        <is>
          <t>JÖNKÖPINGS LÄN</t>
        </is>
      </c>
      <c r="E392" t="inlineStr">
        <is>
          <t>SÄVSJÖ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24232-2026</t>
        </is>
      </c>
      <c r="B393" s="1" t="n">
        <v>46168</v>
      </c>
      <c r="C393" s="1" t="n">
        <v>46194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37545-2025</t>
        </is>
      </c>
      <c r="B394" s="1" t="n">
        <v>45879</v>
      </c>
      <c r="C394" s="1" t="n">
        <v>46194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57851-2023</t>
        </is>
      </c>
      <c r="B395" s="1" t="n">
        <v>45247</v>
      </c>
      <c r="C395" s="1" t="n">
        <v>46194</v>
      </c>
      <c r="D395" t="inlineStr">
        <is>
          <t>JÖNKÖPINGS LÄN</t>
        </is>
      </c>
      <c r="E395" t="inlineStr">
        <is>
          <t>SÄVSJÖ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58487-2025</t>
        </is>
      </c>
      <c r="B396" s="1" t="n">
        <v>45985</v>
      </c>
      <c r="C396" s="1" t="n">
        <v>46194</v>
      </c>
      <c r="D396" t="inlineStr">
        <is>
          <t>JÖNKÖPINGS LÄN</t>
        </is>
      </c>
      <c r="E396" t="inlineStr">
        <is>
          <t>SÄVSJÖ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61556-2025</t>
        </is>
      </c>
      <c r="B397" s="1" t="n">
        <v>46001</v>
      </c>
      <c r="C397" s="1" t="n">
        <v>46194</v>
      </c>
      <c r="D397" t="inlineStr">
        <is>
          <t>JÖNKÖPINGS LÄN</t>
        </is>
      </c>
      <c r="E397" t="inlineStr">
        <is>
          <t>SÄVSJÖ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22066-2025</t>
        </is>
      </c>
      <c r="B398" s="1" t="n">
        <v>45785</v>
      </c>
      <c r="C398" s="1" t="n">
        <v>46194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2026-06-21T00:45:52Z</dcterms:created>
  <dcterms:modified xmlns:dcterms="http://purl.org/dc/terms/" xmlns:xsi="http://www.w3.org/2001/XMLSchema-instance" xsi:type="dcterms:W3CDTF">2026-06-21T00:45:52Z</dcterms:modified>
</cp:coreProperties>
</file>