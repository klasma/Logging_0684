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46250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46250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46250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46250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46250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46250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46250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46250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46250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51095-2023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45218</v>
      </c>
      <c r="E12" s="1" t="n">
        <v>46250</v>
      </c>
      <c r="F12" t="inlineStr">
        <is>
          <t>JÖNKÖPINGS LÄN</t>
        </is>
      </c>
      <c r="G12" t="inlineStr">
        <is>
          <t>SÄVSJÖ</t>
        </is>
      </c>
      <c r="I12" t="n">
        <v>3.6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Korallrot</t>
        </is>
      </c>
      <c r="W12">
        <f>HYPERLINK("https://klasma.github.io/Logging_0684/artfynd/A 51095-2023 artfynd.xlsx", "A 51095-2023")</f>
        <v/>
      </c>
      <c r="X12">
        <f>HYPERLINK("https://klasma.github.io/Logging_0684/kartor/A 51095-2023 karta.png", "A 51095-2023")</f>
        <v/>
      </c>
      <c r="Y12">
        <f>HYPERLINK("https://klasma.github.io/Logging_0684/kartor_geotiff/A 51095-2023 georefererad karta.tif", "A 51095-2023")</f>
        <v/>
      </c>
      <c r="AA12">
        <f>HYPERLINK("https://klasma.github.io/Logging_0684/klagomål/A 51095-2023 FSC-klagomål.docx", "A 51095-2023")</f>
        <v/>
      </c>
      <c r="AB12">
        <f>HYPERLINK("https://klasma.github.io/Logging_0684/klagomålsmail/A 51095-2023 FSC-klagomål mail.docx", "A 51095-2023")</f>
        <v/>
      </c>
      <c r="AC12">
        <f>HYPERLINK("https://klasma.github.io/Logging_0684/tillsyn/A 51095-2023 tillsynsbegäran.docx", "A 51095-2023")</f>
        <v/>
      </c>
      <c r="AD12">
        <f>HYPERLINK("https://klasma.github.io/Logging_0684/tillsynsmail/A 51095-2023 tillsynsbegäran mail.docx", "A 51095-2023")</f>
        <v/>
      </c>
    </row>
    <row r="13" ht="15" customHeight="1">
      <c r="A13" t="inlineStr">
        <is>
          <t>A 8198-2024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46250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Småfruktigt blågryn</t>
        </is>
      </c>
      <c r="W13">
        <f>HYPERLINK("https://klasma.github.io/Logging_0684/artfynd/A 8198-2024 artfynd.xlsx", "A 8198-2024")</f>
        <v/>
      </c>
      <c r="X13">
        <f>HYPERLINK("https://klasma.github.io/Logging_0684/kartor/A 8198-2024 karta.png", "A 8198-2024")</f>
        <v/>
      </c>
      <c r="Y13">
        <f>HYPERLINK("https://klasma.github.io/Logging_0684/kartor_geotiff/A 8198-2024 georefererad karta.tif", "A 8198-2024")</f>
        <v/>
      </c>
      <c r="AA13">
        <f>HYPERLINK("https://klasma.github.io/Logging_0684/klagomål/A 8198-2024 FSC-klagomål.docx", "A 8198-2024")</f>
        <v/>
      </c>
      <c r="AB13">
        <f>HYPERLINK("https://klasma.github.io/Logging_0684/klagomålsmail/A 8198-2024 FSC-klagomål mail.docx", "A 8198-2024")</f>
        <v/>
      </c>
      <c r="AC13">
        <f>HYPERLINK("https://klasma.github.io/Logging_0684/tillsyn/A 8198-2024 tillsynsbegäran.docx", "A 8198-2024")</f>
        <v/>
      </c>
      <c r="AD13">
        <f>HYPERLINK("https://klasma.github.io/Logging_0684/tillsynsmail/A 8198-2024 tillsynsbegäran mail.docx", "A 8198-2024")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46250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46250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46250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46250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46250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46250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46250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46250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46250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46250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46250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46250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46250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46250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46250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46250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46250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46250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46250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46250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46250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46250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46250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46250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46250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46250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46250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46250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46250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46250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46250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46250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46250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46250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46250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46250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46250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46250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46250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46250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46250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46250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46250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46250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46250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46250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46250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46250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46250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46250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46250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49449-2023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45211</v>
      </c>
      <c r="E65" s="1" t="n">
        <v>46250</v>
      </c>
      <c r="F65" t="inlineStr">
        <is>
          <t>JÖNKÖPINGS LÄN</t>
        </is>
      </c>
      <c r="G65" t="inlineStr">
        <is>
          <t>SÄVSJÖ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46250</v>
      </c>
      <c r="F66" t="inlineStr">
        <is>
          <t>JÖNKÖPINGS LÄN</t>
        </is>
      </c>
      <c r="G66" t="inlineStr">
        <is>
          <t>SÄVSJÖ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46250</v>
      </c>
      <c r="F67" t="inlineStr">
        <is>
          <t>JÖNKÖPINGS LÄN</t>
        </is>
      </c>
      <c r="G67" t="inlineStr">
        <is>
          <t>SÄVSJÖ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46250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46250</v>
      </c>
      <c r="F69" t="inlineStr">
        <is>
          <t>JÖNKÖPINGS LÄN</t>
        </is>
      </c>
      <c r="G69" t="inlineStr">
        <is>
          <t>SÄVSJÖ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46250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46250</v>
      </c>
      <c r="F71" t="inlineStr">
        <is>
          <t>JÖNKÖPINGS LÄN</t>
        </is>
      </c>
      <c r="G71" t="inlineStr">
        <is>
          <t>SÄVSJÖ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22222-2024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46250</v>
      </c>
      <c r="F72" t="inlineStr">
        <is>
          <t>JÖNKÖPINGS LÄN</t>
        </is>
      </c>
      <c r="G72" t="inlineStr">
        <is>
          <t>SÄVSJÖ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46250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45454</v>
      </c>
      <c r="E74" s="1" t="n">
        <v>46250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46250</v>
      </c>
      <c r="F75" t="inlineStr">
        <is>
          <t>JÖNKÖPINGS LÄN</t>
        </is>
      </c>
      <c r="G75" t="inlineStr">
        <is>
          <t>SÄVSJÖ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46250</v>
      </c>
      <c r="F76" t="inlineStr">
        <is>
          <t>JÖNKÖPINGS LÄN</t>
        </is>
      </c>
      <c r="G76" t="inlineStr">
        <is>
          <t>SÄVSJÖ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46250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45226</v>
      </c>
      <c r="E78" s="1" t="n">
        <v>46250</v>
      </c>
      <c r="F78" t="inlineStr">
        <is>
          <t>JÖNKÖPINGS LÄN</t>
        </is>
      </c>
      <c r="G78" t="inlineStr">
        <is>
          <t>SÄVSJÖ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46250</v>
      </c>
      <c r="F79" t="inlineStr">
        <is>
          <t>JÖNKÖPINGS LÄN</t>
        </is>
      </c>
      <c r="G79" t="inlineStr">
        <is>
          <t>SÄVSJÖ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46250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46250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46250</v>
      </c>
      <c r="F82" t="inlineStr">
        <is>
          <t>JÖNKÖPINGS LÄN</t>
        </is>
      </c>
      <c r="G82" t="inlineStr">
        <is>
          <t>SÄVSJÖ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44798</v>
      </c>
      <c r="E83" s="1" t="n">
        <v>46250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46250</v>
      </c>
      <c r="F84" t="inlineStr">
        <is>
          <t>JÖNKÖPINGS LÄN</t>
        </is>
      </c>
      <c r="G84" t="inlineStr">
        <is>
          <t>SÄVSJÖ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46250</v>
      </c>
      <c r="F85" t="inlineStr">
        <is>
          <t>JÖNKÖPINGS LÄN</t>
        </is>
      </c>
      <c r="G85" t="inlineStr">
        <is>
          <t>SÄVSJÖ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46250</v>
      </c>
      <c r="F86" t="inlineStr">
        <is>
          <t>JÖNKÖPINGS LÄN</t>
        </is>
      </c>
      <c r="G86" t="inlineStr">
        <is>
          <t>SÄVSJÖ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46250</v>
      </c>
      <c r="F87" t="inlineStr">
        <is>
          <t>JÖNKÖPINGS LÄN</t>
        </is>
      </c>
      <c r="G87" t="inlineStr">
        <is>
          <t>SÄVSJÖ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30162-2023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45110</v>
      </c>
      <c r="E88" s="1" t="n">
        <v>46250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46250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46250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46250</v>
      </c>
      <c r="F91" t="inlineStr">
        <is>
          <t>JÖNKÖPINGS LÄN</t>
        </is>
      </c>
      <c r="G91" t="inlineStr">
        <is>
          <t>SÄVSJÖ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46250</v>
      </c>
      <c r="F92" t="inlineStr">
        <is>
          <t>JÖNKÖPINGS LÄN</t>
        </is>
      </c>
      <c r="G92" t="inlineStr">
        <is>
          <t>SÄVSJÖ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45460</v>
      </c>
      <c r="E93" s="1" t="n">
        <v>46250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46250</v>
      </c>
      <c r="F94" t="inlineStr">
        <is>
          <t>JÖNKÖPINGS LÄN</t>
        </is>
      </c>
      <c r="G94" t="inlineStr">
        <is>
          <t>SÄVSJÖ</t>
        </is>
      </c>
      <c r="H94" t="inlineStr">
        <is>
          <t>Kyrkan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46250</v>
      </c>
      <c r="F95" t="inlineStr">
        <is>
          <t>JÖNKÖPINGS LÄN</t>
        </is>
      </c>
      <c r="G95" t="inlineStr">
        <is>
          <t>SÄVSJÖ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45669</v>
      </c>
      <c r="E96" s="1" t="n">
        <v>46250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46250</v>
      </c>
      <c r="F97" t="inlineStr">
        <is>
          <t>JÖNKÖPINGS LÄN</t>
        </is>
      </c>
      <c r="G97" t="inlineStr">
        <is>
          <t>SÄVSJÖ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46250</v>
      </c>
      <c r="F98" t="inlineStr">
        <is>
          <t>JÖNKÖPINGS LÄN</t>
        </is>
      </c>
      <c r="G98" t="inlineStr">
        <is>
          <t>SÄVSJÖ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46250</v>
      </c>
      <c r="F99" t="inlineStr">
        <is>
          <t>JÖNKÖPINGS LÄN</t>
        </is>
      </c>
      <c r="G99" t="inlineStr">
        <is>
          <t>SÄVSJÖ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46250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46250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45338</v>
      </c>
      <c r="E102" s="1" t="n">
        <v>46250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46250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46250</v>
      </c>
      <c r="F104" t="inlineStr">
        <is>
          <t>JÖNKÖPINGS LÄN</t>
        </is>
      </c>
      <c r="G104" t="inlineStr">
        <is>
          <t>SÄVSJÖ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44951</v>
      </c>
      <c r="E105" s="1" t="n">
        <v>46250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46250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44972</v>
      </c>
      <c r="E107" s="1" t="n">
        <v>46250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46250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46250</v>
      </c>
      <c r="F109" t="inlineStr">
        <is>
          <t>JÖNKÖPINGS LÄN</t>
        </is>
      </c>
      <c r="G109" t="inlineStr">
        <is>
          <t>SÄVSJÖ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46250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46250</v>
      </c>
      <c r="F111" t="inlineStr">
        <is>
          <t>JÖNKÖPINGS LÄN</t>
        </is>
      </c>
      <c r="G111" t="inlineStr">
        <is>
          <t>SÄVSJÖ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46250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46250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46250</v>
      </c>
      <c r="F114" t="inlineStr">
        <is>
          <t>JÖNKÖPINGS LÄN</t>
        </is>
      </c>
      <c r="G114" t="inlineStr">
        <is>
          <t>SÄVSJÖ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46250</v>
      </c>
      <c r="F115" t="inlineStr">
        <is>
          <t>JÖNKÖPINGS LÄN</t>
        </is>
      </c>
      <c r="G115" t="inlineStr">
        <is>
          <t>SÄVSJÖ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46087</v>
      </c>
      <c r="E116" s="1" t="n">
        <v>46250</v>
      </c>
      <c r="F116" t="inlineStr">
        <is>
          <t>JÖNKÖPINGS LÄN</t>
        </is>
      </c>
      <c r="G116" t="inlineStr">
        <is>
          <t>SÄVSJÖ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46250</v>
      </c>
      <c r="F117" t="inlineStr">
        <is>
          <t>JÖNKÖPINGS LÄN</t>
        </is>
      </c>
      <c r="G117" t="inlineStr">
        <is>
          <t>SÄVSJÖ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46250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46250</v>
      </c>
      <c r="F119" t="inlineStr">
        <is>
          <t>JÖNKÖPINGS LÄN</t>
        </is>
      </c>
      <c r="G119" t="inlineStr">
        <is>
          <t>SÄVSJÖ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45301</v>
      </c>
      <c r="E120" s="1" t="n">
        <v>46250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46250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45532</v>
      </c>
      <c r="E122" s="1" t="n">
        <v>46250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45301</v>
      </c>
      <c r="E123" s="1" t="n">
        <v>46250</v>
      </c>
      <c r="F123" t="inlineStr">
        <is>
          <t>JÖNKÖPINGS LÄN</t>
        </is>
      </c>
      <c r="G123" t="inlineStr">
        <is>
          <t>SÄVSJÖ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46250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46250</v>
      </c>
      <c r="F125" t="inlineStr">
        <is>
          <t>JÖNKÖPINGS LÄN</t>
        </is>
      </c>
      <c r="G125" t="inlineStr">
        <is>
          <t>SÄVSJÖ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46250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33220-2023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45127</v>
      </c>
      <c r="E127" s="1" t="n">
        <v>46250</v>
      </c>
      <c r="F127" t="inlineStr">
        <is>
          <t>JÖNKÖPINGS LÄN</t>
        </is>
      </c>
      <c r="G127" t="inlineStr">
        <is>
          <t>SÄVSJÖ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46250</v>
      </c>
      <c r="F128" t="inlineStr">
        <is>
          <t>JÖNKÖPINGS LÄN</t>
        </is>
      </c>
      <c r="G128" t="inlineStr">
        <is>
          <t>SÄVSJÖ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46250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46250</v>
      </c>
      <c r="F130" t="inlineStr">
        <is>
          <t>JÖNKÖPINGS LÄN</t>
        </is>
      </c>
      <c r="G130" t="inlineStr">
        <is>
          <t>SÄVSJÖ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44590</v>
      </c>
      <c r="E131" s="1" t="n">
        <v>46250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46250</v>
      </c>
      <c r="F132" t="inlineStr">
        <is>
          <t>JÖNKÖPINGS LÄN</t>
        </is>
      </c>
      <c r="G132" t="inlineStr">
        <is>
          <t>SÄVSJÖ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52363-2025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45953</v>
      </c>
      <c r="E133" s="1" t="n">
        <v>46250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46250</v>
      </c>
      <c r="F134" t="inlineStr">
        <is>
          <t>JÖNKÖPINGS LÄN</t>
        </is>
      </c>
      <c r="G134" t="inlineStr">
        <is>
          <t>SÄVSJÖ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46250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46250</v>
      </c>
      <c r="F136" t="inlineStr">
        <is>
          <t>JÖNKÖPINGS LÄN</t>
        </is>
      </c>
      <c r="G136" t="inlineStr">
        <is>
          <t>SÄVSJÖ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46250</v>
      </c>
      <c r="F137" t="inlineStr">
        <is>
          <t>JÖNKÖPINGS LÄN</t>
        </is>
      </c>
      <c r="G137" t="inlineStr">
        <is>
          <t>SÄVSJÖ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46250</v>
      </c>
      <c r="F138" t="inlineStr">
        <is>
          <t>JÖNKÖPINGS LÄN</t>
        </is>
      </c>
      <c r="G138" t="inlineStr">
        <is>
          <t>SÄVSJÖ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46250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46250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46250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46250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46250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46250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46250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38914-2024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45547</v>
      </c>
      <c r="E146" s="1" t="n">
        <v>46250</v>
      </c>
      <c r="F146" t="inlineStr">
        <is>
          <t>JÖNKÖPINGS LÄN</t>
        </is>
      </c>
      <c r="G146" t="inlineStr">
        <is>
          <t>SÄVSJÖ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46250</v>
      </c>
      <c r="F147" t="inlineStr">
        <is>
          <t>JÖNKÖPINGS LÄN</t>
        </is>
      </c>
      <c r="G147" t="inlineStr">
        <is>
          <t>SÄVSJÖ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46250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46250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44447</v>
      </c>
      <c r="E150" s="1" t="n">
        <v>46250</v>
      </c>
      <c r="F150" t="inlineStr">
        <is>
          <t>JÖNKÖPINGS LÄN</t>
        </is>
      </c>
      <c r="G150" t="inlineStr">
        <is>
          <t>SÄVSJÖ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46250</v>
      </c>
      <c r="F151" t="inlineStr">
        <is>
          <t>JÖNKÖPINGS LÄN</t>
        </is>
      </c>
      <c r="G151" t="inlineStr">
        <is>
          <t>SÄVSJÖ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46250</v>
      </c>
      <c r="F152" t="inlineStr">
        <is>
          <t>JÖNKÖPINGS LÄN</t>
        </is>
      </c>
      <c r="G152" t="inlineStr">
        <is>
          <t>SÄVSJÖ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46250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46250</v>
      </c>
      <c r="F154" t="inlineStr">
        <is>
          <t>JÖNKÖPINGS LÄN</t>
        </is>
      </c>
      <c r="G154" t="inlineStr">
        <is>
          <t>SÄVSJÖ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45623</v>
      </c>
      <c r="E155" s="1" t="n">
        <v>46250</v>
      </c>
      <c r="F155" t="inlineStr">
        <is>
          <t>JÖNKÖPINGS LÄN</t>
        </is>
      </c>
      <c r="G155" t="inlineStr">
        <is>
          <t>SÄVSJÖ</t>
        </is>
      </c>
      <c r="H155" t="inlineStr">
        <is>
          <t>Kommuner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45964</v>
      </c>
      <c r="E156" s="1" t="n">
        <v>46250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46250</v>
      </c>
      <c r="F157" t="inlineStr">
        <is>
          <t>JÖNKÖPINGS LÄN</t>
        </is>
      </c>
      <c r="G157" t="inlineStr">
        <is>
          <t>SÄVSJÖ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46250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46250</v>
      </c>
      <c r="F159" t="inlineStr">
        <is>
          <t>JÖNKÖPINGS LÄN</t>
        </is>
      </c>
      <c r="G159" t="inlineStr">
        <is>
          <t>SÄVSJÖ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46250</v>
      </c>
      <c r="F160" t="inlineStr">
        <is>
          <t>JÖNKÖPINGS LÄN</t>
        </is>
      </c>
      <c r="G160" t="inlineStr">
        <is>
          <t>SÄVSJÖ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46250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46250</v>
      </c>
      <c r="F162" t="inlineStr">
        <is>
          <t>JÖNKÖPINGS LÄN</t>
        </is>
      </c>
      <c r="G162" t="inlineStr">
        <is>
          <t>SÄVSJÖ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46250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46250</v>
      </c>
      <c r="F164" t="inlineStr">
        <is>
          <t>JÖNKÖPINGS LÄN</t>
        </is>
      </c>
      <c r="G164" t="inlineStr">
        <is>
          <t>SÄVSJÖ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46250</v>
      </c>
      <c r="F165" t="inlineStr">
        <is>
          <t>JÖNKÖPINGS LÄN</t>
        </is>
      </c>
      <c r="G165" t="inlineStr">
        <is>
          <t>SÄVSJÖ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45008</v>
      </c>
      <c r="E166" s="1" t="n">
        <v>46250</v>
      </c>
      <c r="F166" t="inlineStr">
        <is>
          <t>JÖNKÖPINGS LÄN</t>
        </is>
      </c>
      <c r="G166" t="inlineStr">
        <is>
          <t>SÄVSJÖ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46250</v>
      </c>
      <c r="F167" t="inlineStr">
        <is>
          <t>JÖNKÖPINGS LÄN</t>
        </is>
      </c>
      <c r="G167" t="inlineStr">
        <is>
          <t>SÄVSJÖ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46250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46250</v>
      </c>
      <c r="F169" t="inlineStr">
        <is>
          <t>JÖNKÖPINGS LÄN</t>
        </is>
      </c>
      <c r="G169" t="inlineStr">
        <is>
          <t>SÄVSJÖ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46250</v>
      </c>
      <c r="F170" t="inlineStr">
        <is>
          <t>JÖNKÖPINGS LÄN</t>
        </is>
      </c>
      <c r="G170" t="inlineStr">
        <is>
          <t>SÄVSJÖ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46250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46250</v>
      </c>
      <c r="F172" t="inlineStr">
        <is>
          <t>JÖNKÖPINGS LÄN</t>
        </is>
      </c>
      <c r="G172" t="inlineStr">
        <is>
          <t>SÄVSJÖ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46250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46250</v>
      </c>
      <c r="F174" t="inlineStr">
        <is>
          <t>JÖNKÖPINGS LÄN</t>
        </is>
      </c>
      <c r="G174" t="inlineStr">
        <is>
          <t>SÄVSJÖ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46250</v>
      </c>
      <c r="F175" t="inlineStr">
        <is>
          <t>JÖNKÖPINGS LÄN</t>
        </is>
      </c>
      <c r="G175" t="inlineStr">
        <is>
          <t>SÄVSJÖ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46250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46250</v>
      </c>
      <c r="F177" t="inlineStr">
        <is>
          <t>JÖNKÖPINGS LÄN</t>
        </is>
      </c>
      <c r="G177" t="inlineStr">
        <is>
          <t>SÄVSJÖ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46250</v>
      </c>
      <c r="F178" t="inlineStr">
        <is>
          <t>JÖNKÖPINGS LÄN</t>
        </is>
      </c>
      <c r="G178" t="inlineStr">
        <is>
          <t>SÄVSJÖ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46250</v>
      </c>
      <c r="F179" t="inlineStr">
        <is>
          <t>JÖNKÖPINGS LÄN</t>
        </is>
      </c>
      <c r="G179" t="inlineStr">
        <is>
          <t>SÄVSJÖ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46250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46250</v>
      </c>
      <c r="F181" t="inlineStr">
        <is>
          <t>JÖNKÖPINGS LÄN</t>
        </is>
      </c>
      <c r="G181" t="inlineStr">
        <is>
          <t>SÄVSJÖ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46250</v>
      </c>
      <c r="F182" t="inlineStr">
        <is>
          <t>JÖNKÖPINGS LÄN</t>
        </is>
      </c>
      <c r="G182" t="inlineStr">
        <is>
          <t>SÄVSJÖ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46250</v>
      </c>
      <c r="F183" t="inlineStr">
        <is>
          <t>JÖNKÖPINGS LÄN</t>
        </is>
      </c>
      <c r="G183" t="inlineStr">
        <is>
          <t>SÄVSJÖ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46250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46250</v>
      </c>
      <c r="F185" t="inlineStr">
        <is>
          <t>JÖNKÖPINGS LÄN</t>
        </is>
      </c>
      <c r="G185" t="inlineStr">
        <is>
          <t>SÄVSJÖ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46250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60331-2025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45993</v>
      </c>
      <c r="E187" s="1" t="n">
        <v>46250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46250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46250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44970</v>
      </c>
      <c r="E190" s="1" t="n">
        <v>46250</v>
      </c>
      <c r="F190" t="inlineStr">
        <is>
          <t>JÖNKÖPINGS LÄN</t>
        </is>
      </c>
      <c r="G190" t="inlineStr">
        <is>
          <t>SÄVSJÖ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46250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45261</v>
      </c>
      <c r="E192" s="1" t="n">
        <v>46250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62870-2025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46008</v>
      </c>
      <c r="E193" s="1" t="n">
        <v>46250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46250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46250</v>
      </c>
      <c r="F195" t="inlineStr">
        <is>
          <t>JÖNKÖPINGS LÄN</t>
        </is>
      </c>
      <c r="G195" t="inlineStr">
        <is>
          <t>SÄVSJÖ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46250</v>
      </c>
      <c r="F196" t="inlineStr">
        <is>
          <t>JÖNKÖPINGS LÄN</t>
        </is>
      </c>
      <c r="G196" t="inlineStr">
        <is>
          <t>SÄVSJÖ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46250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46250</v>
      </c>
      <c r="F198" t="inlineStr">
        <is>
          <t>JÖNKÖPINGS LÄN</t>
        </is>
      </c>
      <c r="G198" t="inlineStr">
        <is>
          <t>SÄVSJÖ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45879</v>
      </c>
      <c r="E199" s="1" t="n">
        <v>46250</v>
      </c>
      <c r="F199" t="inlineStr">
        <is>
          <t>JÖNKÖPINGS LÄN</t>
        </is>
      </c>
      <c r="G199" t="inlineStr">
        <is>
          <t>SÄVSJÖ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46250</v>
      </c>
      <c r="F200" t="inlineStr">
        <is>
          <t>JÖNKÖPINGS LÄN</t>
        </is>
      </c>
      <c r="G200" t="inlineStr">
        <is>
          <t>SÄVSJÖ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46250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46017</v>
      </c>
      <c r="E202" s="1" t="n">
        <v>46250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46017</v>
      </c>
      <c r="E203" s="1" t="n">
        <v>46250</v>
      </c>
      <c r="F203" t="inlineStr">
        <is>
          <t>JÖNKÖPINGS LÄN</t>
        </is>
      </c>
      <c r="G203" t="inlineStr">
        <is>
          <t>SÄVSJÖ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46250</v>
      </c>
      <c r="F204" t="inlineStr">
        <is>
          <t>JÖNKÖPINGS LÄN</t>
        </is>
      </c>
      <c r="G204" t="inlineStr">
        <is>
          <t>SÄVSJÖ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46250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46250</v>
      </c>
      <c r="F206" t="inlineStr">
        <is>
          <t>JÖNKÖPINGS LÄN</t>
        </is>
      </c>
      <c r="G206" t="inlineStr">
        <is>
          <t>SÄVSJÖ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46250</v>
      </c>
      <c r="F207" t="inlineStr">
        <is>
          <t>JÖNKÖPINGS LÄN</t>
        </is>
      </c>
      <c r="G207" t="inlineStr">
        <is>
          <t>SÄVSJÖ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46250</v>
      </c>
      <c r="F208" t="inlineStr">
        <is>
          <t>JÖNKÖPINGS LÄN</t>
        </is>
      </c>
      <c r="G208" t="inlineStr">
        <is>
          <t>SÄVSJÖ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44426</v>
      </c>
      <c r="E209" s="1" t="n">
        <v>46250</v>
      </c>
      <c r="F209" t="inlineStr">
        <is>
          <t>JÖNKÖPINGS LÄN</t>
        </is>
      </c>
      <c r="G209" t="inlineStr">
        <is>
          <t>SÄVSJÖ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46250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62421-2023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45268</v>
      </c>
      <c r="E211" s="1" t="n">
        <v>46250</v>
      </c>
      <c r="F211" t="inlineStr">
        <is>
          <t>JÖNKÖPINGS LÄN</t>
        </is>
      </c>
      <c r="G211" t="inlineStr">
        <is>
          <t>SÄVSJÖ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46250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46250</v>
      </c>
      <c r="F213" t="inlineStr">
        <is>
          <t>JÖNKÖPINGS LÄN</t>
        </is>
      </c>
      <c r="G213" t="inlineStr">
        <is>
          <t>SÄVSJÖ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49292-2023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45210</v>
      </c>
      <c r="E214" s="1" t="n">
        <v>46250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45067</v>
      </c>
      <c r="E215" s="1" t="n">
        <v>46250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46250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46250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46250</v>
      </c>
      <c r="F218" t="inlineStr">
        <is>
          <t>JÖNKÖPINGS LÄN</t>
        </is>
      </c>
      <c r="G218" t="inlineStr">
        <is>
          <t>SÄVSJÖ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46250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44995</v>
      </c>
      <c r="E220" s="1" t="n">
        <v>46250</v>
      </c>
      <c r="F220" t="inlineStr">
        <is>
          <t>JÖNKÖPINGS LÄN</t>
        </is>
      </c>
      <c r="G220" t="inlineStr">
        <is>
          <t>SÄVSJÖ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46250</v>
      </c>
      <c r="F221" t="inlineStr">
        <is>
          <t>JÖNKÖPINGS LÄN</t>
        </is>
      </c>
      <c r="G221" t="inlineStr">
        <is>
          <t>SÄVSJÖ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45053</v>
      </c>
      <c r="E222" s="1" t="n">
        <v>46250</v>
      </c>
      <c r="F222" t="inlineStr">
        <is>
          <t>JÖNKÖPINGS LÄN</t>
        </is>
      </c>
      <c r="G222" t="inlineStr">
        <is>
          <t>SÄVSJÖ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46250</v>
      </c>
      <c r="F223" t="inlineStr">
        <is>
          <t>JÖNKÖPINGS LÄN</t>
        </is>
      </c>
      <c r="G223" t="inlineStr">
        <is>
          <t>SÄVSJÖ</t>
        </is>
      </c>
      <c r="I223" t="n">
        <v>19.9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45274</v>
      </c>
      <c r="E224" s="1" t="n">
        <v>46250</v>
      </c>
      <c r="F224" t="inlineStr">
        <is>
          <t>JÖNKÖPINGS LÄN</t>
        </is>
      </c>
      <c r="G224" t="inlineStr">
        <is>
          <t>SÄVSJÖ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46250</v>
      </c>
      <c r="F225" t="inlineStr">
        <is>
          <t>JÖNKÖPINGS LÄN</t>
        </is>
      </c>
      <c r="G225" t="inlineStr">
        <is>
          <t>SÄVSJÖ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46250</v>
      </c>
      <c r="F226" t="inlineStr">
        <is>
          <t>JÖNKÖPINGS LÄN</t>
        </is>
      </c>
      <c r="G226" t="inlineStr">
        <is>
          <t>SÄVSJÖ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45768</v>
      </c>
      <c r="E227" s="1" t="n">
        <v>46250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46250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46250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50627-2022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44866</v>
      </c>
      <c r="E230" s="1" t="n">
        <v>46250</v>
      </c>
      <c r="F230" t="inlineStr">
        <is>
          <t>JÖNKÖPINGS LÄN</t>
        </is>
      </c>
      <c r="G230" t="inlineStr">
        <is>
          <t>SÄVSJÖ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46250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46250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46250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46250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46250</v>
      </c>
      <c r="F235" t="inlineStr">
        <is>
          <t>JÖNKÖPINGS LÄN</t>
        </is>
      </c>
      <c r="G235" t="inlineStr">
        <is>
          <t>SÄVSJÖ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46250</v>
      </c>
      <c r="F236" t="inlineStr">
        <is>
          <t>JÖNKÖPINGS LÄN</t>
        </is>
      </c>
      <c r="G236" t="inlineStr">
        <is>
          <t>SÄVSJÖ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46250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46250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46250</v>
      </c>
      <c r="F239" t="inlineStr">
        <is>
          <t>JÖNKÖPINGS LÄN</t>
        </is>
      </c>
      <c r="G239" t="inlineStr">
        <is>
          <t>SÄVSJÖ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46250</v>
      </c>
      <c r="F240" t="inlineStr">
        <is>
          <t>JÖNKÖPINGS LÄN</t>
        </is>
      </c>
      <c r="G240" t="inlineStr">
        <is>
          <t>SÄVSJÖ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46250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46250</v>
      </c>
      <c r="F242" t="inlineStr">
        <is>
          <t>JÖNKÖPINGS LÄN</t>
        </is>
      </c>
      <c r="G242" t="inlineStr">
        <is>
          <t>SÄVSJÖ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46250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46250</v>
      </c>
      <c r="F244" t="inlineStr">
        <is>
          <t>JÖNKÖPINGS LÄN</t>
        </is>
      </c>
      <c r="G244" t="inlineStr">
        <is>
          <t>SÄVSJÖ</t>
        </is>
      </c>
      <c r="H244" t="inlineStr">
        <is>
          <t>Kyrkan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46250</v>
      </c>
      <c r="F245" t="inlineStr">
        <is>
          <t>JÖNKÖPINGS LÄN</t>
        </is>
      </c>
      <c r="G245" t="inlineStr">
        <is>
          <t>SÄVSJÖ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46250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46250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45102</v>
      </c>
      <c r="E248" s="1" t="n">
        <v>46250</v>
      </c>
      <c r="F248" t="inlineStr">
        <is>
          <t>JÖNKÖPINGS LÄN</t>
        </is>
      </c>
      <c r="G248" t="inlineStr">
        <is>
          <t>SÄVSJÖ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45066</v>
      </c>
      <c r="E249" s="1" t="n">
        <v>46250</v>
      </c>
      <c r="F249" t="inlineStr">
        <is>
          <t>JÖNKÖPINGS LÄN</t>
        </is>
      </c>
      <c r="G249" t="inlineStr">
        <is>
          <t>SÄVSJÖ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46307-2021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44442</v>
      </c>
      <c r="E250" s="1" t="n">
        <v>46250</v>
      </c>
      <c r="F250" t="inlineStr">
        <is>
          <t>JÖNKÖPINGS LÄN</t>
        </is>
      </c>
      <c r="G250" t="inlineStr">
        <is>
          <t>SÄVSJÖ</t>
        </is>
      </c>
      <c r="H250" t="inlineStr">
        <is>
          <t>Kommuner</t>
        </is>
      </c>
      <c r="I250" t="n">
        <v>25.6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50629-2022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44866</v>
      </c>
      <c r="E251" s="1" t="n">
        <v>46250</v>
      </c>
      <c r="F251" t="inlineStr">
        <is>
          <t>JÖNKÖPINGS LÄN</t>
        </is>
      </c>
      <c r="G251" t="inlineStr">
        <is>
          <t>SÄVSJÖ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46250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12807-2022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44642</v>
      </c>
      <c r="E253" s="1" t="n">
        <v>46250</v>
      </c>
      <c r="F253" t="inlineStr">
        <is>
          <t>JÖNKÖPINGS LÄN</t>
        </is>
      </c>
      <c r="G253" t="inlineStr">
        <is>
          <t>SÄVSJÖ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46250</v>
      </c>
      <c r="F254" t="inlineStr">
        <is>
          <t>JÖNKÖPINGS LÄN</t>
        </is>
      </c>
      <c r="G254" t="inlineStr">
        <is>
          <t>SÄVSJÖ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45228</v>
      </c>
      <c r="E255" s="1" t="n">
        <v>46250</v>
      </c>
      <c r="F255" t="inlineStr">
        <is>
          <t>JÖNKÖPINGS LÄN</t>
        </is>
      </c>
      <c r="G255" t="inlineStr">
        <is>
          <t>SÄVSJÖ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45366</v>
      </c>
      <c r="E256" s="1" t="n">
        <v>46250</v>
      </c>
      <c r="F256" t="inlineStr">
        <is>
          <t>JÖNKÖPINGS LÄN</t>
        </is>
      </c>
      <c r="G256" t="inlineStr">
        <is>
          <t>SÄVSJÖ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46250</v>
      </c>
      <c r="F257" t="inlineStr">
        <is>
          <t>JÖNKÖPINGS LÄN</t>
        </is>
      </c>
      <c r="G257" t="inlineStr">
        <is>
          <t>SÄVSJÖ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46250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46250</v>
      </c>
      <c r="F259" t="inlineStr">
        <is>
          <t>JÖNKÖPINGS LÄN</t>
        </is>
      </c>
      <c r="G259" t="inlineStr">
        <is>
          <t>SÄVSJÖ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46250</v>
      </c>
      <c r="F260" t="inlineStr">
        <is>
          <t>JÖNKÖPINGS LÄN</t>
        </is>
      </c>
      <c r="G260" t="inlineStr">
        <is>
          <t>SÄVSJÖ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46250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46250</v>
      </c>
      <c r="F262" t="inlineStr">
        <is>
          <t>JÖNKÖPINGS LÄN</t>
        </is>
      </c>
      <c r="G262" t="inlineStr">
        <is>
          <t>SÄVSJÖ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46250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46250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45094</v>
      </c>
      <c r="E265" s="1" t="n">
        <v>46250</v>
      </c>
      <c r="F265" t="inlineStr">
        <is>
          <t>JÖNKÖPINGS LÄN</t>
        </is>
      </c>
      <c r="G265" t="inlineStr">
        <is>
          <t>SÄVSJÖ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46250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44826</v>
      </c>
      <c r="E267" s="1" t="n">
        <v>46250</v>
      </c>
      <c r="F267" t="inlineStr">
        <is>
          <t>JÖNKÖPINGS LÄN</t>
        </is>
      </c>
      <c r="G267" t="inlineStr">
        <is>
          <t>SÄVSJÖ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45094</v>
      </c>
      <c r="E268" s="1" t="n">
        <v>46250</v>
      </c>
      <c r="F268" t="inlineStr">
        <is>
          <t>JÖNKÖPINGS LÄN</t>
        </is>
      </c>
      <c r="G268" t="inlineStr">
        <is>
          <t>SÄVSJÖ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45104</v>
      </c>
      <c r="E269" s="1" t="n">
        <v>46250</v>
      </c>
      <c r="F269" t="inlineStr">
        <is>
          <t>JÖNKÖPINGS LÄN</t>
        </is>
      </c>
      <c r="G269" t="inlineStr">
        <is>
          <t>SÄVSJÖ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46250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64126-2021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44510</v>
      </c>
      <c r="E271" s="1" t="n">
        <v>46250</v>
      </c>
      <c r="F271" t="inlineStr">
        <is>
          <t>JÖNKÖPINGS LÄN</t>
        </is>
      </c>
      <c r="G271" t="inlineStr">
        <is>
          <t>SÄVSJÖ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46250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46250</v>
      </c>
      <c r="F273" t="inlineStr">
        <is>
          <t>JÖNKÖPINGS LÄN</t>
        </is>
      </c>
      <c r="G273" t="inlineStr">
        <is>
          <t>SÄVSJÖ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46250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46250</v>
      </c>
      <c r="F275" t="inlineStr">
        <is>
          <t>JÖNKÖPINGS LÄN</t>
        </is>
      </c>
      <c r="G275" t="inlineStr">
        <is>
          <t>SÄVSJÖ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46250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62961-2021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44505</v>
      </c>
      <c r="E277" s="1" t="n">
        <v>46250</v>
      </c>
      <c r="F277" t="inlineStr">
        <is>
          <t>JÖNKÖPINGS LÄN</t>
        </is>
      </c>
      <c r="G277" t="inlineStr">
        <is>
          <t>SÄVSJÖ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46250</v>
      </c>
      <c r="F278" t="inlineStr">
        <is>
          <t>JÖNKÖPINGS LÄN</t>
        </is>
      </c>
      <c r="G278" t="inlineStr">
        <is>
          <t>SÄVSJÖ</t>
        </is>
      </c>
      <c r="H278" t="inlineStr">
        <is>
          <t>Kyrkan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45755</v>
      </c>
      <c r="E279" s="1" t="n">
        <v>46250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46250</v>
      </c>
      <c r="F280" t="inlineStr">
        <is>
          <t>JÖNKÖPINGS LÄN</t>
        </is>
      </c>
      <c r="G280" t="inlineStr">
        <is>
          <t>SÄVSJÖ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46250</v>
      </c>
      <c r="F281" t="inlineStr">
        <is>
          <t>JÖNKÖPINGS LÄN</t>
        </is>
      </c>
      <c r="G281" t="inlineStr">
        <is>
          <t>SÄVSJÖ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46250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46250</v>
      </c>
      <c r="F283" t="inlineStr">
        <is>
          <t>JÖNKÖPINGS LÄN</t>
        </is>
      </c>
      <c r="G283" t="inlineStr">
        <is>
          <t>SÄVSJÖ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7917-2024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45350</v>
      </c>
      <c r="E284" s="1" t="n">
        <v>46250</v>
      </c>
      <c r="F284" t="inlineStr">
        <is>
          <t>JÖNKÖPINGS LÄN</t>
        </is>
      </c>
      <c r="G284" t="inlineStr">
        <is>
          <t>SÄVSJÖ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46250</v>
      </c>
      <c r="F285" t="inlineStr">
        <is>
          <t>JÖNKÖPINGS LÄN</t>
        </is>
      </c>
      <c r="G285" t="inlineStr">
        <is>
          <t>SÄVSJÖ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46250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45694</v>
      </c>
      <c r="E287" s="1" t="n">
        <v>46250</v>
      </c>
      <c r="F287" t="inlineStr">
        <is>
          <t>JÖNKÖPINGS LÄN</t>
        </is>
      </c>
      <c r="G287" t="inlineStr">
        <is>
          <t>SÄVSJÖ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46250</v>
      </c>
      <c r="F288" t="inlineStr">
        <is>
          <t>JÖNKÖPINGS LÄN</t>
        </is>
      </c>
      <c r="G288" t="inlineStr">
        <is>
          <t>SÄVSJÖ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46250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46250</v>
      </c>
      <c r="F290" t="inlineStr">
        <is>
          <t>JÖNKÖPINGS LÄN</t>
        </is>
      </c>
      <c r="G290" t="inlineStr">
        <is>
          <t>SÄVSJÖ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46250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46250</v>
      </c>
      <c r="F292" t="inlineStr">
        <is>
          <t>JÖNKÖPINGS LÄN</t>
        </is>
      </c>
      <c r="G292" t="inlineStr">
        <is>
          <t>SÄVSJÖ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46250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46250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46250</v>
      </c>
      <c r="F295" t="inlineStr">
        <is>
          <t>JÖNKÖPINGS LÄN</t>
        </is>
      </c>
      <c r="G295" t="inlineStr">
        <is>
          <t>SÄVSJÖ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46250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46250</v>
      </c>
      <c r="F297" t="inlineStr">
        <is>
          <t>JÖNKÖPINGS LÄN</t>
        </is>
      </c>
      <c r="G297" t="inlineStr">
        <is>
          <t>SÄVSJÖ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45534</v>
      </c>
      <c r="E298" s="1" t="n">
        <v>46250</v>
      </c>
      <c r="F298" t="inlineStr">
        <is>
          <t>JÖNKÖPINGS LÄN</t>
        </is>
      </c>
      <c r="G298" t="inlineStr">
        <is>
          <t>SÄVSJÖ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46250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46250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23816-2026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46165</v>
      </c>
      <c r="E301" s="1" t="n">
        <v>46250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45725</v>
      </c>
      <c r="E302" s="1" t="n">
        <v>46250</v>
      </c>
      <c r="F302" t="inlineStr">
        <is>
          <t>JÖNKÖPINGS LÄN</t>
        </is>
      </c>
      <c r="G302" t="inlineStr">
        <is>
          <t>SÄVSJÖ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45037</v>
      </c>
      <c r="E303" s="1" t="n">
        <v>46250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45634</v>
      </c>
      <c r="E304" s="1" t="n">
        <v>46250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45634</v>
      </c>
      <c r="E305" s="1" t="n">
        <v>46250</v>
      </c>
      <c r="F305" t="inlineStr">
        <is>
          <t>JÖNKÖPINGS LÄN</t>
        </is>
      </c>
      <c r="G305" t="inlineStr">
        <is>
          <t>SÄVSJÖ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46250</v>
      </c>
      <c r="F306" t="inlineStr">
        <is>
          <t>JÖNKÖPINGS LÄN</t>
        </is>
      </c>
      <c r="G306" t="inlineStr">
        <is>
          <t>SÄVSJÖ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46250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45573</v>
      </c>
      <c r="E308" s="1" t="n">
        <v>46250</v>
      </c>
      <c r="F308" t="inlineStr">
        <is>
          <t>JÖNKÖPINGS LÄN</t>
        </is>
      </c>
      <c r="G308" t="inlineStr">
        <is>
          <t>SÄVSJÖ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45104</v>
      </c>
      <c r="E309" s="1" t="n">
        <v>46250</v>
      </c>
      <c r="F309" t="inlineStr">
        <is>
          <t>JÖNKÖPINGS LÄN</t>
        </is>
      </c>
      <c r="G309" t="inlineStr">
        <is>
          <t>SÄVSJÖ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46250</v>
      </c>
      <c r="F310" t="inlineStr">
        <is>
          <t>JÖNKÖPINGS LÄN</t>
        </is>
      </c>
      <c r="G310" t="inlineStr">
        <is>
          <t>SÄVSJÖ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55801-2021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44476</v>
      </c>
      <c r="E311" s="1" t="n">
        <v>46250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60805-2024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45644</v>
      </c>
      <c r="E312" s="1" t="n">
        <v>46250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45414</v>
      </c>
      <c r="E313" s="1" t="n">
        <v>46250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46250</v>
      </c>
      <c r="F314" t="inlineStr">
        <is>
          <t>JÖNKÖPINGS LÄN</t>
        </is>
      </c>
      <c r="G314" t="inlineStr">
        <is>
          <t>SÄVSJÖ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46250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46250</v>
      </c>
      <c r="F316" t="inlineStr">
        <is>
          <t>JÖNKÖPINGS LÄN</t>
        </is>
      </c>
      <c r="G316" t="inlineStr">
        <is>
          <t>SÄVSJÖ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46250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45518</v>
      </c>
      <c r="E318" s="1" t="n">
        <v>46250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46250</v>
      </c>
      <c r="F319" t="inlineStr">
        <is>
          <t>JÖNKÖPINGS LÄN</t>
        </is>
      </c>
      <c r="G319" t="inlineStr">
        <is>
          <t>SÄVSJÖ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46250</v>
      </c>
      <c r="F320" t="inlineStr">
        <is>
          <t>JÖNKÖPINGS LÄN</t>
        </is>
      </c>
      <c r="G320" t="inlineStr">
        <is>
          <t>SÄVSJÖ</t>
        </is>
      </c>
      <c r="H320" t="inlineStr">
        <is>
          <t>Övriga Aktiebolag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45040</v>
      </c>
      <c r="E321" s="1" t="n">
        <v>46250</v>
      </c>
      <c r="F321" t="inlineStr">
        <is>
          <t>JÖNKÖPINGS LÄN</t>
        </is>
      </c>
      <c r="G321" t="inlineStr">
        <is>
          <t>SÄVSJÖ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46250</v>
      </c>
      <c r="F322" t="inlineStr">
        <is>
          <t>JÖNKÖPINGS LÄN</t>
        </is>
      </c>
      <c r="G322" t="inlineStr">
        <is>
          <t>SÄVSJÖ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45733</v>
      </c>
      <c r="E323" s="1" t="n">
        <v>46250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46250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46250</v>
      </c>
      <c r="F325" t="inlineStr">
        <is>
          <t>JÖNKÖPINGS LÄN</t>
        </is>
      </c>
      <c r="G325" t="inlineStr">
        <is>
          <t>SÄVSJÖ</t>
        </is>
      </c>
      <c r="H325" t="inlineStr">
        <is>
          <t>Kyrkan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46250</v>
      </c>
      <c r="F326" t="inlineStr">
        <is>
          <t>JÖNKÖPINGS LÄN</t>
        </is>
      </c>
      <c r="G326" t="inlineStr">
        <is>
          <t>SÄVSJÖ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45355</v>
      </c>
      <c r="E327" s="1" t="n">
        <v>46250</v>
      </c>
      <c r="F327" t="inlineStr">
        <is>
          <t>JÖNKÖPINGS LÄN</t>
        </is>
      </c>
      <c r="G327" t="inlineStr">
        <is>
          <t>SÄVSJÖ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46250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46250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46250</v>
      </c>
      <c r="F330" t="inlineStr">
        <is>
          <t>JÖNKÖPINGS LÄN</t>
        </is>
      </c>
      <c r="G330" t="inlineStr">
        <is>
          <t>SÄVSJÖ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46250</v>
      </c>
      <c r="F331" t="inlineStr">
        <is>
          <t>JÖNKÖPINGS LÄN</t>
        </is>
      </c>
      <c r="G331" t="inlineStr">
        <is>
          <t>SÄVSJÖ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46250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46250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46250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45067</v>
      </c>
      <c r="E335" s="1" t="n">
        <v>46250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6620-2022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44601</v>
      </c>
      <c r="E336" s="1" t="n">
        <v>46250</v>
      </c>
      <c r="F336" t="inlineStr">
        <is>
          <t>JÖNKÖPINGS LÄN</t>
        </is>
      </c>
      <c r="G336" t="inlineStr">
        <is>
          <t>SÄVSJÖ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45084</v>
      </c>
      <c r="E337" s="1" t="n">
        <v>46250</v>
      </c>
      <c r="F337" t="inlineStr">
        <is>
          <t>JÖNKÖPINGS LÄN</t>
        </is>
      </c>
      <c r="G337" t="inlineStr">
        <is>
          <t>SÄVSJÖ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44610</v>
      </c>
      <c r="E338" s="1" t="n">
        <v>46250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45601</v>
      </c>
      <c r="E339" s="1" t="n">
        <v>46250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64573-2023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45281</v>
      </c>
      <c r="E340" s="1" t="n">
        <v>46250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46250</v>
      </c>
      <c r="F341" t="inlineStr">
        <is>
          <t>JÖNKÖPINGS LÄN</t>
        </is>
      </c>
      <c r="G341" t="inlineStr">
        <is>
          <t>SÄVSJÖ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46250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46250</v>
      </c>
      <c r="F343" t="inlineStr">
        <is>
          <t>JÖNKÖPINGS LÄN</t>
        </is>
      </c>
      <c r="G343" t="inlineStr">
        <is>
          <t>SÄVSJÖ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45163</v>
      </c>
      <c r="E344" s="1" t="n">
        <v>46250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46250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31721-2026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46226</v>
      </c>
      <c r="E346" s="1" t="n">
        <v>46250</v>
      </c>
      <c r="F346" t="inlineStr">
        <is>
          <t>JÖNKÖPINGS LÄN</t>
        </is>
      </c>
      <c r="G346" t="inlineStr">
        <is>
          <t>SÄVSJÖ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46250</v>
      </c>
      <c r="F347" t="inlineStr">
        <is>
          <t>JÖNKÖPINGS LÄN</t>
        </is>
      </c>
      <c r="G347" t="inlineStr">
        <is>
          <t>SÄVSJÖ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46408-2023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46250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46250</v>
      </c>
      <c r="F349" t="inlineStr">
        <is>
          <t>JÖNKÖPINGS LÄN</t>
        </is>
      </c>
      <c r="G349" t="inlineStr">
        <is>
          <t>SÄVSJÖ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46250</v>
      </c>
      <c r="F350" t="inlineStr">
        <is>
          <t>JÖNKÖPINGS LÄN</t>
        </is>
      </c>
      <c r="G350" t="inlineStr">
        <is>
          <t>SÄVSJÖ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46250</v>
      </c>
      <c r="F351" t="inlineStr">
        <is>
          <t>JÖNKÖPINGS LÄN</t>
        </is>
      </c>
      <c r="G351" t="inlineStr">
        <is>
          <t>SÄVSJÖ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46250</v>
      </c>
      <c r="F352" t="inlineStr">
        <is>
          <t>JÖNKÖPINGS LÄN</t>
        </is>
      </c>
      <c r="G352" t="inlineStr">
        <is>
          <t>SÄVSJÖ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46250</v>
      </c>
      <c r="F353" t="inlineStr">
        <is>
          <t>JÖNKÖPINGS LÄN</t>
        </is>
      </c>
      <c r="G353" t="inlineStr">
        <is>
          <t>SÄVSJÖ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46250</v>
      </c>
      <c r="F354" t="inlineStr">
        <is>
          <t>JÖNKÖPINGS LÄN</t>
        </is>
      </c>
      <c r="G354" t="inlineStr">
        <is>
          <t>SÄVSJÖ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46250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46250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46250</v>
      </c>
      <c r="F357" t="inlineStr">
        <is>
          <t>JÖNKÖPINGS LÄN</t>
        </is>
      </c>
      <c r="G357" t="inlineStr">
        <is>
          <t>SÄVSJÖ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31505-2025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45833</v>
      </c>
      <c r="E358" s="1" t="n">
        <v>46250</v>
      </c>
      <c r="F358" t="inlineStr">
        <is>
          <t>JÖNKÖPINGS LÄN</t>
        </is>
      </c>
      <c r="G358" t="inlineStr">
        <is>
          <t>SÄVSJÖ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45704</v>
      </c>
      <c r="E359" s="1" t="n">
        <v>46250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44656</v>
      </c>
      <c r="E360" s="1" t="n">
        <v>46250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46250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46250</v>
      </c>
      <c r="F362" t="inlineStr">
        <is>
          <t>JÖNKÖPINGS LÄN</t>
        </is>
      </c>
      <c r="G362" t="inlineStr">
        <is>
          <t>SÄVSJÖ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46250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46250</v>
      </c>
      <c r="F364" t="inlineStr">
        <is>
          <t>JÖNKÖPINGS LÄN</t>
        </is>
      </c>
      <c r="G364" t="inlineStr">
        <is>
          <t>SÄVSJÖ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46250</v>
      </c>
      <c r="F365" t="inlineStr">
        <is>
          <t>JÖNKÖPINGS LÄN</t>
        </is>
      </c>
      <c r="G365" t="inlineStr">
        <is>
          <t>SÄVSJÖ</t>
        </is>
      </c>
      <c r="I365" t="n">
        <v>9.800000000000001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46250</v>
      </c>
      <c r="F366" t="inlineStr">
        <is>
          <t>JÖNKÖPINGS LÄN</t>
        </is>
      </c>
      <c r="G366" t="inlineStr">
        <is>
          <t>SÄVSJÖ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45839</v>
      </c>
      <c r="E367" s="1" t="n">
        <v>46250</v>
      </c>
      <c r="F367" t="inlineStr">
        <is>
          <t>JÖNKÖPINGS LÄN</t>
        </is>
      </c>
      <c r="G367" t="inlineStr">
        <is>
          <t>SÄVSJÖ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46250</v>
      </c>
      <c r="F368" t="inlineStr">
        <is>
          <t>JÖNKÖPINGS LÄN</t>
        </is>
      </c>
      <c r="G368" t="inlineStr">
        <is>
          <t>SÄVSJÖ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46250</v>
      </c>
      <c r="F369" t="inlineStr">
        <is>
          <t>JÖNKÖPINGS LÄN</t>
        </is>
      </c>
      <c r="G369" t="inlineStr">
        <is>
          <t>SÄVSJÖ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46250</v>
      </c>
      <c r="F370" t="inlineStr">
        <is>
          <t>JÖNKÖPINGS LÄN</t>
        </is>
      </c>
      <c r="G370" t="inlineStr">
        <is>
          <t>SÄVSJÖ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45329</v>
      </c>
      <c r="E371" s="1" t="n">
        <v>46250</v>
      </c>
      <c r="F371" t="inlineStr">
        <is>
          <t>JÖNKÖPINGS LÄN</t>
        </is>
      </c>
      <c r="G371" t="inlineStr">
        <is>
          <t>SÄVSJÖ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54827-2021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44474</v>
      </c>
      <c r="E372" s="1" t="n">
        <v>46250</v>
      </c>
      <c r="F372" t="inlineStr">
        <is>
          <t>JÖNKÖPINGS LÄN</t>
        </is>
      </c>
      <c r="G372" t="inlineStr">
        <is>
          <t>SÄVSJÖ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30162-2023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45110</v>
      </c>
      <c r="E373" s="1" t="n">
        <v>46250</v>
      </c>
      <c r="F373" t="inlineStr">
        <is>
          <t>JÖNKÖPINGS LÄN</t>
        </is>
      </c>
      <c r="G373" t="inlineStr">
        <is>
          <t>SÄVSJÖ</t>
        </is>
      </c>
      <c r="H373" t="inlineStr">
        <is>
          <t>Kommuner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43015-2022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44833</v>
      </c>
      <c r="E374" s="1" t="n">
        <v>46250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10445-2021</t>
        </is>
      </c>
      <c r="B375" t="inlineStr">
        <is>
          <t>samrådsanmälan</t>
        </is>
      </c>
      <c r="C375" t="inlineStr">
        <is>
          <t>Skogsbilväg</t>
        </is>
      </c>
      <c r="D375" s="1" t="n">
        <v>44558</v>
      </c>
      <c r="E375" s="1" t="n">
        <v>46250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46250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46250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46250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46250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46250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46250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46250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46250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46250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46250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46250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46250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46250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46250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46250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46250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46250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46250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46250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46250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46250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46250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46250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46250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46250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46250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46250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46250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46250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2026-08-16T01:48:22Z</dcterms:created>
  <dcterms:modified xmlns:dcterms="http://purl.org/dc/terms/" xmlns:xsi="http://www.w3.org/2001/XMLSchema-instance" xsi:type="dcterms:W3CDTF">2026-08-16T01:48:22Z</dcterms:modified>
</cp:coreProperties>
</file>