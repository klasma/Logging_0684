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46283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46283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46283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46283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46283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46283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11797-2026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46085</v>
      </c>
      <c r="E9" s="1" t="n">
        <v>46283</v>
      </c>
      <c r="F9" t="inlineStr">
        <is>
          <t>JÖNKÖPINGS LÄN</t>
        </is>
      </c>
      <c r="G9" t="inlineStr">
        <is>
          <t>SÄVSJÖ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HYPERLINK("https://klasma.github.io/Logging_0684/artfynd/A 11797-2026 artfynd.xlsx", "A 11797-2026")</f>
        <v/>
      </c>
      <c r="X9">
        <f>HYPERLINK("https://klasma.github.io/Logging_0684/kartor/A 11797-2026 karta.png", "A 11797-2026")</f>
        <v/>
      </c>
      <c r="Y9">
        <f>HYPERLINK("https://klasma.github.io/Logging_0684/kartor_geotiff/A 11797-2026 georefererad karta.tif", "A 11797-2026")</f>
        <v/>
      </c>
      <c r="AA9">
        <f>HYPERLINK("https://klasma.github.io/Logging_0684/klagomål/A 11797-2026 FSC-klagomål.docx", "A 11797-2026")</f>
        <v/>
      </c>
      <c r="AB9">
        <f>HYPERLINK("https://klasma.github.io/Logging_0684/klagomålsmail/A 11797-2026 FSC-klagomål mail.docx", "A 11797-2026")</f>
        <v/>
      </c>
      <c r="AC9">
        <f>HYPERLINK("https://klasma.github.io/Logging_0684/tillsyn/A 11797-2026 tillsynsbegäran.docx", "A 11797-2026")</f>
        <v/>
      </c>
      <c r="AD9">
        <f>HYPERLINK("https://klasma.github.io/Logging_0684/tillsynsmail/A 11797-2026 tillsynsbegäran mail.docx", "A 11797-2026")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46283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46283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34214-2025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46283</v>
      </c>
      <c r="F12" t="inlineStr">
        <is>
          <t>JÖNKÖPINGS LÄN</t>
        </is>
      </c>
      <c r="G12" t="inlineStr">
        <is>
          <t>SÄVSJÖ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1</v>
      </c>
      <c r="V12" s="2" t="inlineStr">
        <is>
          <t>Lungrot</t>
        </is>
      </c>
      <c r="W12">
        <f>HYPERLINK("https://klasma.github.io/Logging_0684/artfynd/A 34214-2025 artfynd.xlsx", "A 34214-2025")</f>
        <v/>
      </c>
      <c r="X12">
        <f>HYPERLINK("https://klasma.github.io/Logging_0684/kartor/A 34214-2025 karta.png", "A 34214-2025")</f>
        <v/>
      </c>
      <c r="Y12">
        <f>HYPERLINK("https://klasma.github.io/Logging_0684/kartor_geotiff/A 34214-2025 georefererad karta.tif", "A 34214-2025")</f>
        <v/>
      </c>
      <c r="AA12">
        <f>HYPERLINK("https://klasma.github.io/Logging_0684/klagomål/A 34214-2025 FSC-klagomål.docx", "A 34214-2025")</f>
        <v/>
      </c>
      <c r="AB12">
        <f>HYPERLINK("https://klasma.github.io/Logging_0684/klagomålsmail/A 34214-2025 FSC-klagomål mail.docx", "A 34214-2025")</f>
        <v/>
      </c>
      <c r="AC12">
        <f>HYPERLINK("https://klasma.github.io/Logging_0684/tillsyn/A 34214-2025 tillsynsbegäran.docx", "A 34214-2025")</f>
        <v/>
      </c>
      <c r="AD12">
        <f>HYPERLINK("https://klasma.github.io/Logging_0684/tillsynsmail/A 34214-2025 tillsynsbegäran mail.docx", "A 34214-2025")</f>
        <v/>
      </c>
    </row>
    <row r="13" ht="15" customHeight="1">
      <c r="A13" t="inlineStr">
        <is>
          <t>A 19123-2025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45768</v>
      </c>
      <c r="E13" s="1" t="n">
        <v>46283</v>
      </c>
      <c r="F13" t="inlineStr">
        <is>
          <t>JÖNKÖPINGS LÄN</t>
        </is>
      </c>
      <c r="G13" t="inlineStr">
        <is>
          <t>SÄVSJÖ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HYPERLINK("https://klasma.github.io/Logging_0684/artfynd/A 19123-2025 artfynd.xlsx", "A 19123-2025")</f>
        <v/>
      </c>
      <c r="X13">
        <f>HYPERLINK("https://klasma.github.io/Logging_0684/kartor/A 19123-2025 karta.png", "A 19123-2025")</f>
        <v/>
      </c>
      <c r="Y13">
        <f>HYPERLINK("https://klasma.github.io/Logging_0684/kartor_geotiff/A 19123-2025 georefererad karta.tif", "A 19123-2025")</f>
        <v/>
      </c>
      <c r="AA13">
        <f>HYPERLINK("https://klasma.github.io/Logging_0684/klagomål/A 19123-2025 FSC-klagomål.docx", "A 19123-2025")</f>
        <v/>
      </c>
      <c r="AB13">
        <f>HYPERLINK("https://klasma.github.io/Logging_0684/klagomålsmail/A 19123-2025 FSC-klagomål mail.docx", "A 19123-2025")</f>
        <v/>
      </c>
      <c r="AC13">
        <f>HYPERLINK("https://klasma.github.io/Logging_0684/tillsyn/A 19123-2025 tillsynsbegäran.docx", "A 19123-2025")</f>
        <v/>
      </c>
      <c r="AD13">
        <f>HYPERLINK("https://klasma.github.io/Logging_0684/tillsynsmail/A 19123-2025 tillsynsbegäran mail.docx", "A 19123-2025")</f>
        <v/>
      </c>
      <c r="AE13">
        <f>HYPERLINK("https://klasma.github.io/Logging_0684/fåglar/A 19123-2025 prioriterade fågelarter.docx", "A 19123-2025")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46283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46283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35891-2026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46266</v>
      </c>
      <c r="E16" s="1" t="n">
        <v>46283</v>
      </c>
      <c r="F16" t="inlineStr">
        <is>
          <t>JÖNKÖPINGS LÄN</t>
        </is>
      </c>
      <c r="G16" t="inlineStr">
        <is>
          <t>SÄVSJÖ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Pilfibbla</t>
        </is>
      </c>
      <c r="W16">
        <f>HYPERLINK("https://klasma.github.io/Logging_0684/artfynd/A 35891-2026 artfynd.xlsx", "A 35891-2026")</f>
        <v/>
      </c>
      <c r="X16">
        <f>HYPERLINK("https://klasma.github.io/Logging_0684/kartor/A 35891-2026 karta.png", "A 35891-2026")</f>
        <v/>
      </c>
      <c r="Y16">
        <f>HYPERLINK("https://klasma.github.io/Logging_0684/kartor_geotiff/A 35891-2026 georefererad karta.tif", "A 35891-2026")</f>
        <v/>
      </c>
      <c r="AA16">
        <f>HYPERLINK("https://klasma.github.io/Logging_0684/klagomål/A 35891-2026 FSC-klagomål.docx", "A 35891-2026")</f>
        <v/>
      </c>
      <c r="AB16">
        <f>HYPERLINK("https://klasma.github.io/Logging_0684/klagomålsmail/A 35891-2026 FSC-klagomål mail.docx", "A 35891-2026")</f>
        <v/>
      </c>
      <c r="AC16">
        <f>HYPERLINK("https://klasma.github.io/Logging_0684/tillsyn/A 35891-2026 tillsynsbegäran.docx", "A 35891-2026")</f>
        <v/>
      </c>
      <c r="AD16">
        <f>HYPERLINK("https://klasma.github.io/Logging_0684/tillsynsmail/A 35891-2026 tillsynsbegäran mail.docx", "A 35891-2026")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46283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46283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Korallrot</t>
        </is>
      </c>
      <c r="W18">
        <f>HYPERLINK("https://klasma.github.io/Logging_0684/artfynd/A 51095-2023 artfynd.xlsx", "A 51095-2023")</f>
        <v/>
      </c>
      <c r="X18">
        <f>HYPERLINK("https://klasma.github.io/Logging_0684/kartor/A 51095-2023 karta.png", "A 51095-2023")</f>
        <v/>
      </c>
      <c r="Y18">
        <f>HYPERLINK("https://klasma.github.io/Logging_0684/kartor_geotiff/A 51095-2023 georefererad karta.tif", "A 51095-2023")</f>
        <v/>
      </c>
      <c r="AA18">
        <f>HYPERLINK("https://klasma.github.io/Logging_0684/klagomål/A 51095-2023 FSC-klagomål.docx", "A 51095-2023")</f>
        <v/>
      </c>
      <c r="AB18">
        <f>HYPERLINK("https://klasma.github.io/Logging_0684/klagomålsmail/A 51095-2023 FSC-klagomål mail.docx", "A 51095-2023")</f>
        <v/>
      </c>
      <c r="AC18">
        <f>HYPERLINK("https://klasma.github.io/Logging_0684/tillsyn/A 51095-2023 tillsynsbegäran.docx", "A 51095-2023")</f>
        <v/>
      </c>
      <c r="AD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46283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46283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46283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A 10775-2025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45722</v>
      </c>
      <c r="E22" s="1" t="n">
        <v>46283</v>
      </c>
      <c r="F22" t="inlineStr">
        <is>
          <t>JÖNKÖPINGS LÄN</t>
        </is>
      </c>
      <c r="G22" t="inlineStr">
        <is>
          <t>SÄVSJÖ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HYPERLINK("https://klasma.github.io/Logging_0684/artfynd/A 10775-2025 artfynd.xlsx", "A 10775-2025")</f>
        <v/>
      </c>
      <c r="X22">
        <f>HYPERLINK("https://klasma.github.io/Logging_0684/kartor/A 10775-2025 karta.png", "A 10775-2025")</f>
        <v/>
      </c>
      <c r="Y22">
        <f>HYPERLINK("https://klasma.github.io/Logging_0684/kartor_geotiff/A 10775-2025 georefererad karta.tif", "A 10775-2025")</f>
        <v/>
      </c>
      <c r="AA22">
        <f>HYPERLINK("https://klasma.github.io/Logging_0684/klagomål/A 10775-2025 FSC-klagomål.docx", "A 10775-2025")</f>
        <v/>
      </c>
      <c r="AB22">
        <f>HYPERLINK("https://klasma.github.io/Logging_0684/klagomålsmail/A 10775-2025 FSC-klagomål mail.docx", "A 10775-2025")</f>
        <v/>
      </c>
      <c r="AC22">
        <f>HYPERLINK("https://klasma.github.io/Logging_0684/tillsyn/A 10775-2025 tillsynsbegäran.docx", "A 10775-2025")</f>
        <v/>
      </c>
      <c r="AD22">
        <f>HYPERLINK("https://klasma.github.io/Logging_0684/tillsynsmail/A 10775-2025 tillsynsbegäran mail.docx", "A 10775-2025")</f>
        <v/>
      </c>
    </row>
    <row r="23" ht="15" customHeight="1">
      <c r="A23" t="inlineStr">
        <is>
          <t>A 10046-2025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46283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HYPERLINK("https://klasma.github.io/Logging_0684/artfynd/A 10046-2025 artfynd.xlsx", "A 10046-2025")</f>
        <v/>
      </c>
      <c r="X23">
        <f>HYPERLINK("https://klasma.github.io/Logging_0684/kartor/A 10046-2025 karta.png", "A 10046-2025")</f>
        <v/>
      </c>
      <c r="Y23">
        <f>HYPERLINK("https://klasma.github.io/Logging_0684/kartor_geotiff/A 10046-2025 georefererad karta.tif", "A 10046-2025")</f>
        <v/>
      </c>
      <c r="AA23">
        <f>HYPERLINK("https://klasma.github.io/Logging_0684/klagomål/A 10046-2025 FSC-klagomål.docx", "A 10046-2025")</f>
        <v/>
      </c>
      <c r="AB23">
        <f>HYPERLINK("https://klasma.github.io/Logging_0684/klagomålsmail/A 10046-2025 FSC-klagomål mail.docx", "A 10046-2025")</f>
        <v/>
      </c>
      <c r="AC23">
        <f>HYPERLINK("https://klasma.github.io/Logging_0684/tillsyn/A 10046-2025 tillsynsbegäran.docx", "A 10046-2025")</f>
        <v/>
      </c>
      <c r="AD23">
        <f>HYPERLINK("https://klasma.github.io/Logging_0684/tillsynsmail/A 10046-2025 tillsynsbegäran mail.docx", "A 10046-2025")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46283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46283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46283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46283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46283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46283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46283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46283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46283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46283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46283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46283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46283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46283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46283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46283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46283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46283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46283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46283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46283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46283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46283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46283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46283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46283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46283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46283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46283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46283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46283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46283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46283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46283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46283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46283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46283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46283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46283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46283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46283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46283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46283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46283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46283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46283</v>
      </c>
      <c r="F69" t="inlineStr">
        <is>
          <t>JÖNKÖPINGS LÄN</t>
        </is>
      </c>
      <c r="G69" t="inlineStr">
        <is>
          <t>SÄVSJÖ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45669</v>
      </c>
      <c r="E70" s="1" t="n">
        <v>46283</v>
      </c>
      <c r="F70" t="inlineStr">
        <is>
          <t>JÖNKÖPINGS LÄN</t>
        </is>
      </c>
      <c r="G70" t="inlineStr">
        <is>
          <t>SÄVSJÖ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45334</v>
      </c>
      <c r="E71" s="1" t="n">
        <v>46283</v>
      </c>
      <c r="F71" t="inlineStr">
        <is>
          <t>JÖNKÖPINGS LÄN</t>
        </is>
      </c>
      <c r="G71" t="inlineStr">
        <is>
          <t>SÄVSJÖ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46283</v>
      </c>
      <c r="F72" t="inlineStr">
        <is>
          <t>JÖNKÖPINGS LÄN</t>
        </is>
      </c>
      <c r="G72" t="inlineStr">
        <is>
          <t>SÄVSJÖ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44781</v>
      </c>
      <c r="E73" s="1" t="n">
        <v>46283</v>
      </c>
      <c r="F73" t="inlineStr">
        <is>
          <t>JÖNKÖPINGS LÄN</t>
        </is>
      </c>
      <c r="G73" t="inlineStr">
        <is>
          <t>SÄVSJÖ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46283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46283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46283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46283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46283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46283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46283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46283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46283</v>
      </c>
      <c r="F82" t="inlineStr">
        <is>
          <t>JÖNKÖPINGS LÄN</t>
        </is>
      </c>
      <c r="G82" t="inlineStr">
        <is>
          <t>SÄVSJÖ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46283</v>
      </c>
      <c r="F83" t="inlineStr">
        <is>
          <t>JÖNKÖPINGS LÄN</t>
        </is>
      </c>
      <c r="G83" t="inlineStr">
        <is>
          <t>SÄVSJÖ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46283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46283</v>
      </c>
      <c r="F85" t="inlineStr">
        <is>
          <t>JÖNKÖPINGS LÄN</t>
        </is>
      </c>
      <c r="G85" t="inlineStr">
        <is>
          <t>SÄVSJÖ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45226</v>
      </c>
      <c r="E86" s="1" t="n">
        <v>46283</v>
      </c>
      <c r="F86" t="inlineStr">
        <is>
          <t>JÖNKÖPINGS LÄN</t>
        </is>
      </c>
      <c r="G86" t="inlineStr">
        <is>
          <t>SÄVSJÖ</t>
        </is>
      </c>
      <c r="H86" t="inlineStr">
        <is>
          <t>Kyrkan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46283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46283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55258-2021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44475</v>
      </c>
      <c r="E89" s="1" t="n">
        <v>46283</v>
      </c>
      <c r="F89" t="inlineStr">
        <is>
          <t>JÖNKÖPINGS LÄN</t>
        </is>
      </c>
      <c r="G89" t="inlineStr">
        <is>
          <t>SÄVSJÖ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46283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44951</v>
      </c>
      <c r="E91" s="1" t="n">
        <v>46283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46283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44972</v>
      </c>
      <c r="E93" s="1" t="n">
        <v>46283</v>
      </c>
      <c r="F93" t="inlineStr">
        <is>
          <t>JÖNKÖPINGS LÄN</t>
        </is>
      </c>
      <c r="G93" t="inlineStr">
        <is>
          <t>SÄVSJÖ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46283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46283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45029</v>
      </c>
      <c r="E96" s="1" t="n">
        <v>46283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45001</v>
      </c>
      <c r="E97" s="1" t="n">
        <v>46283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46283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46283</v>
      </c>
      <c r="F99" t="inlineStr">
        <is>
          <t>JÖNKÖPINGS LÄN</t>
        </is>
      </c>
      <c r="G99" t="inlineStr">
        <is>
          <t>SÄVSJÖ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45127</v>
      </c>
      <c r="E100" s="1" t="n">
        <v>46283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44590</v>
      </c>
      <c r="E101" s="1" t="n">
        <v>46283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46066</v>
      </c>
      <c r="E102" s="1" t="n">
        <v>46283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8720-2026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46283</v>
      </c>
      <c r="F103" t="inlineStr">
        <is>
          <t>JÖNKÖPINGS LÄN</t>
        </is>
      </c>
      <c r="G103" t="inlineStr">
        <is>
          <t>SÄVSJÖ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8723-2026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46283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46283</v>
      </c>
      <c r="F105" t="inlineStr">
        <is>
          <t>JÖNKÖPINGS LÄN</t>
        </is>
      </c>
      <c r="G105" t="inlineStr">
        <is>
          <t>SÄVSJÖ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30162-2023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45110</v>
      </c>
      <c r="E106" s="1" t="n">
        <v>46283</v>
      </c>
      <c r="F106" t="inlineStr">
        <is>
          <t>JÖNKÖPINGS LÄN</t>
        </is>
      </c>
      <c r="G106" t="inlineStr">
        <is>
          <t>SÄVSJÖ</t>
        </is>
      </c>
      <c r="H106" t="inlineStr">
        <is>
          <t>Kommuner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46283</v>
      </c>
      <c r="F107" t="inlineStr">
        <is>
          <t>JÖNKÖPINGS LÄN</t>
        </is>
      </c>
      <c r="G107" t="inlineStr">
        <is>
          <t>SÄVSJÖ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46283</v>
      </c>
      <c r="F108" t="inlineStr">
        <is>
          <t>JÖNKÖPINGS LÄN</t>
        </is>
      </c>
      <c r="G108" t="inlineStr">
        <is>
          <t>SÄVSJÖ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46283</v>
      </c>
      <c r="F109" t="inlineStr">
        <is>
          <t>JÖNKÖPINGS LÄN</t>
        </is>
      </c>
      <c r="G109" t="inlineStr">
        <is>
          <t>SÄVSJÖ</t>
        </is>
      </c>
      <c r="H109" t="inlineStr">
        <is>
          <t>Kyrkan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46283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46283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46283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46283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46283</v>
      </c>
      <c r="F114" t="inlineStr">
        <is>
          <t>JÖNKÖPINGS LÄN</t>
        </is>
      </c>
      <c r="G114" t="inlineStr">
        <is>
          <t>SÄVSJÖ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46283</v>
      </c>
      <c r="F115" t="inlineStr">
        <is>
          <t>JÖNKÖPINGS LÄN</t>
        </is>
      </c>
      <c r="G115" t="inlineStr">
        <is>
          <t>SÄVSJÖ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46283</v>
      </c>
      <c r="F116" t="inlineStr">
        <is>
          <t>JÖNKÖPINGS LÄN</t>
        </is>
      </c>
      <c r="G116" t="inlineStr">
        <is>
          <t>SÄVSJÖ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46283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20915-2023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46283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46283</v>
      </c>
      <c r="F119" t="inlineStr">
        <is>
          <t>JÖNKÖPINGS LÄN</t>
        </is>
      </c>
      <c r="G119" t="inlineStr">
        <is>
          <t>SÄVSJÖ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46283</v>
      </c>
      <c r="F120" t="inlineStr">
        <is>
          <t>JÖNKÖPINGS LÄN</t>
        </is>
      </c>
      <c r="G120" t="inlineStr">
        <is>
          <t>SÄVSJÖ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46283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45460</v>
      </c>
      <c r="E122" s="1" t="n">
        <v>46283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45601</v>
      </c>
      <c r="E123" s="1" t="n">
        <v>46283</v>
      </c>
      <c r="F123" t="inlineStr">
        <is>
          <t>JÖNKÖPINGS LÄN</t>
        </is>
      </c>
      <c r="G123" t="inlineStr">
        <is>
          <t>SÄVSJÖ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46283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46283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46283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46283</v>
      </c>
      <c r="F127" t="inlineStr">
        <is>
          <t>JÖNKÖPINGS LÄN</t>
        </is>
      </c>
      <c r="G127" t="inlineStr">
        <is>
          <t>SÄVSJÖ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46283</v>
      </c>
      <c r="F128" t="inlineStr">
        <is>
          <t>JÖNKÖPINGS LÄN</t>
        </is>
      </c>
      <c r="G128" t="inlineStr">
        <is>
          <t>SÄVSJÖ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46283</v>
      </c>
      <c r="F129" t="inlineStr">
        <is>
          <t>JÖNKÖPINGS LÄN</t>
        </is>
      </c>
      <c r="G129" t="inlineStr">
        <is>
          <t>SÄVSJÖ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46097</v>
      </c>
      <c r="E130" s="1" t="n">
        <v>46283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46283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46283</v>
      </c>
      <c r="F132" t="inlineStr">
        <is>
          <t>JÖNKÖPINGS LÄN</t>
        </is>
      </c>
      <c r="G132" t="inlineStr">
        <is>
          <t>SÄVSJÖ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46283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46283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46283</v>
      </c>
      <c r="F135" t="inlineStr">
        <is>
          <t>JÖNKÖPINGS LÄN</t>
        </is>
      </c>
      <c r="G135" t="inlineStr">
        <is>
          <t>SÄVSJÖ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54827-2021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44474</v>
      </c>
      <c r="E136" s="1" t="n">
        <v>46283</v>
      </c>
      <c r="F136" t="inlineStr">
        <is>
          <t>JÖNKÖPINGS LÄN</t>
        </is>
      </c>
      <c r="G136" t="inlineStr">
        <is>
          <t>SÄVSJÖ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45110</v>
      </c>
      <c r="E137" s="1" t="n">
        <v>46283</v>
      </c>
      <c r="F137" t="inlineStr">
        <is>
          <t>JÖNKÖPINGS LÄN</t>
        </is>
      </c>
      <c r="G137" t="inlineStr">
        <is>
          <t>SÄVSJÖ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44833</v>
      </c>
      <c r="E138" s="1" t="n">
        <v>46283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46283</v>
      </c>
      <c r="F139" t="inlineStr">
        <is>
          <t>JÖNKÖPINGS LÄN</t>
        </is>
      </c>
      <c r="G139" t="inlineStr">
        <is>
          <t>SÄVSJÖ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46283</v>
      </c>
      <c r="F140" t="inlineStr">
        <is>
          <t>JÖNKÖPINGS LÄN</t>
        </is>
      </c>
      <c r="G140" t="inlineStr">
        <is>
          <t>SÄVSJÖ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45623</v>
      </c>
      <c r="E141" s="1" t="n">
        <v>46283</v>
      </c>
      <c r="F141" t="inlineStr">
        <is>
          <t>JÖNKÖPINGS LÄN</t>
        </is>
      </c>
      <c r="G141" t="inlineStr">
        <is>
          <t>SÄVSJÖ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46283</v>
      </c>
      <c r="F142" t="inlineStr">
        <is>
          <t>JÖNKÖPINGS LÄN</t>
        </is>
      </c>
      <c r="G142" t="inlineStr">
        <is>
          <t>SÄVSJÖ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63920-2021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46283</v>
      </c>
      <c r="F143" t="inlineStr">
        <is>
          <t>JÖNKÖPINGS LÄN</t>
        </is>
      </c>
      <c r="G143" t="inlineStr">
        <is>
          <t>SÄVSJÖ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44991</v>
      </c>
      <c r="E144" s="1" t="n">
        <v>46283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46283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7285-2023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44970</v>
      </c>
      <c r="E146" s="1" t="n">
        <v>46283</v>
      </c>
      <c r="F146" t="inlineStr">
        <is>
          <t>JÖNKÖPINGS LÄN</t>
        </is>
      </c>
      <c r="G146" t="inlineStr">
        <is>
          <t>SÄVSJÖ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46283</v>
      </c>
      <c r="F147" t="inlineStr">
        <is>
          <t>JÖNKÖPINGS LÄN</t>
        </is>
      </c>
      <c r="G147" t="inlineStr">
        <is>
          <t>SÄVSJÖ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46283</v>
      </c>
      <c r="F148" t="inlineStr">
        <is>
          <t>JÖNKÖPINGS LÄN</t>
        </is>
      </c>
      <c r="G148" t="inlineStr">
        <is>
          <t>SÄVSJÖ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46283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45685</v>
      </c>
      <c r="E150" s="1" t="n">
        <v>46283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46283</v>
      </c>
      <c r="F151" t="inlineStr">
        <is>
          <t>JÖNKÖPINGS LÄN</t>
        </is>
      </c>
      <c r="G151" t="inlineStr">
        <is>
          <t>SÄVSJÖ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46283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45634</v>
      </c>
      <c r="E153" s="1" t="n">
        <v>46283</v>
      </c>
      <c r="F153" t="inlineStr">
        <is>
          <t>JÖNKÖPINGS LÄN</t>
        </is>
      </c>
      <c r="G153" t="inlineStr">
        <is>
          <t>SÄVSJÖ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46283</v>
      </c>
      <c r="F154" t="inlineStr">
        <is>
          <t>JÖNKÖPINGS LÄN</t>
        </is>
      </c>
      <c r="G154" t="inlineStr">
        <is>
          <t>SÄVSJÖ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45879</v>
      </c>
      <c r="E155" s="1" t="n">
        <v>46283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45910</v>
      </c>
      <c r="E156" s="1" t="n">
        <v>46283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46283</v>
      </c>
      <c r="F157" t="inlineStr">
        <is>
          <t>JÖNKÖPINGS LÄN</t>
        </is>
      </c>
      <c r="G157" t="inlineStr">
        <is>
          <t>SÄVSJÖ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46283</v>
      </c>
      <c r="F158" t="inlineStr">
        <is>
          <t>JÖNKÖPINGS LÄN</t>
        </is>
      </c>
      <c r="G158" t="inlineStr">
        <is>
          <t>SÄVSJÖ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46283</v>
      </c>
      <c r="F159" t="inlineStr">
        <is>
          <t>JÖNKÖPINGS LÄN</t>
        </is>
      </c>
      <c r="G159" t="inlineStr">
        <is>
          <t>SÄVSJÖ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45247</v>
      </c>
      <c r="E160" s="1" t="n">
        <v>46283</v>
      </c>
      <c r="F160" t="inlineStr">
        <is>
          <t>JÖNKÖPINGS LÄN</t>
        </is>
      </c>
      <c r="G160" t="inlineStr">
        <is>
          <t>SÄVSJÖ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46283</v>
      </c>
      <c r="F161" t="inlineStr">
        <is>
          <t>JÖNKÖPINGS LÄN</t>
        </is>
      </c>
      <c r="G161" t="inlineStr">
        <is>
          <t>SÄVSJÖ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46283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45067</v>
      </c>
      <c r="E163" s="1" t="n">
        <v>46283</v>
      </c>
      <c r="F163" t="inlineStr">
        <is>
          <t>JÖNKÖPINGS LÄN</t>
        </is>
      </c>
      <c r="G163" t="inlineStr">
        <is>
          <t>SÄVSJÖ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61545-2021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46283</v>
      </c>
      <c r="F164" t="inlineStr">
        <is>
          <t>JÖNKÖPINGS LÄN</t>
        </is>
      </c>
      <c r="G164" t="inlineStr">
        <is>
          <t>SÄVSJÖ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46283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45695</v>
      </c>
      <c r="E166" s="1" t="n">
        <v>46283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45274</v>
      </c>
      <c r="E167" s="1" t="n">
        <v>46283</v>
      </c>
      <c r="F167" t="inlineStr">
        <is>
          <t>JÖNKÖPINGS LÄN</t>
        </is>
      </c>
      <c r="G167" t="inlineStr">
        <is>
          <t>SÄVSJÖ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46283</v>
      </c>
      <c r="F168" t="inlineStr">
        <is>
          <t>JÖNKÖPINGS LÄN</t>
        </is>
      </c>
      <c r="G168" t="inlineStr">
        <is>
          <t>SÄVSJÖ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46283</v>
      </c>
      <c r="F169" t="inlineStr">
        <is>
          <t>JÖNKÖPINGS LÄN</t>
        </is>
      </c>
      <c r="G169" t="inlineStr">
        <is>
          <t>SÄVSJÖ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46283</v>
      </c>
      <c r="F170" t="inlineStr">
        <is>
          <t>JÖNKÖPINGS LÄN</t>
        </is>
      </c>
      <c r="G170" t="inlineStr">
        <is>
          <t>SÄVSJÖ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45079</v>
      </c>
      <c r="E171" s="1" t="n">
        <v>46283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50627-2022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44866</v>
      </c>
      <c r="E172" s="1" t="n">
        <v>46283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44957</v>
      </c>
      <c r="E173" s="1" t="n">
        <v>46283</v>
      </c>
      <c r="F173" t="inlineStr">
        <is>
          <t>JÖNKÖPINGS LÄN</t>
        </is>
      </c>
      <c r="G173" t="inlineStr">
        <is>
          <t>SÄVSJÖ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46283</v>
      </c>
      <c r="F174" t="inlineStr">
        <is>
          <t>JÖNKÖPINGS LÄN</t>
        </is>
      </c>
      <c r="G174" t="inlineStr">
        <is>
          <t>SÄVSJÖ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46283</v>
      </c>
      <c r="F175" t="inlineStr">
        <is>
          <t>JÖNKÖPINGS LÄN</t>
        </is>
      </c>
      <c r="G175" t="inlineStr">
        <is>
          <t>SÄVSJÖ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46283</v>
      </c>
      <c r="F176" t="inlineStr">
        <is>
          <t>JÖNKÖPINGS LÄN</t>
        </is>
      </c>
      <c r="G176" t="inlineStr">
        <is>
          <t>SÄVSJÖ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45066</v>
      </c>
      <c r="E177" s="1" t="n">
        <v>46283</v>
      </c>
      <c r="F177" t="inlineStr">
        <is>
          <t>JÖNKÖPINGS LÄN</t>
        </is>
      </c>
      <c r="G177" t="inlineStr">
        <is>
          <t>SÄVSJÖ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45427</v>
      </c>
      <c r="E178" s="1" t="n">
        <v>46283</v>
      </c>
      <c r="F178" t="inlineStr">
        <is>
          <t>JÖNKÖPINGS LÄN</t>
        </is>
      </c>
      <c r="G178" t="inlineStr">
        <is>
          <t>SÄVSJÖ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46283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46283</v>
      </c>
      <c r="F180" t="inlineStr">
        <is>
          <t>JÖNKÖPINGS LÄN</t>
        </is>
      </c>
      <c r="G180" t="inlineStr">
        <is>
          <t>SÄVSJÖ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44839</v>
      </c>
      <c r="E181" s="1" t="n">
        <v>46283</v>
      </c>
      <c r="F181" t="inlineStr">
        <is>
          <t>JÖNKÖPINGS LÄN</t>
        </is>
      </c>
      <c r="G181" t="inlineStr">
        <is>
          <t>SÄVSJÖ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45094</v>
      </c>
      <c r="E182" s="1" t="n">
        <v>46283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44826</v>
      </c>
      <c r="E183" s="1" t="n">
        <v>46283</v>
      </c>
      <c r="F183" t="inlineStr">
        <is>
          <t>JÖNKÖPINGS LÄN</t>
        </is>
      </c>
      <c r="G183" t="inlineStr">
        <is>
          <t>SÄVSJÖ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45094</v>
      </c>
      <c r="E184" s="1" t="n">
        <v>46283</v>
      </c>
      <c r="F184" t="inlineStr">
        <is>
          <t>JÖNKÖPINGS LÄN</t>
        </is>
      </c>
      <c r="G184" t="inlineStr">
        <is>
          <t>SÄVSJÖ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46283</v>
      </c>
      <c r="F185" t="inlineStr">
        <is>
          <t>JÖNKÖPINGS LÄN</t>
        </is>
      </c>
      <c r="G185" t="inlineStr">
        <is>
          <t>SÄVSJÖ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64126-2021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44510</v>
      </c>
      <c r="E186" s="1" t="n">
        <v>46283</v>
      </c>
      <c r="F186" t="inlineStr">
        <is>
          <t>JÖNKÖPINGS LÄN</t>
        </is>
      </c>
      <c r="G186" t="inlineStr">
        <is>
          <t>SÄVSJÖ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46283</v>
      </c>
      <c r="F187" t="inlineStr">
        <is>
          <t>JÖNKÖPINGS LÄN</t>
        </is>
      </c>
      <c r="G187" t="inlineStr">
        <is>
          <t>SÄVSJÖ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46283</v>
      </c>
      <c r="F188" t="inlineStr">
        <is>
          <t>JÖNKÖPINGS LÄN</t>
        </is>
      </c>
      <c r="G188" t="inlineStr">
        <is>
          <t>SÄVSJÖ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44505</v>
      </c>
      <c r="E189" s="1" t="n">
        <v>46283</v>
      </c>
      <c r="F189" t="inlineStr">
        <is>
          <t>JÖNKÖPINGS LÄN</t>
        </is>
      </c>
      <c r="G189" t="inlineStr">
        <is>
          <t>SÄVSJÖ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11263-2024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46283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45267</v>
      </c>
      <c r="E191" s="1" t="n">
        <v>46283</v>
      </c>
      <c r="F191" t="inlineStr">
        <is>
          <t>JÖNKÖPINGS LÄN</t>
        </is>
      </c>
      <c r="G191" t="inlineStr">
        <is>
          <t>SÄVSJÖ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46283</v>
      </c>
      <c r="F192" t="inlineStr">
        <is>
          <t>JÖNKÖPINGS LÄN</t>
        </is>
      </c>
      <c r="G192" t="inlineStr">
        <is>
          <t>SÄVSJÖ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35320-2023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46283</v>
      </c>
      <c r="F193" t="inlineStr">
        <is>
          <t>JÖNKÖPINGS LÄN</t>
        </is>
      </c>
      <c r="G193" t="inlineStr">
        <is>
          <t>SÄVSJÖ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46283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46283</v>
      </c>
      <c r="F195" t="inlineStr">
        <is>
          <t>JÖNKÖPINGS LÄN</t>
        </is>
      </c>
      <c r="G195" t="inlineStr">
        <is>
          <t>SÄVSJÖ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46283</v>
      </c>
      <c r="F196" t="inlineStr">
        <is>
          <t>JÖNKÖPINGS LÄN</t>
        </is>
      </c>
      <c r="G196" t="inlineStr">
        <is>
          <t>SÄVSJÖ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46283</v>
      </c>
      <c r="F197" t="inlineStr">
        <is>
          <t>JÖNKÖPINGS LÄN</t>
        </is>
      </c>
      <c r="G197" t="inlineStr">
        <is>
          <t>SÄVSJÖ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23816-2026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46165</v>
      </c>
      <c r="E198" s="1" t="n">
        <v>46283</v>
      </c>
      <c r="F198" t="inlineStr">
        <is>
          <t>JÖNKÖPINGS LÄN</t>
        </is>
      </c>
      <c r="G198" t="inlineStr">
        <is>
          <t>SÄVSJÖ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46283</v>
      </c>
      <c r="F199" t="inlineStr">
        <is>
          <t>JÖNKÖPINGS LÄN</t>
        </is>
      </c>
      <c r="G199" t="inlineStr">
        <is>
          <t>SÄVSJÖ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46283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46283</v>
      </c>
      <c r="F201" t="inlineStr">
        <is>
          <t>JÖNKÖPINGS LÄN</t>
        </is>
      </c>
      <c r="G201" t="inlineStr">
        <is>
          <t>SÄVSJÖ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45534</v>
      </c>
      <c r="E202" s="1" t="n">
        <v>46283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45037</v>
      </c>
      <c r="E203" s="1" t="n">
        <v>46283</v>
      </c>
      <c r="F203" t="inlineStr">
        <is>
          <t>JÖNKÖPINGS LÄN</t>
        </is>
      </c>
      <c r="G203" t="inlineStr">
        <is>
          <t>SÄVSJÖ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45634</v>
      </c>
      <c r="E204" s="1" t="n">
        <v>46283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46283</v>
      </c>
      <c r="F205" t="inlineStr">
        <is>
          <t>JÖNKÖPINGS LÄN</t>
        </is>
      </c>
      <c r="G205" t="inlineStr">
        <is>
          <t>SÄVSJÖ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45469</v>
      </c>
      <c r="E206" s="1" t="n">
        <v>46283</v>
      </c>
      <c r="F206" t="inlineStr">
        <is>
          <t>JÖNKÖPINGS LÄN</t>
        </is>
      </c>
      <c r="G206" t="inlineStr">
        <is>
          <t>SÄVSJÖ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46283</v>
      </c>
      <c r="F207" t="inlineStr">
        <is>
          <t>JÖNKÖPINGS LÄN</t>
        </is>
      </c>
      <c r="G207" t="inlineStr">
        <is>
          <t>SÄVSJÖ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46283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55801-2021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44476</v>
      </c>
      <c r="E209" s="1" t="n">
        <v>46283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45518</v>
      </c>
      <c r="E210" s="1" t="n">
        <v>46283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46283</v>
      </c>
      <c r="F211" t="inlineStr">
        <is>
          <t>JÖNKÖPINGS LÄN</t>
        </is>
      </c>
      <c r="G211" t="inlineStr">
        <is>
          <t>SÄVSJÖ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46283</v>
      </c>
      <c r="F212" t="inlineStr">
        <is>
          <t>JÖNKÖPINGS LÄN</t>
        </is>
      </c>
      <c r="G212" t="inlineStr">
        <is>
          <t>SÄVSJÖ</t>
        </is>
      </c>
      <c r="H212" t="inlineStr">
        <is>
          <t>Övriga Aktiebolag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52363-2025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45953</v>
      </c>
      <c r="E213" s="1" t="n">
        <v>46283</v>
      </c>
      <c r="F213" t="inlineStr">
        <is>
          <t>JÖNKÖPINGS LÄN</t>
        </is>
      </c>
      <c r="G213" t="inlineStr">
        <is>
          <t>SÄVSJÖ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46283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46283</v>
      </c>
      <c r="F215" t="inlineStr">
        <is>
          <t>JÖNKÖPINGS LÄN</t>
        </is>
      </c>
      <c r="G215" t="inlineStr">
        <is>
          <t>SÄVSJÖ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46283</v>
      </c>
      <c r="F216" t="inlineStr">
        <is>
          <t>JÖNKÖPINGS LÄN</t>
        </is>
      </c>
      <c r="G216" t="inlineStr">
        <is>
          <t>SÄVSJÖ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46283</v>
      </c>
      <c r="F217" t="inlineStr">
        <is>
          <t>JÖNKÖPINGS LÄN</t>
        </is>
      </c>
      <c r="G217" t="inlineStr">
        <is>
          <t>SÄVSJÖ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46283</v>
      </c>
      <c r="F218" t="inlineStr">
        <is>
          <t>JÖNKÖPINGS LÄN</t>
        </is>
      </c>
      <c r="G218" t="inlineStr">
        <is>
          <t>SÄVSJÖ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46283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45758</v>
      </c>
      <c r="E220" s="1" t="n">
        <v>46283</v>
      </c>
      <c r="F220" t="inlineStr">
        <is>
          <t>JÖNKÖPINGS LÄN</t>
        </is>
      </c>
      <c r="G220" t="inlineStr">
        <is>
          <t>SÄVSJÖ</t>
        </is>
      </c>
      <c r="H220" t="inlineStr">
        <is>
          <t>Kyrkan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46283</v>
      </c>
      <c r="F221" t="inlineStr">
        <is>
          <t>JÖNKÖPINGS LÄN</t>
        </is>
      </c>
      <c r="G221" t="inlineStr">
        <is>
          <t>SÄVSJÖ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46283</v>
      </c>
      <c r="F222" t="inlineStr">
        <is>
          <t>JÖNKÖPINGS LÄN</t>
        </is>
      </c>
      <c r="G222" t="inlineStr">
        <is>
          <t>SÄVSJÖ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46283</v>
      </c>
      <c r="F223" t="inlineStr">
        <is>
          <t>JÖNKÖPINGS LÄN</t>
        </is>
      </c>
      <c r="G223" t="inlineStr">
        <is>
          <t>SÄVSJÖ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46283</v>
      </c>
      <c r="F224" t="inlineStr">
        <is>
          <t>JÖNKÖPINGS LÄN</t>
        </is>
      </c>
      <c r="G224" t="inlineStr">
        <is>
          <t>SÄVSJÖ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46283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46283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46283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46283</v>
      </c>
      <c r="F228" t="inlineStr">
        <is>
          <t>JÖNKÖPINGS LÄN</t>
        </is>
      </c>
      <c r="G228" t="inlineStr">
        <is>
          <t>SÄVSJÖ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45959</v>
      </c>
      <c r="E229" s="1" t="n">
        <v>46283</v>
      </c>
      <c r="F229" t="inlineStr">
        <is>
          <t>JÖNKÖPINGS LÄN</t>
        </is>
      </c>
      <c r="G229" t="inlineStr">
        <is>
          <t>SÄVSJÖ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46283</v>
      </c>
      <c r="F230" t="inlineStr">
        <is>
          <t>JÖNKÖPINGS LÄN</t>
        </is>
      </c>
      <c r="G230" t="inlineStr">
        <is>
          <t>SÄVSJÖ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46283</v>
      </c>
      <c r="F231" t="inlineStr">
        <is>
          <t>JÖNKÖPINGS LÄN</t>
        </is>
      </c>
      <c r="G231" t="inlineStr">
        <is>
          <t>SÄVSJÖ</t>
        </is>
      </c>
      <c r="H231" t="inlineStr">
        <is>
          <t>Kommuner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45067</v>
      </c>
      <c r="E232" s="1" t="n">
        <v>46283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46283</v>
      </c>
      <c r="F233" t="inlineStr">
        <is>
          <t>JÖNKÖPINGS LÄN</t>
        </is>
      </c>
      <c r="G233" t="inlineStr">
        <is>
          <t>SÄVSJÖ</t>
        </is>
      </c>
      <c r="H233" t="inlineStr">
        <is>
          <t>Kommuner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44601</v>
      </c>
      <c r="E234" s="1" t="n">
        <v>46283</v>
      </c>
      <c r="F234" t="inlineStr">
        <is>
          <t>JÖNKÖPINGS LÄN</t>
        </is>
      </c>
      <c r="G234" t="inlineStr">
        <is>
          <t>SÄVSJÖ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46283</v>
      </c>
      <c r="F235" t="inlineStr">
        <is>
          <t>JÖNKÖPINGS LÄN</t>
        </is>
      </c>
      <c r="G235" t="inlineStr">
        <is>
          <t>SÄVSJÖ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54275-2025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45964</v>
      </c>
      <c r="E236" s="1" t="n">
        <v>46283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44610</v>
      </c>
      <c r="E237" s="1" t="n">
        <v>46283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46283</v>
      </c>
      <c r="F238" t="inlineStr">
        <is>
          <t>JÖNKÖPINGS LÄN</t>
        </is>
      </c>
      <c r="G238" t="inlineStr">
        <is>
          <t>SÄVSJÖ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64573-2023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46283</v>
      </c>
      <c r="F239" t="inlineStr">
        <is>
          <t>JÖNKÖPINGS LÄN</t>
        </is>
      </c>
      <c r="G239" t="inlineStr">
        <is>
          <t>SÄVSJÖ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46283</v>
      </c>
      <c r="F240" t="inlineStr">
        <is>
          <t>JÖNKÖPINGS LÄN</t>
        </is>
      </c>
      <c r="G240" t="inlineStr">
        <is>
          <t>SÄVSJÖ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46283</v>
      </c>
      <c r="F241" t="inlineStr">
        <is>
          <t>JÖNKÖPINGS LÄN</t>
        </is>
      </c>
      <c r="G241" t="inlineStr">
        <is>
          <t>SÄVSJÖ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46283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46283</v>
      </c>
      <c r="F243" t="inlineStr">
        <is>
          <t>JÖNKÖPINGS LÄN</t>
        </is>
      </c>
      <c r="G243" t="inlineStr">
        <is>
          <t>SÄVSJÖ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45407</v>
      </c>
      <c r="E244" s="1" t="n">
        <v>46283</v>
      </c>
      <c r="F244" t="inlineStr">
        <is>
          <t>JÖNKÖPINGS LÄN</t>
        </is>
      </c>
      <c r="G244" t="inlineStr">
        <is>
          <t>SÄVSJÖ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46283</v>
      </c>
      <c r="F245" t="inlineStr">
        <is>
          <t>JÖNKÖPINGS LÄN</t>
        </is>
      </c>
      <c r="G245" t="inlineStr">
        <is>
          <t>SÄVSJÖ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46283</v>
      </c>
      <c r="F246" t="inlineStr">
        <is>
          <t>JÖNKÖPINGS LÄN</t>
        </is>
      </c>
      <c r="G246" t="inlineStr">
        <is>
          <t>SÄVSJÖ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46283</v>
      </c>
      <c r="F247" t="inlineStr">
        <is>
          <t>JÖNKÖPINGS LÄN</t>
        </is>
      </c>
      <c r="G247" t="inlineStr">
        <is>
          <t>SÄVSJÖ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46283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45197</v>
      </c>
      <c r="E249" s="1" t="n">
        <v>46283</v>
      </c>
      <c r="F249" t="inlineStr">
        <is>
          <t>JÖNKÖPINGS LÄN</t>
        </is>
      </c>
      <c r="G249" t="inlineStr">
        <is>
          <t>SÄVSJÖ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46283</v>
      </c>
      <c r="F250" t="inlineStr">
        <is>
          <t>JÖNKÖPINGS LÄN</t>
        </is>
      </c>
      <c r="G250" t="inlineStr">
        <is>
          <t>SÄVSJÖ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46283</v>
      </c>
      <c r="F251" t="inlineStr">
        <is>
          <t>JÖNKÖPINGS LÄN</t>
        </is>
      </c>
      <c r="G251" t="inlineStr">
        <is>
          <t>SÄVSJÖ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46283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46283</v>
      </c>
      <c r="F253" t="inlineStr">
        <is>
          <t>JÖNKÖPINGS LÄN</t>
        </is>
      </c>
      <c r="G253" t="inlineStr">
        <is>
          <t>SÄVSJÖ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45975</v>
      </c>
      <c r="E254" s="1" t="n">
        <v>46283</v>
      </c>
      <c r="F254" t="inlineStr">
        <is>
          <t>JÖNKÖPINGS LÄN</t>
        </is>
      </c>
      <c r="G254" t="inlineStr">
        <is>
          <t>SÄVSJÖ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44872</v>
      </c>
      <c r="E255" s="1" t="n">
        <v>46283</v>
      </c>
      <c r="F255" t="inlineStr">
        <is>
          <t>JÖNKÖPINGS LÄN</t>
        </is>
      </c>
      <c r="G255" t="inlineStr">
        <is>
          <t>SÄVSJÖ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45238</v>
      </c>
      <c r="E256" s="1" t="n">
        <v>46283</v>
      </c>
      <c r="F256" t="inlineStr">
        <is>
          <t>JÖNKÖPINGS LÄN</t>
        </is>
      </c>
      <c r="G256" t="inlineStr">
        <is>
          <t>SÄVSJÖ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46283</v>
      </c>
      <c r="F257" t="inlineStr">
        <is>
          <t>JÖNKÖPINGS LÄN</t>
        </is>
      </c>
      <c r="G257" t="inlineStr">
        <is>
          <t>SÄVSJÖ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46283</v>
      </c>
      <c r="F258" t="inlineStr">
        <is>
          <t>JÖNKÖPINGS LÄN</t>
        </is>
      </c>
      <c r="G258" t="inlineStr">
        <is>
          <t>SÄVSJÖ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46283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46283</v>
      </c>
      <c r="F260" t="inlineStr">
        <is>
          <t>JÖNKÖPINGS LÄN</t>
        </is>
      </c>
      <c r="G260" t="inlineStr">
        <is>
          <t>SÄVSJÖ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45704</v>
      </c>
      <c r="E261" s="1" t="n">
        <v>46283</v>
      </c>
      <c r="F261" t="inlineStr">
        <is>
          <t>JÖNKÖPINGS LÄN</t>
        </is>
      </c>
      <c r="G261" t="inlineStr">
        <is>
          <t>SÄVSJÖ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14880-2022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44656</v>
      </c>
      <c r="E262" s="1" t="n">
        <v>46283</v>
      </c>
      <c r="F262" t="inlineStr">
        <is>
          <t>JÖNKÖPINGS LÄN</t>
        </is>
      </c>
      <c r="G262" t="inlineStr">
        <is>
          <t>SÄVSJÖ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46283</v>
      </c>
      <c r="F263" t="inlineStr">
        <is>
          <t>JÖNKÖPINGS LÄN</t>
        </is>
      </c>
      <c r="G263" t="inlineStr">
        <is>
          <t>SÄVSJÖ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46283</v>
      </c>
      <c r="F264" t="inlineStr">
        <is>
          <t>JÖNKÖPINGS LÄN</t>
        </is>
      </c>
      <c r="G264" t="inlineStr">
        <is>
          <t>SÄVSJÖ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46283</v>
      </c>
      <c r="F265" t="inlineStr">
        <is>
          <t>JÖNKÖPINGS LÄN</t>
        </is>
      </c>
      <c r="G265" t="inlineStr">
        <is>
          <t>SÄVSJÖ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46283</v>
      </c>
      <c r="F266" t="inlineStr">
        <is>
          <t>JÖNKÖPINGS LÄN</t>
        </is>
      </c>
      <c r="G266" t="inlineStr">
        <is>
          <t>SÄVSJÖ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19856-2024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45433</v>
      </c>
      <c r="E267" s="1" t="n">
        <v>46283</v>
      </c>
      <c r="F267" t="inlineStr">
        <is>
          <t>JÖNKÖPINGS LÄN</t>
        </is>
      </c>
      <c r="G267" t="inlineStr">
        <is>
          <t>SÄVSJÖ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58712-2025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46283</v>
      </c>
      <c r="F268" t="inlineStr">
        <is>
          <t>JÖNKÖPINGS LÄN</t>
        </is>
      </c>
      <c r="G268" t="inlineStr">
        <is>
          <t>SÄVSJÖ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46251</v>
      </c>
      <c r="E269" s="1" t="n">
        <v>46283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46283</v>
      </c>
      <c r="F270" t="inlineStr">
        <is>
          <t>JÖNKÖPINGS LÄN</t>
        </is>
      </c>
      <c r="G270" t="inlineStr">
        <is>
          <t>SÄVSJÖ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44651</v>
      </c>
      <c r="E271" s="1" t="n">
        <v>46283</v>
      </c>
      <c r="F271" t="inlineStr">
        <is>
          <t>JÖNKÖPINGS LÄN</t>
        </is>
      </c>
      <c r="G271" t="inlineStr">
        <is>
          <t>SÄVSJÖ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49406-2023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45211</v>
      </c>
      <c r="E272" s="1" t="n">
        <v>46283</v>
      </c>
      <c r="F272" t="inlineStr">
        <is>
          <t>JÖNKÖPINGS LÄN</t>
        </is>
      </c>
      <c r="G272" t="inlineStr">
        <is>
          <t>SÄVSJÖ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45226</v>
      </c>
      <c r="E273" s="1" t="n">
        <v>46283</v>
      </c>
      <c r="F273" t="inlineStr">
        <is>
          <t>JÖNKÖPINGS LÄN</t>
        </is>
      </c>
      <c r="G273" t="inlineStr">
        <is>
          <t>SÄVSJÖ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46283</v>
      </c>
      <c r="F274" t="inlineStr">
        <is>
          <t>JÖNKÖPINGS LÄN</t>
        </is>
      </c>
      <c r="G274" t="inlineStr">
        <is>
          <t>SÄVSJÖ</t>
        </is>
      </c>
      <c r="H274" t="inlineStr">
        <is>
          <t>Kyrkan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46283</v>
      </c>
      <c r="F275" t="inlineStr">
        <is>
          <t>JÖNKÖPINGS LÄN</t>
        </is>
      </c>
      <c r="G275" t="inlineStr">
        <is>
          <t>SÄVSJÖ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46283</v>
      </c>
      <c r="F276" t="inlineStr">
        <is>
          <t>JÖNKÖPINGS LÄN</t>
        </is>
      </c>
      <c r="G276" t="inlineStr">
        <is>
          <t>SÄVSJÖ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60331-2025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45993</v>
      </c>
      <c r="E277" s="1" t="n">
        <v>46283</v>
      </c>
      <c r="F277" t="inlineStr">
        <is>
          <t>JÖNKÖPINGS LÄN</t>
        </is>
      </c>
      <c r="G277" t="inlineStr">
        <is>
          <t>SÄVSJÖ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46260</v>
      </c>
      <c r="E278" s="1" t="n">
        <v>46283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46283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45302</v>
      </c>
      <c r="E280" s="1" t="n">
        <v>46283</v>
      </c>
      <c r="F280" t="inlineStr">
        <is>
          <t>JÖNKÖPINGS LÄN</t>
        </is>
      </c>
      <c r="G280" t="inlineStr">
        <is>
          <t>SÄVSJÖ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46260</v>
      </c>
      <c r="E281" s="1" t="n">
        <v>46283</v>
      </c>
      <c r="F281" t="inlineStr">
        <is>
          <t>JÖNKÖPINGS LÄN</t>
        </is>
      </c>
      <c r="G281" t="inlineStr">
        <is>
          <t>SÄVSJÖ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46260</v>
      </c>
      <c r="E282" s="1" t="n">
        <v>46283</v>
      </c>
      <c r="F282" t="inlineStr">
        <is>
          <t>JÖNKÖPINGS LÄN</t>
        </is>
      </c>
      <c r="G282" t="inlineStr">
        <is>
          <t>SÄVSJÖ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46283</v>
      </c>
      <c r="F283" t="inlineStr">
        <is>
          <t>JÖNKÖPINGS LÄN</t>
        </is>
      </c>
      <c r="G283" t="inlineStr">
        <is>
          <t>SÄVSJÖ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46283</v>
      </c>
      <c r="F284" t="inlineStr">
        <is>
          <t>JÖNKÖPINGS LÄN</t>
        </is>
      </c>
      <c r="G284" t="inlineStr">
        <is>
          <t>SÄVSJÖ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907-2024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45301</v>
      </c>
      <c r="E285" s="1" t="n">
        <v>46283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46266</v>
      </c>
      <c r="E286" s="1" t="n">
        <v>46283</v>
      </c>
      <c r="F286" t="inlineStr">
        <is>
          <t>JÖNKÖPINGS LÄN</t>
        </is>
      </c>
      <c r="G286" t="inlineStr">
        <is>
          <t>SÄVSJÖ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46266</v>
      </c>
      <c r="E287" s="1" t="n">
        <v>46283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46266</v>
      </c>
      <c r="E288" s="1" t="n">
        <v>46283</v>
      </c>
      <c r="F288" t="inlineStr">
        <is>
          <t>JÖNKÖPINGS LÄN</t>
        </is>
      </c>
      <c r="G288" t="inlineStr">
        <is>
          <t>SÄVSJÖ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46283</v>
      </c>
      <c r="F289" t="inlineStr">
        <is>
          <t>JÖNKÖPINGS LÄN</t>
        </is>
      </c>
      <c r="G289" t="inlineStr">
        <is>
          <t>SÄVSJÖ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46283</v>
      </c>
      <c r="F290" t="inlineStr">
        <is>
          <t>JÖNKÖPINGS LÄN</t>
        </is>
      </c>
      <c r="G290" t="inlineStr">
        <is>
          <t>SÄVSJÖ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31721-2026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46226</v>
      </c>
      <c r="E291" s="1" t="n">
        <v>46283</v>
      </c>
      <c r="F291" t="inlineStr">
        <is>
          <t>JÖNKÖPINGS LÄN</t>
        </is>
      </c>
      <c r="G291" t="inlineStr">
        <is>
          <t>SÄVSJÖ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46283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45320</v>
      </c>
      <c r="E293" s="1" t="n">
        <v>46283</v>
      </c>
      <c r="F293" t="inlineStr">
        <is>
          <t>JÖNKÖPINGS LÄN</t>
        </is>
      </c>
      <c r="G293" t="inlineStr">
        <is>
          <t>SÄVSJÖ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46272</v>
      </c>
      <c r="E294" s="1" t="n">
        <v>46283</v>
      </c>
      <c r="F294" t="inlineStr">
        <is>
          <t>JÖNKÖPINGS LÄN</t>
        </is>
      </c>
      <c r="G294" t="inlineStr">
        <is>
          <t>SÄVSJÖ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45252</v>
      </c>
      <c r="E295" s="1" t="n">
        <v>46283</v>
      </c>
      <c r="F295" t="inlineStr">
        <is>
          <t>JÖNKÖPINGS LÄN</t>
        </is>
      </c>
      <c r="G295" t="inlineStr">
        <is>
          <t>SÄVSJÖ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62870-2025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46008</v>
      </c>
      <c r="E296" s="1" t="n">
        <v>46283</v>
      </c>
      <c r="F296" t="inlineStr">
        <is>
          <t>JÖNKÖPINGS LÄN</t>
        </is>
      </c>
      <c r="G296" t="inlineStr">
        <is>
          <t>SÄVSJÖ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46248</v>
      </c>
      <c r="E297" s="1" t="n">
        <v>46283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46283</v>
      </c>
      <c r="F298" t="inlineStr">
        <is>
          <t>JÖNKÖPINGS LÄN</t>
        </is>
      </c>
      <c r="G298" t="inlineStr">
        <is>
          <t>SÄVSJÖ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46283</v>
      </c>
      <c r="F299" t="inlineStr">
        <is>
          <t>JÖNKÖPINGS LÄN</t>
        </is>
      </c>
      <c r="G299" t="inlineStr">
        <is>
          <t>SÄVSJÖ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46283</v>
      </c>
      <c r="F300" t="inlineStr">
        <is>
          <t>JÖNKÖPINGS LÄN</t>
        </is>
      </c>
      <c r="G300" t="inlineStr">
        <is>
          <t>SÄVSJÖ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38914-2024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45547</v>
      </c>
      <c r="E301" s="1" t="n">
        <v>46283</v>
      </c>
      <c r="F301" t="inlineStr">
        <is>
          <t>JÖNKÖPINGS LÄN</t>
        </is>
      </c>
      <c r="G301" t="inlineStr">
        <is>
          <t>SÄVSJÖ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63352-2025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46010</v>
      </c>
      <c r="E302" s="1" t="n">
        <v>46283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46014</v>
      </c>
      <c r="E303" s="1" t="n">
        <v>46283</v>
      </c>
      <c r="F303" t="inlineStr">
        <is>
          <t>JÖNKÖPINGS LÄN</t>
        </is>
      </c>
      <c r="G303" t="inlineStr">
        <is>
          <t>SÄVSJÖ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63668-2025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46014</v>
      </c>
      <c r="E304" s="1" t="n">
        <v>46283</v>
      </c>
      <c r="F304" t="inlineStr">
        <is>
          <t>JÖNKÖPINGS LÄN</t>
        </is>
      </c>
      <c r="G304" t="inlineStr">
        <is>
          <t>SÄVSJÖ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37079-2026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46273</v>
      </c>
      <c r="E305" s="1" t="n">
        <v>46283</v>
      </c>
      <c r="F305" t="inlineStr">
        <is>
          <t>JÖNKÖPINGS LÄN</t>
        </is>
      </c>
      <c r="G305" t="inlineStr">
        <is>
          <t>SÄVSJÖ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63660-2025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46014</v>
      </c>
      <c r="E306" s="1" t="n">
        <v>46283</v>
      </c>
      <c r="F306" t="inlineStr">
        <is>
          <t>JÖNKÖPINGS LÄN</t>
        </is>
      </c>
      <c r="G306" t="inlineStr">
        <is>
          <t>SÄVSJÖ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43976-2022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44838</v>
      </c>
      <c r="E307" s="1" t="n">
        <v>46283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46283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46283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46017</v>
      </c>
      <c r="E310" s="1" t="n">
        <v>46283</v>
      </c>
      <c r="F310" t="inlineStr">
        <is>
          <t>JÖNKÖPINGS LÄN</t>
        </is>
      </c>
      <c r="G310" t="inlineStr">
        <is>
          <t>SÄVSJÖ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45534</v>
      </c>
      <c r="E311" s="1" t="n">
        <v>46283</v>
      </c>
      <c r="F311" t="inlineStr">
        <is>
          <t>JÖNKÖPINGS LÄN</t>
        </is>
      </c>
      <c r="G311" t="inlineStr">
        <is>
          <t>SÄVSJÖ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46283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46276</v>
      </c>
      <c r="E313" s="1" t="n">
        <v>46283</v>
      </c>
      <c r="F313" t="inlineStr">
        <is>
          <t>JÖNKÖPINGS LÄN</t>
        </is>
      </c>
      <c r="G313" t="inlineStr">
        <is>
          <t>SÄVSJÖ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44952</v>
      </c>
      <c r="E314" s="1" t="n">
        <v>46283</v>
      </c>
      <c r="F314" t="inlineStr">
        <is>
          <t>JÖNKÖPINGS LÄN</t>
        </is>
      </c>
      <c r="G314" t="inlineStr">
        <is>
          <t>SÄVSJÖ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46283</v>
      </c>
      <c r="F315" t="inlineStr">
        <is>
          <t>JÖNKÖPINGS LÄN</t>
        </is>
      </c>
      <c r="G315" t="inlineStr">
        <is>
          <t>SÄVSJÖ</t>
        </is>
      </c>
      <c r="H315" t="inlineStr">
        <is>
          <t>Sveaskog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46283</v>
      </c>
      <c r="F316" t="inlineStr">
        <is>
          <t>JÖNKÖPINGS LÄN</t>
        </is>
      </c>
      <c r="G316" t="inlineStr">
        <is>
          <t>SÄVSJÖ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44929</v>
      </c>
      <c r="E317" s="1" t="n">
        <v>46283</v>
      </c>
      <c r="F317" t="inlineStr">
        <is>
          <t>JÖNKÖPINGS LÄN</t>
        </is>
      </c>
      <c r="G317" t="inlineStr">
        <is>
          <t>SÄVSJÖ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45261</v>
      </c>
      <c r="E318" s="1" t="n">
        <v>46283</v>
      </c>
      <c r="F318" t="inlineStr">
        <is>
          <t>JÖNKÖPINGS LÄN</t>
        </is>
      </c>
      <c r="G318" t="inlineStr">
        <is>
          <t>SÄVSJÖ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44893</v>
      </c>
      <c r="E319" s="1" t="n">
        <v>46283</v>
      </c>
      <c r="F319" t="inlineStr">
        <is>
          <t>JÖNKÖPINGS LÄN</t>
        </is>
      </c>
      <c r="G319" t="inlineStr">
        <is>
          <t>SÄVSJÖ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46283</v>
      </c>
      <c r="F320" t="inlineStr">
        <is>
          <t>JÖNKÖPINGS LÄN</t>
        </is>
      </c>
      <c r="G320" t="inlineStr">
        <is>
          <t>SÄVSJÖ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62421-2023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45268</v>
      </c>
      <c r="E321" s="1" t="n">
        <v>46283</v>
      </c>
      <c r="F321" t="inlineStr">
        <is>
          <t>JÖNKÖPINGS LÄN</t>
        </is>
      </c>
      <c r="G321" t="inlineStr">
        <is>
          <t>SÄVSJÖ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53916-2021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44469</v>
      </c>
      <c r="E322" s="1" t="n">
        <v>46283</v>
      </c>
      <c r="F322" t="inlineStr">
        <is>
          <t>JÖNKÖPINGS LÄN</t>
        </is>
      </c>
      <c r="G322" t="inlineStr">
        <is>
          <t>SÄVSJÖ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49292-2023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45210</v>
      </c>
      <c r="E323" s="1" t="n">
        <v>46283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46283</v>
      </c>
      <c r="F324" t="inlineStr">
        <is>
          <t>JÖNKÖPINGS LÄN</t>
        </is>
      </c>
      <c r="G324" t="inlineStr">
        <is>
          <t>SÄVSJÖ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46283</v>
      </c>
      <c r="F325" t="inlineStr">
        <is>
          <t>JÖNKÖPINGS LÄN</t>
        </is>
      </c>
      <c r="G325" t="inlineStr">
        <is>
          <t>SÄVSJÖ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44995</v>
      </c>
      <c r="E326" s="1" t="n">
        <v>46283</v>
      </c>
      <c r="F326" t="inlineStr">
        <is>
          <t>JÖNKÖPINGS LÄN</t>
        </is>
      </c>
      <c r="G326" t="inlineStr">
        <is>
          <t>SÄVSJÖ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45053</v>
      </c>
      <c r="E327" s="1" t="n">
        <v>46283</v>
      </c>
      <c r="F327" t="inlineStr">
        <is>
          <t>JÖNKÖPINGS LÄN</t>
        </is>
      </c>
      <c r="G327" t="inlineStr">
        <is>
          <t>SÄVSJÖ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45317</v>
      </c>
      <c r="E328" s="1" t="n">
        <v>46283</v>
      </c>
      <c r="F328" t="inlineStr">
        <is>
          <t>JÖNKÖPINGS LÄN</t>
        </is>
      </c>
      <c r="G328" t="inlineStr">
        <is>
          <t>SÄVSJÖ</t>
        </is>
      </c>
      <c r="I328" t="n">
        <v>19.9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11266-2024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46283</v>
      </c>
      <c r="F329" t="inlineStr">
        <is>
          <t>JÖNKÖPINGS LÄN</t>
        </is>
      </c>
      <c r="G329" t="inlineStr">
        <is>
          <t>SÄVSJÖ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46283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16368-2024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46283</v>
      </c>
      <c r="F331" t="inlineStr">
        <is>
          <t>JÖNKÖPINGS LÄN</t>
        </is>
      </c>
      <c r="G331" t="inlineStr">
        <is>
          <t>SÄVSJÖ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16372-2024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46283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46283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46283</v>
      </c>
      <c r="F334" t="inlineStr">
        <is>
          <t>JÖNKÖPINGS LÄN</t>
        </is>
      </c>
      <c r="G334" t="inlineStr">
        <is>
          <t>SÄVSJÖ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45301</v>
      </c>
      <c r="E335" s="1" t="n">
        <v>46283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46283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45102</v>
      </c>
      <c r="E337" s="1" t="n">
        <v>46283</v>
      </c>
      <c r="F337" t="inlineStr">
        <is>
          <t>JÖNKÖPINGS LÄN</t>
        </is>
      </c>
      <c r="G337" t="inlineStr">
        <is>
          <t>SÄVSJÖ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50629-2022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44866</v>
      </c>
      <c r="E338" s="1" t="n">
        <v>46283</v>
      </c>
      <c r="F338" t="inlineStr">
        <is>
          <t>JÖNKÖPINGS LÄN</t>
        </is>
      </c>
      <c r="G338" t="inlineStr">
        <is>
          <t>SÄVSJÖ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44664</v>
      </c>
      <c r="E339" s="1" t="n">
        <v>46283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44642</v>
      </c>
      <c r="E340" s="1" t="n">
        <v>46283</v>
      </c>
      <c r="F340" t="inlineStr">
        <is>
          <t>JÖNKÖPINGS LÄN</t>
        </is>
      </c>
      <c r="G340" t="inlineStr">
        <is>
          <t>SÄVSJÖ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45228</v>
      </c>
      <c r="E341" s="1" t="n">
        <v>46283</v>
      </c>
      <c r="F341" t="inlineStr">
        <is>
          <t>JÖNKÖPINGS LÄN</t>
        </is>
      </c>
      <c r="G341" t="inlineStr">
        <is>
          <t>SÄVSJÖ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45366</v>
      </c>
      <c r="E342" s="1" t="n">
        <v>46283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46283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46283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45094</v>
      </c>
      <c r="E345" s="1" t="n">
        <v>46283</v>
      </c>
      <c r="F345" t="inlineStr">
        <is>
          <t>JÖNKÖPINGS LÄN</t>
        </is>
      </c>
      <c r="G345" t="inlineStr">
        <is>
          <t>SÄVSJÖ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46283</v>
      </c>
      <c r="F346" t="inlineStr">
        <is>
          <t>JÖNKÖPINGS LÄN</t>
        </is>
      </c>
      <c r="G346" t="inlineStr">
        <is>
          <t>SÄVSJÖ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44935</v>
      </c>
      <c r="E347" s="1" t="n">
        <v>46283</v>
      </c>
      <c r="F347" t="inlineStr">
        <is>
          <t>JÖNKÖPINGS LÄN</t>
        </is>
      </c>
      <c r="G347" t="inlineStr">
        <is>
          <t>SÄVSJÖ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45341</v>
      </c>
      <c r="E348" s="1" t="n">
        <v>46283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46283</v>
      </c>
      <c r="F349" t="inlineStr">
        <is>
          <t>JÖNKÖPINGS LÄN</t>
        </is>
      </c>
      <c r="G349" t="inlineStr">
        <is>
          <t>SÄVSJÖ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46283</v>
      </c>
      <c r="F350" t="inlineStr">
        <is>
          <t>JÖNKÖPINGS LÄN</t>
        </is>
      </c>
      <c r="G350" t="inlineStr">
        <is>
          <t>SÄVSJÖ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45252</v>
      </c>
      <c r="E351" s="1" t="n">
        <v>46283</v>
      </c>
      <c r="F351" t="inlineStr">
        <is>
          <t>JÖNKÖPINGS LÄN</t>
        </is>
      </c>
      <c r="G351" t="inlineStr">
        <is>
          <t>SÄVSJÖ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45321</v>
      </c>
      <c r="E352" s="1" t="n">
        <v>46283</v>
      </c>
      <c r="F352" t="inlineStr">
        <is>
          <t>JÖNKÖPINGS LÄN</t>
        </is>
      </c>
      <c r="G352" t="inlineStr">
        <is>
          <t>SÄVSJÖ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46283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46283</v>
      </c>
      <c r="F354" t="inlineStr">
        <is>
          <t>JÖNKÖPINGS LÄN</t>
        </is>
      </c>
      <c r="G354" t="inlineStr">
        <is>
          <t>SÄVSJÖ</t>
        </is>
      </c>
      <c r="H354" t="inlineStr">
        <is>
          <t>Kyrkan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46283</v>
      </c>
      <c r="F355" t="inlineStr">
        <is>
          <t>JÖNKÖPINGS LÄN</t>
        </is>
      </c>
      <c r="G355" t="inlineStr">
        <is>
          <t>SÄVSJÖ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46283</v>
      </c>
      <c r="F356" t="inlineStr">
        <is>
          <t>JÖNKÖPINGS LÄN</t>
        </is>
      </c>
      <c r="G356" t="inlineStr">
        <is>
          <t>SÄVSJÖ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45747</v>
      </c>
      <c r="E357" s="1" t="n">
        <v>46283</v>
      </c>
      <c r="F357" t="inlineStr">
        <is>
          <t>JÖNKÖPINGS LÄN</t>
        </is>
      </c>
      <c r="G357" t="inlineStr">
        <is>
          <t>SÄVSJÖ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7917-2024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45350</v>
      </c>
      <c r="E358" s="1" t="n">
        <v>46283</v>
      </c>
      <c r="F358" t="inlineStr">
        <is>
          <t>JÖNKÖPINGS LÄN</t>
        </is>
      </c>
      <c r="G358" t="inlineStr">
        <is>
          <t>SÄVSJÖ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45694</v>
      </c>
      <c r="E359" s="1" t="n">
        <v>46283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45694</v>
      </c>
      <c r="E360" s="1" t="n">
        <v>46283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61408-2024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45646</v>
      </c>
      <c r="E361" s="1" t="n">
        <v>46283</v>
      </c>
      <c r="F361" t="inlineStr">
        <is>
          <t>JÖNKÖPINGS LÄN</t>
        </is>
      </c>
      <c r="G361" t="inlineStr">
        <is>
          <t>SÄVSJÖ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45315</v>
      </c>
      <c r="E362" s="1" t="n">
        <v>46283</v>
      </c>
      <c r="F362" t="inlineStr">
        <is>
          <t>JÖNKÖPINGS LÄN</t>
        </is>
      </c>
      <c r="G362" t="inlineStr">
        <is>
          <t>SÄVSJÖ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46283</v>
      </c>
      <c r="F363" t="inlineStr">
        <is>
          <t>JÖNKÖPINGS LÄN</t>
        </is>
      </c>
      <c r="G363" t="inlineStr">
        <is>
          <t>SÄVSJÖ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46283</v>
      </c>
      <c r="F364" t="inlineStr">
        <is>
          <t>JÖNKÖPINGS LÄN</t>
        </is>
      </c>
      <c r="G364" t="inlineStr">
        <is>
          <t>SÄVSJÖ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45725</v>
      </c>
      <c r="E365" s="1" t="n">
        <v>46283</v>
      </c>
      <c r="F365" t="inlineStr">
        <is>
          <t>JÖNKÖPINGS LÄN</t>
        </is>
      </c>
      <c r="G365" t="inlineStr">
        <is>
          <t>SÄVSJÖ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46283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45573</v>
      </c>
      <c r="E367" s="1" t="n">
        <v>46283</v>
      </c>
      <c r="F367" t="inlineStr">
        <is>
          <t>JÖNKÖPINGS LÄN</t>
        </is>
      </c>
      <c r="G367" t="inlineStr">
        <is>
          <t>SÄVSJÖ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60805-2024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45644</v>
      </c>
      <c r="E368" s="1" t="n">
        <v>46283</v>
      </c>
      <c r="F368" t="inlineStr">
        <is>
          <t>JÖNKÖPINGS LÄN</t>
        </is>
      </c>
      <c r="G368" t="inlineStr">
        <is>
          <t>SÄVSJÖ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46283</v>
      </c>
      <c r="F369" t="inlineStr">
        <is>
          <t>JÖNKÖPINGS LÄN</t>
        </is>
      </c>
      <c r="G369" t="inlineStr">
        <is>
          <t>SÄVSJÖ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46283</v>
      </c>
      <c r="F370" t="inlineStr">
        <is>
          <t>JÖNKÖPINGS LÄN</t>
        </is>
      </c>
      <c r="G370" t="inlineStr">
        <is>
          <t>SÄVSJÖ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46283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45611</v>
      </c>
      <c r="E372" s="1" t="n">
        <v>46283</v>
      </c>
      <c r="F372" t="inlineStr">
        <is>
          <t>JÖNKÖPINGS LÄN</t>
        </is>
      </c>
      <c r="G372" t="inlineStr">
        <is>
          <t>SÄVSJÖ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46283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46283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46283</v>
      </c>
      <c r="F375" t="inlineStr">
        <is>
          <t>JÖNKÖPINGS LÄN</t>
        </is>
      </c>
      <c r="G375" t="inlineStr">
        <is>
          <t>SÄVSJÖ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46283</v>
      </c>
      <c r="F376" t="inlineStr">
        <is>
          <t>JÖNKÖPINGS LÄN</t>
        </is>
      </c>
      <c r="G376" t="inlineStr">
        <is>
          <t>SÄVSJÖ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39045-2024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46283</v>
      </c>
      <c r="F377" t="inlineStr">
        <is>
          <t>JÖNKÖPINGS LÄN</t>
        </is>
      </c>
      <c r="G377" t="inlineStr">
        <is>
          <t>SÄVSJÖ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46283</v>
      </c>
      <c r="F378" t="inlineStr">
        <is>
          <t>JÖNKÖPINGS LÄN</t>
        </is>
      </c>
      <c r="G378" t="inlineStr">
        <is>
          <t>SÄVSJÖ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10445-2021</t>
        </is>
      </c>
      <c r="B379" t="inlineStr">
        <is>
          <t>samrådsanmälan</t>
        </is>
      </c>
      <c r="C379" t="inlineStr">
        <is>
          <t>Skogsbilväg</t>
        </is>
      </c>
      <c r="D379" s="1" t="n">
        <v>44558</v>
      </c>
      <c r="E379" s="1" t="n">
        <v>46283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46283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46283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46283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46283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46283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46283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46283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46283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46283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46283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46283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46283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46283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46283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46283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46283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46283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46283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46283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46283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46283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46283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46283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46283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46283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46283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46283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46283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46283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2026-09-18T02:03:46Z</dcterms:created>
  <dcterms:modified xmlns:dcterms="http://purl.org/dc/terms/" xmlns:xsi="http://www.w3.org/2001/XMLSchema-instance" xsi:type="dcterms:W3CDTF">2026-09-18T02:03:47Z</dcterms:modified>
</cp:coreProperties>
</file>