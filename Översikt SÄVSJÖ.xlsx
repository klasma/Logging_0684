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46275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46275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46275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46275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46275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46275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46275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61482-2024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45646</v>
      </c>
      <c r="E10" s="1" t="n">
        <v>46275</v>
      </c>
      <c r="F10" t="inlineStr">
        <is>
          <t>JÖNKÖPINGS LÄN</t>
        </is>
      </c>
      <c r="G10" t="inlineStr">
        <is>
          <t>SÄVSJÖ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61482-2024 artfynd.xlsx", "A 61482-2024")</f>
        <v/>
      </c>
      <c r="X10">
        <f>HYPERLINK("https://klasma.github.io/Logging_0684/kartor/A 61482-2024 karta.png", "A 61482-2024")</f>
        <v/>
      </c>
      <c r="Y10">
        <f>HYPERLINK("https://klasma.github.io/Logging_0684/kartor_geotiff/A 61482-2024 georefererad karta.tif", "A 61482-2024")</f>
        <v/>
      </c>
      <c r="AA10">
        <f>HYPERLINK("https://klasma.github.io/Logging_0684/klagomål/A 61482-2024 FSC-klagomål.docx", "A 61482-2024")</f>
        <v/>
      </c>
      <c r="AB10">
        <f>HYPERLINK("https://klasma.github.io/Logging_0684/klagomålsmail/A 61482-2024 FSC-klagomål mail.docx", "A 61482-2024")</f>
        <v/>
      </c>
      <c r="AC10">
        <f>HYPERLINK("https://klasma.github.io/Logging_0684/tillsyn/A 61482-2024 tillsynsbegäran.docx", "A 61482-2024")</f>
        <v/>
      </c>
      <c r="AD10">
        <f>HYPERLINK("https://klasma.github.io/Logging_0684/tillsynsmail/A 61482-2024 tillsynsbegäran mail.docx", "A 61482-2024")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46275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46275</v>
      </c>
      <c r="F12" t="inlineStr">
        <is>
          <t>JÖNKÖPINGS LÄN</t>
        </is>
      </c>
      <c r="G12" t="inlineStr">
        <is>
          <t>SÄVSJÖ</t>
        </is>
      </c>
      <c r="I12" t="n">
        <v>8.6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Blåsippa</t>
        </is>
      </c>
      <c r="W12">
        <f>HYPERLINK("https://klasma.github.io/Logging_0684/artfynd/A 10046-2025 artfynd.xlsx", "A 10046-2025")</f>
        <v/>
      </c>
      <c r="X12">
        <f>HYPERLINK("https://klasma.github.io/Logging_0684/kartor/A 10046-2025 karta.png", "A 10046-2025")</f>
        <v/>
      </c>
      <c r="Y12">
        <f>HYPERLINK("https://klasma.github.io/Logging_0684/kartor_geotiff/A 10046-2025 georefererad karta.tif", "A 10046-2025")</f>
        <v/>
      </c>
      <c r="AA12">
        <f>HYPERLINK("https://klasma.github.io/Logging_0684/klagomål/A 10046-2025 FSC-klagomål.docx", "A 10046-2025")</f>
        <v/>
      </c>
      <c r="AB12">
        <f>HYPERLINK("https://klasma.github.io/Logging_0684/klagomålsmail/A 10046-2025 FSC-klagomål mail.docx", "A 10046-2025")</f>
        <v/>
      </c>
      <c r="AC12">
        <f>HYPERLINK("https://klasma.github.io/Logging_0684/tillsyn/A 10046-2025 tillsynsbegäran.docx", "A 10046-2025")</f>
        <v/>
      </c>
      <c r="AD12">
        <f>HYPERLINK("https://klasma.github.io/Logging_0684/tillsynsmail/A 10046-2025 tillsynsbegäran mail.docx", "A 10046-2025")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46275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Bredgentiana</t>
        </is>
      </c>
      <c r="W13">
        <f>HYPERLINK("https://klasma.github.io/Logging_0684/artfynd/A 39632-2025 artfynd.xlsx", "A 39632-2025")</f>
        <v/>
      </c>
      <c r="X13">
        <f>HYPERLINK("https://klasma.github.io/Logging_0684/kartor/A 39632-2025 karta.png", "A 39632-2025")</f>
        <v/>
      </c>
      <c r="Y13">
        <f>HYPERLINK("https://klasma.github.io/Logging_0684/kartor_geotiff/A 39632-2025 georefererad karta.tif", "A 39632-2025")</f>
        <v/>
      </c>
      <c r="AA13">
        <f>HYPERLINK("https://klasma.github.io/Logging_0684/klagomål/A 39632-2025 FSC-klagomål.docx", "A 39632-2025")</f>
        <v/>
      </c>
      <c r="AB13">
        <f>HYPERLINK("https://klasma.github.io/Logging_0684/klagomålsmail/A 39632-2025 FSC-klagomål mail.docx", "A 39632-2025")</f>
        <v/>
      </c>
      <c r="AC13">
        <f>HYPERLINK("https://klasma.github.io/Logging_0684/tillsyn/A 39632-2025 tillsynsbegäran.docx", "A 39632-2025")</f>
        <v/>
      </c>
      <c r="AD13">
        <f>HYPERLINK("https://klasma.github.io/Logging_0684/tillsynsmail/A 39632-2025 tillsynsbegäran mail.docx", "A 39632-2025")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46275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45218</v>
      </c>
      <c r="E15" s="1" t="n">
        <v>46275</v>
      </c>
      <c r="F15" t="inlineStr">
        <is>
          <t>JÖNKÖPINGS LÄN</t>
        </is>
      </c>
      <c r="G15" t="inlineStr">
        <is>
          <t>SÄVSJÖ</t>
        </is>
      </c>
      <c r="I15" t="n">
        <v>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Korallrot</t>
        </is>
      </c>
      <c r="W15">
        <f>HYPERLINK("https://klasma.github.io/Logging_0684/artfynd/A 51095-2023 artfynd.xlsx", "A 51095-2023")</f>
        <v/>
      </c>
      <c r="X15">
        <f>HYPERLINK("https://klasma.github.io/Logging_0684/kartor/A 51095-2023 karta.png", "A 51095-2023")</f>
        <v/>
      </c>
      <c r="Y15">
        <f>HYPERLINK("https://klasma.github.io/Logging_0684/kartor_geotiff/A 51095-2023 georefererad karta.tif", "A 51095-2023")</f>
        <v/>
      </c>
      <c r="AA15">
        <f>HYPERLINK("https://klasma.github.io/Logging_0684/klagomål/A 51095-2023 FSC-klagomål.docx", "A 51095-2023")</f>
        <v/>
      </c>
      <c r="AB15">
        <f>HYPERLINK("https://klasma.github.io/Logging_0684/klagomålsmail/A 51095-2023 FSC-klagomål mail.docx", "A 51095-2023")</f>
        <v/>
      </c>
      <c r="AC15">
        <f>HYPERLINK("https://klasma.github.io/Logging_0684/tillsyn/A 51095-2023 tillsynsbegäran.docx", "A 51095-2023")</f>
        <v/>
      </c>
      <c r="AD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46275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57846-2025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45981</v>
      </c>
      <c r="E17" s="1" t="n">
        <v>46275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4</v>
      </c>
      <c r="U17" t="n">
        <v>0</v>
      </c>
      <c r="V17" s="2" t="inlineStr">
        <is>
          <t>Ask</t>
        </is>
      </c>
      <c r="W17">
        <f>HYPERLINK("https://klasma.github.io/Logging_0684/artfynd/A 57846-2025 artfynd.xlsx", "A 57846-2025")</f>
        <v/>
      </c>
      <c r="X17">
        <f>HYPERLINK("https://klasma.github.io/Logging_0684/kartor/A 57846-2025 karta.png", "A 57846-2025")</f>
        <v/>
      </c>
      <c r="Y17">
        <f>HYPERLINK("https://klasma.github.io/Logging_0684/kartor_geotiff/A 57846-2025 georefererad karta.tif", "A 57846-2025")</f>
        <v/>
      </c>
      <c r="AA17">
        <f>HYPERLINK("https://klasma.github.io/Logging_0684/klagomål/A 57846-2025 FSC-klagomål.docx", "A 57846-2025")</f>
        <v/>
      </c>
      <c r="AB17">
        <f>HYPERLINK("https://klasma.github.io/Logging_0684/klagomålsmail/A 57846-2025 FSC-klagomål mail.docx", "A 57846-2025")</f>
        <v/>
      </c>
      <c r="AC17">
        <f>HYPERLINK("https://klasma.github.io/Logging_0684/tillsyn/A 57846-2025 tillsynsbegäran.docx", "A 57846-2025")</f>
        <v/>
      </c>
      <c r="AD17">
        <f>HYPERLINK("https://klasma.github.io/Logging_0684/tillsynsmail/A 57846-2025 tillsynsbegäran mail.docx", "A 57846-2025")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46275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46275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46275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Lungrot</t>
        </is>
      </c>
      <c r="W20">
        <f>HYPERLINK("https://klasma.github.io/Logging_0684/artfynd/A 34214-2025 artfynd.xlsx", "A 34214-2025")</f>
        <v/>
      </c>
      <c r="X20">
        <f>HYPERLINK("https://klasma.github.io/Logging_0684/kartor/A 34214-2025 karta.png", "A 34214-2025")</f>
        <v/>
      </c>
      <c r="Y20">
        <f>HYPERLINK("https://klasma.github.io/Logging_0684/kartor_geotiff/A 34214-2025 georefererad karta.tif", "A 34214-2025")</f>
        <v/>
      </c>
      <c r="AA20">
        <f>HYPERLINK("https://klasma.github.io/Logging_0684/klagomål/A 34214-2025 FSC-klagomål.docx", "A 34214-2025")</f>
        <v/>
      </c>
      <c r="AB20">
        <f>HYPERLINK("https://klasma.github.io/Logging_0684/klagomålsmail/A 34214-2025 FSC-klagomål mail.docx", "A 34214-2025")</f>
        <v/>
      </c>
      <c r="AC20">
        <f>HYPERLINK("https://klasma.github.io/Logging_0684/tillsyn/A 34214-2025 tillsynsbegäran.docx", "A 34214-2025")</f>
        <v/>
      </c>
      <c r="AD20">
        <f>HYPERLINK("https://klasma.github.io/Logging_0684/tillsynsmail/A 34214-2025 tillsynsbegäran mail.docx", "A 34214-2025")</f>
        <v/>
      </c>
    </row>
    <row r="21" ht="15" customHeight="1">
      <c r="A21" t="inlineStr">
        <is>
          <t>A 61556-2025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46001</v>
      </c>
      <c r="E21" s="1" t="n">
        <v>46275</v>
      </c>
      <c r="F21" t="inlineStr">
        <is>
          <t>JÖNKÖPINGS LÄN</t>
        </is>
      </c>
      <c r="G21" t="inlineStr">
        <is>
          <t>SÄVSJÖ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Törnskata</t>
        </is>
      </c>
      <c r="W21">
        <f>HYPERLINK("https://klasma.github.io/Logging_0684/artfynd/A 61556-2025 artfynd.xlsx", "A 61556-2025")</f>
        <v/>
      </c>
      <c r="X21">
        <f>HYPERLINK("https://klasma.github.io/Logging_0684/kartor/A 61556-2025 karta.png", "A 61556-2025")</f>
        <v/>
      </c>
      <c r="Y21">
        <f>HYPERLINK("https://klasma.github.io/Logging_0684/kartor_geotiff/A 61556-2025 georefererad karta.tif", "A 61556-2025")</f>
        <v/>
      </c>
      <c r="AA21">
        <f>HYPERLINK("https://klasma.github.io/Logging_0684/klagomål/A 61556-2025 FSC-klagomål.docx", "A 61556-2025")</f>
        <v/>
      </c>
      <c r="AB21">
        <f>HYPERLINK("https://klasma.github.io/Logging_0684/klagomålsmail/A 61556-2025 FSC-klagomål mail.docx", "A 61556-2025")</f>
        <v/>
      </c>
      <c r="AC21">
        <f>HYPERLINK("https://klasma.github.io/Logging_0684/tillsyn/A 61556-2025 tillsynsbegäran.docx", "A 61556-2025")</f>
        <v/>
      </c>
      <c r="AD21">
        <f>HYPERLINK("https://klasma.github.io/Logging_0684/tillsynsmail/A 61556-2025 tillsynsbegäran mail.docx", "A 61556-2025")</f>
        <v/>
      </c>
      <c r="AE21">
        <f>HYPERLINK("https://klasma.github.io/Logging_0684/fåglar/A 61556-2025 prioriterade fågelarter.docx", "A 61556-2025")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46275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46275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46275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46275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46275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46275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46275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46275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46275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46275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46275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46275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46275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46275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46275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46275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46275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44852</v>
      </c>
      <c r="E39" s="1" t="n">
        <v>46275</v>
      </c>
      <c r="F39" t="inlineStr">
        <is>
          <t>JÖNKÖPINGS LÄN</t>
        </is>
      </c>
      <c r="G39" t="inlineStr">
        <is>
          <t>SÄVSJÖ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46275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46275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46275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46275</v>
      </c>
      <c r="F43" t="inlineStr">
        <is>
          <t>JÖNKÖPINGS LÄN</t>
        </is>
      </c>
      <c r="G43" t="inlineStr">
        <is>
          <t>SÄVSJÖ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44857</v>
      </c>
      <c r="E44" s="1" t="n">
        <v>46275</v>
      </c>
      <c r="F44" t="inlineStr">
        <is>
          <t>JÖNKÖPINGS LÄN</t>
        </is>
      </c>
      <c r="G44" t="inlineStr">
        <is>
          <t>SÄVSJÖ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46275</v>
      </c>
      <c r="F45" t="inlineStr">
        <is>
          <t>JÖNKÖPINGS LÄN</t>
        </is>
      </c>
      <c r="G45" t="inlineStr">
        <is>
          <t>SÄVSJÖ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66396-2021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44518</v>
      </c>
      <c r="E46" s="1" t="n">
        <v>46275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46275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47542-2022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46275</v>
      </c>
      <c r="F48" t="inlineStr">
        <is>
          <t>JÖNKÖPINGS LÄN</t>
        </is>
      </c>
      <c r="G48" t="inlineStr">
        <is>
          <t>SÄVSJÖ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46275</v>
      </c>
      <c r="F49" t="inlineStr">
        <is>
          <t>JÖNKÖPINGS LÄN</t>
        </is>
      </c>
      <c r="G49" t="inlineStr">
        <is>
          <t>SÄVSJÖ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46275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46275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46275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44468</v>
      </c>
      <c r="E53" s="1" t="n">
        <v>46275</v>
      </c>
      <c r="F53" t="inlineStr">
        <is>
          <t>JÖNKÖPINGS LÄN</t>
        </is>
      </c>
      <c r="G53" t="inlineStr">
        <is>
          <t>SÄVSJÖ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44789</v>
      </c>
      <c r="E54" s="1" t="n">
        <v>46275</v>
      </c>
      <c r="F54" t="inlineStr">
        <is>
          <t>JÖNKÖPINGS LÄN</t>
        </is>
      </c>
      <c r="G54" t="inlineStr">
        <is>
          <t>SÄVSJÖ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45155-2022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44844</v>
      </c>
      <c r="E55" s="1" t="n">
        <v>46275</v>
      </c>
      <c r="F55" t="inlineStr">
        <is>
          <t>JÖNKÖPINGS LÄN</t>
        </is>
      </c>
      <c r="G55" t="inlineStr">
        <is>
          <t>SÄVSJÖ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46275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69927-2021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46275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46275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61944-2021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44502</v>
      </c>
      <c r="E59" s="1" t="n">
        <v>46275</v>
      </c>
      <c r="F59" t="inlineStr">
        <is>
          <t>JÖNKÖPINGS LÄN</t>
        </is>
      </c>
      <c r="G59" t="inlineStr">
        <is>
          <t>SÄVSJÖ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71610-2021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44541</v>
      </c>
      <c r="E60" s="1" t="n">
        <v>46275</v>
      </c>
      <c r="F60" t="inlineStr">
        <is>
          <t>JÖNKÖPINGS LÄN</t>
        </is>
      </c>
      <c r="G60" t="inlineStr">
        <is>
          <t>SÄVSJÖ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46275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46275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46275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20603-2022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44700</v>
      </c>
      <c r="E64" s="1" t="n">
        <v>46275</v>
      </c>
      <c r="F64" t="inlineStr">
        <is>
          <t>JÖNKÖPINGS LÄN</t>
        </is>
      </c>
      <c r="G64" t="inlineStr">
        <is>
          <t>SÄVSJÖ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46275</v>
      </c>
      <c r="F65" t="inlineStr">
        <is>
          <t>JÖNKÖPINGS LÄN</t>
        </is>
      </c>
      <c r="G65" t="inlineStr">
        <is>
          <t>SÄVSJÖ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45098</v>
      </c>
      <c r="E66" s="1" t="n">
        <v>46275</v>
      </c>
      <c r="F66" t="inlineStr">
        <is>
          <t>JÖNKÖPINGS LÄN</t>
        </is>
      </c>
      <c r="G66" t="inlineStr">
        <is>
          <t>SÄVSJÖ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46275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45454</v>
      </c>
      <c r="E68" s="1" t="n">
        <v>46275</v>
      </c>
      <c r="F68" t="inlineStr">
        <is>
          <t>JÖNKÖPINGS LÄN</t>
        </is>
      </c>
      <c r="G68" t="inlineStr">
        <is>
          <t>SÄVSJÖ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46275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46275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46275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45253</v>
      </c>
      <c r="E72" s="1" t="n">
        <v>46275</v>
      </c>
      <c r="F72" t="inlineStr">
        <is>
          <t>JÖNKÖPINGS LÄN</t>
        </is>
      </c>
      <c r="G72" t="inlineStr">
        <is>
          <t>SÄVSJÖ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45634</v>
      </c>
      <c r="E73" s="1" t="n">
        <v>46275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46275</v>
      </c>
      <c r="F74" t="inlineStr">
        <is>
          <t>JÖNKÖPINGS LÄN</t>
        </is>
      </c>
      <c r="G74" t="inlineStr">
        <is>
          <t>SÄVSJÖ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46275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45669</v>
      </c>
      <c r="E76" s="1" t="n">
        <v>46275</v>
      </c>
      <c r="F76" t="inlineStr">
        <is>
          <t>JÖNKÖPINGS LÄN</t>
        </is>
      </c>
      <c r="G76" t="inlineStr">
        <is>
          <t>SÄVSJÖ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46275</v>
      </c>
      <c r="F77" t="inlineStr">
        <is>
          <t>JÖNKÖPINGS LÄN</t>
        </is>
      </c>
      <c r="G77" t="inlineStr">
        <is>
          <t>SÄVSJÖ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46609-2023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46275</v>
      </c>
      <c r="F78" t="inlineStr">
        <is>
          <t>JÖNKÖPINGS LÄN</t>
        </is>
      </c>
      <c r="G78" t="inlineStr">
        <is>
          <t>SÄVSJÖ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44991</v>
      </c>
      <c r="E79" s="1" t="n">
        <v>46275</v>
      </c>
      <c r="F79" t="inlineStr">
        <is>
          <t>JÖNKÖPINGS LÄN</t>
        </is>
      </c>
      <c r="G79" t="inlineStr">
        <is>
          <t>SÄVSJÖ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45338</v>
      </c>
      <c r="E80" s="1" t="n">
        <v>46275</v>
      </c>
      <c r="F80" t="inlineStr">
        <is>
          <t>JÖNKÖPINGS LÄN</t>
        </is>
      </c>
      <c r="G80" t="inlineStr">
        <is>
          <t>SÄVSJÖ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46275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44883</v>
      </c>
      <c r="E82" s="1" t="n">
        <v>46275</v>
      </c>
      <c r="F82" t="inlineStr">
        <is>
          <t>JÖNKÖPINGS LÄN</t>
        </is>
      </c>
      <c r="G82" t="inlineStr">
        <is>
          <t>SÄVSJÖ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44820</v>
      </c>
      <c r="E83" s="1" t="n">
        <v>46275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46275</v>
      </c>
      <c r="F84" t="inlineStr">
        <is>
          <t>JÖNKÖPINGS LÄN</t>
        </is>
      </c>
      <c r="G84" t="inlineStr">
        <is>
          <t>SÄVSJÖ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46275</v>
      </c>
      <c r="F85" t="inlineStr">
        <is>
          <t>JÖNKÖPINGS LÄN</t>
        </is>
      </c>
      <c r="G85" t="inlineStr">
        <is>
          <t>SÄVSJÖ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55254-2021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44475</v>
      </c>
      <c r="E86" s="1" t="n">
        <v>46275</v>
      </c>
      <c r="F86" t="inlineStr">
        <is>
          <t>JÖNKÖPINGS LÄN</t>
        </is>
      </c>
      <c r="G86" t="inlineStr">
        <is>
          <t>SÄVSJÖ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45067</v>
      </c>
      <c r="E87" s="1" t="n">
        <v>46275</v>
      </c>
      <c r="F87" t="inlineStr">
        <is>
          <t>JÖNKÖPINGS LÄN</t>
        </is>
      </c>
      <c r="G87" t="inlineStr">
        <is>
          <t>SÄVSJÖ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45244</v>
      </c>
      <c r="E88" s="1" t="n">
        <v>46275</v>
      </c>
      <c r="F88" t="inlineStr">
        <is>
          <t>JÖNKÖPINGS LÄN</t>
        </is>
      </c>
      <c r="G88" t="inlineStr">
        <is>
          <t>SÄVSJÖ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46275</v>
      </c>
      <c r="F89" t="inlineStr">
        <is>
          <t>JÖNKÖPINGS LÄN</t>
        </is>
      </c>
      <c r="G89" t="inlineStr">
        <is>
          <t>SÄVSJÖ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46275</v>
      </c>
      <c r="F90" t="inlineStr">
        <is>
          <t>JÖNKÖPINGS LÄN</t>
        </is>
      </c>
      <c r="G90" t="inlineStr">
        <is>
          <t>SÄVSJÖ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46275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46275</v>
      </c>
      <c r="F92" t="inlineStr">
        <is>
          <t>JÖNKÖPINGS LÄN</t>
        </is>
      </c>
      <c r="G92" t="inlineStr">
        <is>
          <t>SÄVSJÖ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46275</v>
      </c>
      <c r="F93" t="inlineStr">
        <is>
          <t>JÖNKÖPINGS LÄN</t>
        </is>
      </c>
      <c r="G93" t="inlineStr">
        <is>
          <t>SÄVSJÖ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46275</v>
      </c>
      <c r="F94" t="inlineStr">
        <is>
          <t>JÖNKÖPINGS LÄN</t>
        </is>
      </c>
      <c r="G94" t="inlineStr">
        <is>
          <t>SÄVSJÖ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46275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46275</v>
      </c>
      <c r="F96" t="inlineStr">
        <is>
          <t>JÖNKÖPINGS LÄN</t>
        </is>
      </c>
      <c r="G96" t="inlineStr">
        <is>
          <t>SÄVSJÖ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46275</v>
      </c>
      <c r="F97" t="inlineStr">
        <is>
          <t>JÖNKÖPINGS LÄN</t>
        </is>
      </c>
      <c r="G97" t="inlineStr">
        <is>
          <t>SÄVSJÖ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45768</v>
      </c>
      <c r="E98" s="1" t="n">
        <v>46275</v>
      </c>
      <c r="F98" t="inlineStr">
        <is>
          <t>JÖNKÖPINGS LÄN</t>
        </is>
      </c>
      <c r="G98" t="inlineStr">
        <is>
          <t>SÄVSJÖ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46275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45448</v>
      </c>
      <c r="E100" s="1" t="n">
        <v>46275</v>
      </c>
      <c r="F100" t="inlineStr">
        <is>
          <t>JÖNKÖPINGS LÄN</t>
        </is>
      </c>
      <c r="G100" t="inlineStr">
        <is>
          <t>SÄVSJÖ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46275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45446</v>
      </c>
      <c r="E102" s="1" t="n">
        <v>46275</v>
      </c>
      <c r="F102" t="inlineStr">
        <is>
          <t>JÖNKÖPINGS LÄN</t>
        </is>
      </c>
      <c r="G102" t="inlineStr">
        <is>
          <t>SÄVSJÖ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55258-2021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46275</v>
      </c>
      <c r="F103" t="inlineStr">
        <is>
          <t>JÖNKÖPINGS LÄN</t>
        </is>
      </c>
      <c r="G103" t="inlineStr">
        <is>
          <t>SÄVSJÖ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44951</v>
      </c>
      <c r="E104" s="1" t="n">
        <v>46275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46275</v>
      </c>
      <c r="F105" t="inlineStr">
        <is>
          <t>JÖNKÖPINGS LÄN</t>
        </is>
      </c>
      <c r="G105" t="inlineStr">
        <is>
          <t>SÄVSJÖ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46275</v>
      </c>
      <c r="F106" t="inlineStr">
        <is>
          <t>JÖNKÖPINGS LÄN</t>
        </is>
      </c>
      <c r="G106" t="inlineStr">
        <is>
          <t>SÄVSJÖ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46275</v>
      </c>
      <c r="F107" t="inlineStr">
        <is>
          <t>JÖNKÖPINGS LÄN</t>
        </is>
      </c>
      <c r="G107" t="inlineStr">
        <is>
          <t>SÄVSJÖ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46275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44972</v>
      </c>
      <c r="E109" s="1" t="n">
        <v>46275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46275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45053</v>
      </c>
      <c r="E111" s="1" t="n">
        <v>46275</v>
      </c>
      <c r="F111" t="inlineStr">
        <is>
          <t>JÖNKÖPINGS LÄN</t>
        </is>
      </c>
      <c r="G111" t="inlineStr">
        <is>
          <t>SÄVSJÖ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46275</v>
      </c>
      <c r="F112" t="inlineStr">
        <is>
          <t>JÖNKÖPINGS LÄN</t>
        </is>
      </c>
      <c r="G112" t="inlineStr">
        <is>
          <t>SÄVSJÖ</t>
        </is>
      </c>
      <c r="I112" t="n">
        <v>19.9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46275</v>
      </c>
      <c r="F113" t="inlineStr">
        <is>
          <t>JÖNKÖPINGS LÄN</t>
        </is>
      </c>
      <c r="G113" t="inlineStr">
        <is>
          <t>SÄVSJÖ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45704</v>
      </c>
      <c r="E114" s="1" t="n">
        <v>46275</v>
      </c>
      <c r="F114" t="inlineStr">
        <is>
          <t>JÖNKÖPINGS LÄN</t>
        </is>
      </c>
      <c r="G114" t="inlineStr">
        <is>
          <t>SÄVSJÖ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46275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45161</v>
      </c>
      <c r="E116" s="1" t="n">
        <v>46275</v>
      </c>
      <c r="F116" t="inlineStr">
        <is>
          <t>JÖNKÖPINGS LÄN</t>
        </is>
      </c>
      <c r="G116" t="inlineStr">
        <is>
          <t>SÄVSJÖ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50627-2022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44866</v>
      </c>
      <c r="E117" s="1" t="n">
        <v>46275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45015</v>
      </c>
      <c r="E118" s="1" t="n">
        <v>46275</v>
      </c>
      <c r="F118" t="inlineStr">
        <is>
          <t>JÖNKÖPINGS LÄN</t>
        </is>
      </c>
      <c r="G118" t="inlineStr">
        <is>
          <t>SÄVSJÖ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46275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46275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46275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46275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46275</v>
      </c>
      <c r="F123" t="inlineStr">
        <is>
          <t>JÖNKÖPINGS LÄN</t>
        </is>
      </c>
      <c r="G123" t="inlineStr">
        <is>
          <t>SÄVSJÖ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36390-2024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45534</v>
      </c>
      <c r="E124" s="1" t="n">
        <v>46275</v>
      </c>
      <c r="F124" t="inlineStr">
        <is>
          <t>JÖNKÖPINGS LÄN</t>
        </is>
      </c>
      <c r="G124" t="inlineStr">
        <is>
          <t>SÄVSJÖ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21788-2023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45066</v>
      </c>
      <c r="E125" s="1" t="n">
        <v>46275</v>
      </c>
      <c r="F125" t="inlineStr">
        <is>
          <t>JÖNKÖPINGS LÄN</t>
        </is>
      </c>
      <c r="G125" t="inlineStr">
        <is>
          <t>SÄVSJÖ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46275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46275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45764</v>
      </c>
      <c r="E128" s="1" t="n">
        <v>46275</v>
      </c>
      <c r="F128" t="inlineStr">
        <is>
          <t>JÖNKÖPINGS LÄN</t>
        </is>
      </c>
      <c r="G128" t="inlineStr">
        <is>
          <t>SÄVSJÖ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45694</v>
      </c>
      <c r="E129" s="1" t="n">
        <v>46275</v>
      </c>
      <c r="F129" t="inlineStr">
        <is>
          <t>JÖNKÖPINGS LÄN</t>
        </is>
      </c>
      <c r="G129" t="inlineStr">
        <is>
          <t>SÄVSJÖ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45660</v>
      </c>
      <c r="E130" s="1" t="n">
        <v>46275</v>
      </c>
      <c r="F130" t="inlineStr">
        <is>
          <t>JÖNKÖPINGS LÄN</t>
        </is>
      </c>
      <c r="G130" t="inlineStr">
        <is>
          <t>SÄVSJÖ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45301</v>
      </c>
      <c r="E131" s="1" t="n">
        <v>46275</v>
      </c>
      <c r="F131" t="inlineStr">
        <is>
          <t>JÖNKÖPINGS LÄN</t>
        </is>
      </c>
      <c r="G131" t="inlineStr">
        <is>
          <t>SÄVSJÖ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46275</v>
      </c>
      <c r="F132" t="inlineStr">
        <is>
          <t>JÖNKÖPINGS LÄN</t>
        </is>
      </c>
      <c r="G132" t="inlineStr">
        <is>
          <t>SÄVSJÖ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46275</v>
      </c>
      <c r="F133" t="inlineStr">
        <is>
          <t>JÖNKÖPINGS LÄN</t>
        </is>
      </c>
      <c r="G133" t="inlineStr">
        <is>
          <t>SÄVSJÖ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45315</v>
      </c>
      <c r="E134" s="1" t="n">
        <v>46275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46275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46275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44839</v>
      </c>
      <c r="E137" s="1" t="n">
        <v>46275</v>
      </c>
      <c r="F137" t="inlineStr">
        <is>
          <t>JÖNKÖPINGS LÄN</t>
        </is>
      </c>
      <c r="G137" t="inlineStr">
        <is>
          <t>SÄVSJÖ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45102</v>
      </c>
      <c r="E138" s="1" t="n">
        <v>46275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50629-2022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44866</v>
      </c>
      <c r="E139" s="1" t="n">
        <v>46275</v>
      </c>
      <c r="F139" t="inlineStr">
        <is>
          <t>JÖNKÖPINGS LÄN</t>
        </is>
      </c>
      <c r="G139" t="inlineStr">
        <is>
          <t>SÄVSJÖ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46275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44642</v>
      </c>
      <c r="E141" s="1" t="n">
        <v>46275</v>
      </c>
      <c r="F141" t="inlineStr">
        <is>
          <t>JÖNKÖPINGS LÄN</t>
        </is>
      </c>
      <c r="G141" t="inlineStr">
        <is>
          <t>SÄVSJÖ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45228</v>
      </c>
      <c r="E142" s="1" t="n">
        <v>46275</v>
      </c>
      <c r="F142" t="inlineStr">
        <is>
          <t>JÖNKÖPINGS LÄN</t>
        </is>
      </c>
      <c r="G142" t="inlineStr">
        <is>
          <t>SÄVSJÖ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45094</v>
      </c>
      <c r="E143" s="1" t="n">
        <v>46275</v>
      </c>
      <c r="F143" t="inlineStr">
        <is>
          <t>JÖNKÖPINGS LÄN</t>
        </is>
      </c>
      <c r="G143" t="inlineStr">
        <is>
          <t>SÄVSJÖ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46275</v>
      </c>
      <c r="F144" t="inlineStr">
        <is>
          <t>JÖNKÖPINGS LÄN</t>
        </is>
      </c>
      <c r="G144" t="inlineStr">
        <is>
          <t>SÄVSJÖ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44826</v>
      </c>
      <c r="E145" s="1" t="n">
        <v>46275</v>
      </c>
      <c r="F145" t="inlineStr">
        <is>
          <t>JÖNKÖPINGS LÄN</t>
        </is>
      </c>
      <c r="G145" t="inlineStr">
        <is>
          <t>SÄVSJÖ</t>
        </is>
      </c>
      <c r="H145" t="inlineStr">
        <is>
          <t>Sveaskog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45094</v>
      </c>
      <c r="E146" s="1" t="n">
        <v>46275</v>
      </c>
      <c r="F146" t="inlineStr">
        <is>
          <t>JÖNKÖPINGS LÄN</t>
        </is>
      </c>
      <c r="G146" t="inlineStr">
        <is>
          <t>SÄVSJÖ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45127</v>
      </c>
      <c r="E147" s="1" t="n">
        <v>46275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46275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46275</v>
      </c>
      <c r="F149" t="inlineStr">
        <is>
          <t>JÖNKÖPINGS LÄN</t>
        </is>
      </c>
      <c r="G149" t="inlineStr">
        <is>
          <t>SÄVSJÖ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46275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46275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46275</v>
      </c>
      <c r="F152" t="inlineStr">
        <is>
          <t>JÖNKÖPINGS LÄN</t>
        </is>
      </c>
      <c r="G152" t="inlineStr">
        <is>
          <t>SÄVSJÖ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64126-2021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46275</v>
      </c>
      <c r="F153" t="inlineStr">
        <is>
          <t>JÖNKÖPINGS LÄN</t>
        </is>
      </c>
      <c r="G153" t="inlineStr">
        <is>
          <t>SÄVSJÖ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46275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45094</v>
      </c>
      <c r="E155" s="1" t="n">
        <v>46275</v>
      </c>
      <c r="F155" t="inlineStr">
        <is>
          <t>JÖNKÖPINGS LÄN</t>
        </is>
      </c>
      <c r="G155" t="inlineStr">
        <is>
          <t>SÄVSJÖ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45320</v>
      </c>
      <c r="E156" s="1" t="n">
        <v>46275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45320</v>
      </c>
      <c r="E157" s="1" t="n">
        <v>46275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45611</v>
      </c>
      <c r="E158" s="1" t="n">
        <v>46275</v>
      </c>
      <c r="F158" t="inlineStr">
        <is>
          <t>JÖNKÖPINGS LÄN</t>
        </is>
      </c>
      <c r="G158" t="inlineStr">
        <is>
          <t>SÄVSJÖ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46275</v>
      </c>
      <c r="F159" t="inlineStr">
        <is>
          <t>JÖNKÖPINGS LÄN</t>
        </is>
      </c>
      <c r="G159" t="inlineStr">
        <is>
          <t>SÄVSJÖ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45118</v>
      </c>
      <c r="E160" s="1" t="n">
        <v>46275</v>
      </c>
      <c r="F160" t="inlineStr">
        <is>
          <t>JÖNKÖPINGS LÄN</t>
        </is>
      </c>
      <c r="G160" t="inlineStr">
        <is>
          <t>SÄVSJÖ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62961-2021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44505</v>
      </c>
      <c r="E161" s="1" t="n">
        <v>46275</v>
      </c>
      <c r="F161" t="inlineStr">
        <is>
          <t>JÖNKÖPINGS LÄN</t>
        </is>
      </c>
      <c r="G161" t="inlineStr">
        <is>
          <t>SÄVSJÖ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45341</v>
      </c>
      <c r="E162" s="1" t="n">
        <v>46275</v>
      </c>
      <c r="F162" t="inlineStr">
        <is>
          <t>JÖNKÖPINGS LÄN</t>
        </is>
      </c>
      <c r="G162" t="inlineStr">
        <is>
          <t>SÄVSJÖ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46275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46275</v>
      </c>
      <c r="F164" t="inlineStr">
        <is>
          <t>JÖNKÖPINGS LÄN</t>
        </is>
      </c>
      <c r="G164" t="inlineStr">
        <is>
          <t>SÄVSJÖ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44944</v>
      </c>
      <c r="E165" s="1" t="n">
        <v>46275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46275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46275</v>
      </c>
      <c r="F167" t="inlineStr">
        <is>
          <t>JÖNKÖPINGS LÄN</t>
        </is>
      </c>
      <c r="G167" t="inlineStr">
        <is>
          <t>SÄVSJÖ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45541</v>
      </c>
      <c r="E168" s="1" t="n">
        <v>46275</v>
      </c>
      <c r="F168" t="inlineStr">
        <is>
          <t>JÖNKÖPINGS LÄN</t>
        </is>
      </c>
      <c r="G168" t="inlineStr">
        <is>
          <t>SÄVSJÖ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46275</v>
      </c>
      <c r="F169" t="inlineStr">
        <is>
          <t>JÖNKÖPINGS LÄN</t>
        </is>
      </c>
      <c r="G169" t="inlineStr">
        <is>
          <t>SÄVSJÖ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45037</v>
      </c>
      <c r="E170" s="1" t="n">
        <v>46275</v>
      </c>
      <c r="F170" t="inlineStr">
        <is>
          <t>JÖNKÖPINGS LÄN</t>
        </is>
      </c>
      <c r="G170" t="inlineStr">
        <is>
          <t>SÄVSJÖ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46275</v>
      </c>
      <c r="F171" t="inlineStr">
        <is>
          <t>JÖNKÖPINGS LÄN</t>
        </is>
      </c>
      <c r="G171" t="inlineStr">
        <is>
          <t>SÄVSJÖ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45146</v>
      </c>
      <c r="E172" s="1" t="n">
        <v>46275</v>
      </c>
      <c r="F172" t="inlineStr">
        <is>
          <t>JÖNKÖPINGS LÄN</t>
        </is>
      </c>
      <c r="G172" t="inlineStr">
        <is>
          <t>SÄVSJÖ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46275</v>
      </c>
      <c r="F173" t="inlineStr">
        <is>
          <t>JÖNKÖPINGS LÄN</t>
        </is>
      </c>
      <c r="G173" t="inlineStr">
        <is>
          <t>SÄVSJÖ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46275</v>
      </c>
      <c r="F174" t="inlineStr">
        <is>
          <t>JÖNKÖPINGS LÄN</t>
        </is>
      </c>
      <c r="G174" t="inlineStr">
        <is>
          <t>SÄVSJÖ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46275</v>
      </c>
      <c r="F175" t="inlineStr">
        <is>
          <t>JÖNKÖPINGS LÄN</t>
        </is>
      </c>
      <c r="G175" t="inlineStr">
        <is>
          <t>SÄVSJÖ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45601</v>
      </c>
      <c r="E176" s="1" t="n">
        <v>46275</v>
      </c>
      <c r="F176" t="inlineStr">
        <is>
          <t>JÖNKÖPINGS LÄN</t>
        </is>
      </c>
      <c r="G176" t="inlineStr">
        <is>
          <t>SÄVSJÖ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46275</v>
      </c>
      <c r="F177" t="inlineStr">
        <is>
          <t>JÖNKÖPINGS LÄN</t>
        </is>
      </c>
      <c r="G177" t="inlineStr">
        <is>
          <t>SÄVSJÖ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46275</v>
      </c>
      <c r="F178" t="inlineStr">
        <is>
          <t>JÖNKÖPINGS LÄN</t>
        </is>
      </c>
      <c r="G178" t="inlineStr">
        <is>
          <t>SÄVSJÖ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46275</v>
      </c>
      <c r="F179" t="inlineStr">
        <is>
          <t>JÖNKÖPINGS LÄN</t>
        </is>
      </c>
      <c r="G179" t="inlineStr">
        <is>
          <t>SÄVSJÖ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46275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46275</v>
      </c>
      <c r="F181" t="inlineStr">
        <is>
          <t>JÖNKÖPINGS LÄN</t>
        </is>
      </c>
      <c r="G181" t="inlineStr">
        <is>
          <t>SÄVSJÖ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45433</v>
      </c>
      <c r="E182" s="1" t="n">
        <v>46275</v>
      </c>
      <c r="F182" t="inlineStr">
        <is>
          <t>JÖNKÖPINGS LÄN</t>
        </is>
      </c>
      <c r="G182" t="inlineStr">
        <is>
          <t>SÄVSJÖ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46275</v>
      </c>
      <c r="F183" t="inlineStr">
        <is>
          <t>JÖNKÖPINGS LÄN</t>
        </is>
      </c>
      <c r="G183" t="inlineStr">
        <is>
          <t>SÄVSJÖ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46275</v>
      </c>
      <c r="F184" t="inlineStr">
        <is>
          <t>JÖNKÖPINGS LÄN</t>
        </is>
      </c>
      <c r="G184" t="inlineStr">
        <is>
          <t>SÄVSJÖ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45698</v>
      </c>
      <c r="E185" s="1" t="n">
        <v>46275</v>
      </c>
      <c r="F185" t="inlineStr">
        <is>
          <t>JÖNKÖPINGS LÄN</t>
        </is>
      </c>
      <c r="G185" t="inlineStr">
        <is>
          <t>SÄVSJÖ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46275</v>
      </c>
      <c r="F186" t="inlineStr">
        <is>
          <t>JÖNKÖPINGS LÄN</t>
        </is>
      </c>
      <c r="G186" t="inlineStr">
        <is>
          <t>SÄVSJÖ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46275</v>
      </c>
      <c r="F187" t="inlineStr">
        <is>
          <t>JÖNKÖPINGS LÄN</t>
        </is>
      </c>
      <c r="G187" t="inlineStr">
        <is>
          <t>SÄVSJÖ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45607</v>
      </c>
      <c r="E188" s="1" t="n">
        <v>46275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45607</v>
      </c>
      <c r="E189" s="1" t="n">
        <v>46275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46275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46275</v>
      </c>
      <c r="F191" t="inlineStr">
        <is>
          <t>JÖNKÖPINGS LÄN</t>
        </is>
      </c>
      <c r="G191" t="inlineStr">
        <is>
          <t>SÄVSJÖ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7917-2024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45350</v>
      </c>
      <c r="E192" s="1" t="n">
        <v>46275</v>
      </c>
      <c r="F192" t="inlineStr">
        <is>
          <t>JÖNKÖPINGS LÄN</t>
        </is>
      </c>
      <c r="G192" t="inlineStr">
        <is>
          <t>SÄVSJÖ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45694</v>
      </c>
      <c r="E193" s="1" t="n">
        <v>46275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46275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46275</v>
      </c>
      <c r="F195" t="inlineStr">
        <is>
          <t>JÖNKÖPINGS LÄN</t>
        </is>
      </c>
      <c r="G195" t="inlineStr">
        <is>
          <t>SÄVSJÖ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46275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45634</v>
      </c>
      <c r="E197" s="1" t="n">
        <v>46275</v>
      </c>
      <c r="F197" t="inlineStr">
        <is>
          <t>JÖNKÖPINGS LÄN</t>
        </is>
      </c>
      <c r="G197" t="inlineStr">
        <is>
          <t>SÄVSJÖ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46275</v>
      </c>
      <c r="F198" t="inlineStr">
        <is>
          <t>JÖNKÖPINGS LÄN</t>
        </is>
      </c>
      <c r="G198" t="inlineStr">
        <is>
          <t>SÄVSJÖ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46275</v>
      </c>
      <c r="F199" t="inlineStr">
        <is>
          <t>JÖNKÖPINGS LÄN</t>
        </is>
      </c>
      <c r="G199" t="inlineStr">
        <is>
          <t>SÄVSJÖ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46275</v>
      </c>
      <c r="F200" t="inlineStr">
        <is>
          <t>JÖNKÖPINGS LÄN</t>
        </is>
      </c>
      <c r="G200" t="inlineStr">
        <is>
          <t>SÄVSJÖ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44988</v>
      </c>
      <c r="E201" s="1" t="n">
        <v>46275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55801-2021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44476</v>
      </c>
      <c r="E202" s="1" t="n">
        <v>46275</v>
      </c>
      <c r="F202" t="inlineStr">
        <is>
          <t>JÖNKÖPINGS LÄN</t>
        </is>
      </c>
      <c r="G202" t="inlineStr">
        <is>
          <t>SÄVSJÖ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46275</v>
      </c>
      <c r="F203" t="inlineStr">
        <is>
          <t>JÖNKÖPINGS LÄN</t>
        </is>
      </c>
      <c r="G203" t="inlineStr">
        <is>
          <t>SÄVSJÖ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46275</v>
      </c>
      <c r="F204" t="inlineStr">
        <is>
          <t>JÖNKÖPINGS LÄN</t>
        </is>
      </c>
      <c r="G204" t="inlineStr">
        <is>
          <t>SÄVSJÖ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46275</v>
      </c>
      <c r="F205" t="inlineStr">
        <is>
          <t>JÖNKÖPINGS LÄN</t>
        </is>
      </c>
      <c r="G205" t="inlineStr">
        <is>
          <t>SÄVSJÖ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46275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45106</v>
      </c>
      <c r="E207" s="1" t="n">
        <v>46275</v>
      </c>
      <c r="F207" t="inlineStr">
        <is>
          <t>JÖNKÖPINGS LÄN</t>
        </is>
      </c>
      <c r="G207" t="inlineStr">
        <is>
          <t>SÄVSJÖ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45623</v>
      </c>
      <c r="E208" s="1" t="n">
        <v>46275</v>
      </c>
      <c r="F208" t="inlineStr">
        <is>
          <t>JÖNKÖPINGS LÄN</t>
        </is>
      </c>
      <c r="G208" t="inlineStr">
        <is>
          <t>SÄVSJÖ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45518</v>
      </c>
      <c r="E209" s="1" t="n">
        <v>46275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63920-2021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44509</v>
      </c>
      <c r="E210" s="1" t="n">
        <v>46275</v>
      </c>
      <c r="F210" t="inlineStr">
        <is>
          <t>JÖNKÖPINGS LÄN</t>
        </is>
      </c>
      <c r="G210" t="inlineStr">
        <is>
          <t>SÄVSJÖ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46275</v>
      </c>
      <c r="F211" t="inlineStr">
        <is>
          <t>JÖNKÖPINGS LÄN</t>
        </is>
      </c>
      <c r="G211" t="inlineStr">
        <is>
          <t>SÄVSJÖ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46275</v>
      </c>
      <c r="F212" t="inlineStr">
        <is>
          <t>JÖNKÖPINGS LÄN</t>
        </is>
      </c>
      <c r="G212" t="inlineStr">
        <is>
          <t>SÄVSJÖ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46275</v>
      </c>
      <c r="F213" t="inlineStr">
        <is>
          <t>JÖNKÖPINGS LÄN</t>
        </is>
      </c>
      <c r="G213" t="inlineStr">
        <is>
          <t>SÄVSJÖ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46275</v>
      </c>
      <c r="F214" t="inlineStr">
        <is>
          <t>JÖNKÖPINGS LÄN</t>
        </is>
      </c>
      <c r="G214" t="inlineStr">
        <is>
          <t>SÄVSJÖ</t>
        </is>
      </c>
      <c r="H214" t="inlineStr">
        <is>
          <t>Övriga Aktiebolag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45725</v>
      </c>
      <c r="E215" s="1" t="n">
        <v>46275</v>
      </c>
      <c r="F215" t="inlineStr">
        <is>
          <t>JÖNKÖPINGS LÄN</t>
        </is>
      </c>
      <c r="G215" t="inlineStr">
        <is>
          <t>SÄVSJÖ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44651</v>
      </c>
      <c r="E216" s="1" t="n">
        <v>46275</v>
      </c>
      <c r="F216" t="inlineStr">
        <is>
          <t>JÖNKÖPINGS LÄN</t>
        </is>
      </c>
      <c r="G216" t="inlineStr">
        <is>
          <t>SÄVSJÖ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45040</v>
      </c>
      <c r="E217" s="1" t="n">
        <v>46275</v>
      </c>
      <c r="F217" t="inlineStr">
        <is>
          <t>JÖNKÖPINGS LÄN</t>
        </is>
      </c>
      <c r="G217" t="inlineStr">
        <is>
          <t>SÄVSJÖ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45671</v>
      </c>
      <c r="E218" s="1" t="n">
        <v>46275</v>
      </c>
      <c r="F218" t="inlineStr">
        <is>
          <t>JÖNKÖPINGS LÄN</t>
        </is>
      </c>
      <c r="G218" t="inlineStr">
        <is>
          <t>SÄVSJÖ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46275</v>
      </c>
      <c r="F219" t="inlineStr">
        <is>
          <t>JÖNKÖPINGS LÄN</t>
        </is>
      </c>
      <c r="G219" t="inlineStr">
        <is>
          <t>SÄVSJÖ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46275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46275</v>
      </c>
      <c r="F221" t="inlineStr">
        <is>
          <t>JÖNKÖPINGS LÄN</t>
        </is>
      </c>
      <c r="G221" t="inlineStr">
        <is>
          <t>SÄVSJÖ</t>
        </is>
      </c>
      <c r="H221" t="inlineStr">
        <is>
          <t>Kyrkan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36183-2024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46275</v>
      </c>
      <c r="F222" t="inlineStr">
        <is>
          <t>JÖNKÖPINGS LÄN</t>
        </is>
      </c>
      <c r="G222" t="inlineStr">
        <is>
          <t>SÄVSJÖ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45573</v>
      </c>
      <c r="E223" s="1" t="n">
        <v>46275</v>
      </c>
      <c r="F223" t="inlineStr">
        <is>
          <t>JÖNKÖPINGS LÄN</t>
        </is>
      </c>
      <c r="G223" t="inlineStr">
        <is>
          <t>SÄVSJÖ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8536-2024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45355</v>
      </c>
      <c r="E224" s="1" t="n">
        <v>46275</v>
      </c>
      <c r="F224" t="inlineStr">
        <is>
          <t>JÖNKÖPINGS LÄN</t>
        </is>
      </c>
      <c r="G224" t="inlineStr">
        <is>
          <t>SÄVSJÖ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45411</v>
      </c>
      <c r="E225" s="1" t="n">
        <v>46275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60805-2024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45644</v>
      </c>
      <c r="E226" s="1" t="n">
        <v>46275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46275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46275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46275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46275</v>
      </c>
      <c r="F230" t="inlineStr">
        <is>
          <t>JÖNKÖPINGS LÄN</t>
        </is>
      </c>
      <c r="G230" t="inlineStr">
        <is>
          <t>SÄVSJÖ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7285-2023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44970</v>
      </c>
      <c r="E231" s="1" t="n">
        <v>46275</v>
      </c>
      <c r="F231" t="inlineStr">
        <is>
          <t>JÖNKÖPINGS LÄN</t>
        </is>
      </c>
      <c r="G231" t="inlineStr">
        <is>
          <t>SÄVSJÖ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46275</v>
      </c>
      <c r="F232" t="inlineStr">
        <is>
          <t>JÖNKÖPINGS LÄN</t>
        </is>
      </c>
      <c r="G232" t="inlineStr">
        <is>
          <t>SÄVSJÖ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46275</v>
      </c>
      <c r="F233" t="inlineStr">
        <is>
          <t>JÖNKÖPINGS LÄN</t>
        </is>
      </c>
      <c r="G233" t="inlineStr">
        <is>
          <t>SÄVSJÖ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19935-2023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45054</v>
      </c>
      <c r="E234" s="1" t="n">
        <v>46275</v>
      </c>
      <c r="F234" t="inlineStr">
        <is>
          <t>JÖNKÖPINGS LÄN</t>
        </is>
      </c>
      <c r="G234" t="inlineStr">
        <is>
          <t>SÄVSJÖ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46275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45067</v>
      </c>
      <c r="E236" s="1" t="n">
        <v>46275</v>
      </c>
      <c r="F236" t="inlineStr">
        <is>
          <t>JÖNKÖPINGS LÄN</t>
        </is>
      </c>
      <c r="G236" t="inlineStr">
        <is>
          <t>SÄVSJÖ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46275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46275</v>
      </c>
      <c r="F238" t="inlineStr">
        <is>
          <t>JÖNKÖPINGS LÄN</t>
        </is>
      </c>
      <c r="G238" t="inlineStr">
        <is>
          <t>SÄVSJÖ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45084</v>
      </c>
      <c r="E239" s="1" t="n">
        <v>46275</v>
      </c>
      <c r="F239" t="inlineStr">
        <is>
          <t>JÖNKÖPINGS LÄN</t>
        </is>
      </c>
      <c r="G239" t="inlineStr">
        <is>
          <t>SÄVSJÖ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44610</v>
      </c>
      <c r="E240" s="1" t="n">
        <v>46275</v>
      </c>
      <c r="F240" t="inlineStr">
        <is>
          <t>JÖNKÖPINGS LÄN</t>
        </is>
      </c>
      <c r="G240" t="inlineStr">
        <is>
          <t>SÄVSJÖ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46275</v>
      </c>
      <c r="F241" t="inlineStr">
        <is>
          <t>JÖNKÖPINGS LÄN</t>
        </is>
      </c>
      <c r="G241" t="inlineStr">
        <is>
          <t>SÄVSJÖ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50564-2024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45601</v>
      </c>
      <c r="E242" s="1" t="n">
        <v>46275</v>
      </c>
      <c r="F242" t="inlineStr">
        <is>
          <t>JÖNKÖPINGS LÄN</t>
        </is>
      </c>
      <c r="G242" t="inlineStr">
        <is>
          <t>SÄVSJÖ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46275</v>
      </c>
      <c r="F243" t="inlineStr">
        <is>
          <t>JÖNKÖPINGS LÄN</t>
        </is>
      </c>
      <c r="G243" t="inlineStr">
        <is>
          <t>SÄVSJÖ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45733</v>
      </c>
      <c r="E244" s="1" t="n">
        <v>46275</v>
      </c>
      <c r="F244" t="inlineStr">
        <is>
          <t>JÖNKÖPINGS LÄN</t>
        </is>
      </c>
      <c r="G244" t="inlineStr">
        <is>
          <t>SÄVSJÖ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45733</v>
      </c>
      <c r="E245" s="1" t="n">
        <v>46275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46275</v>
      </c>
      <c r="F246" t="inlineStr">
        <is>
          <t>JÖNKÖPINGS LÄN</t>
        </is>
      </c>
      <c r="G246" t="inlineStr">
        <is>
          <t>SÄVSJÖ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46275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46275</v>
      </c>
      <c r="F248" t="inlineStr">
        <is>
          <t>JÖNKÖPINGS LÄN</t>
        </is>
      </c>
      <c r="G248" t="inlineStr">
        <is>
          <t>SÄVSJÖ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46275</v>
      </c>
      <c r="F249" t="inlineStr">
        <is>
          <t>JÖNKÖPINGS LÄN</t>
        </is>
      </c>
      <c r="G249" t="inlineStr">
        <is>
          <t>SÄVSJÖ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46275</v>
      </c>
      <c r="F250" t="inlineStr">
        <is>
          <t>JÖNKÖPINGS LÄN</t>
        </is>
      </c>
      <c r="G250" t="inlineStr">
        <is>
          <t>SÄVSJÖ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46275</v>
      </c>
      <c r="F251" t="inlineStr">
        <is>
          <t>JÖNKÖPINGS LÄN</t>
        </is>
      </c>
      <c r="G251" t="inlineStr">
        <is>
          <t>SÄVSJÖ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46275</v>
      </c>
      <c r="F252" t="inlineStr">
        <is>
          <t>JÖNKÖPINGS LÄN</t>
        </is>
      </c>
      <c r="G252" t="inlineStr">
        <is>
          <t>SÄVSJÖ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46275</v>
      </c>
      <c r="F253" t="inlineStr">
        <is>
          <t>JÖNKÖPINGS LÄN</t>
        </is>
      </c>
      <c r="G253" t="inlineStr">
        <is>
          <t>SÄVSJÖ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46275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45197</v>
      </c>
      <c r="E255" s="1" t="n">
        <v>46275</v>
      </c>
      <c r="F255" t="inlineStr">
        <is>
          <t>JÖNKÖPINGS LÄN</t>
        </is>
      </c>
      <c r="G255" t="inlineStr">
        <is>
          <t>SÄVSJÖ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46275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46275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46275</v>
      </c>
      <c r="F258" t="inlineStr">
        <is>
          <t>JÖNKÖPINGS LÄN</t>
        </is>
      </c>
      <c r="G258" t="inlineStr">
        <is>
          <t>SÄVSJÖ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45881</v>
      </c>
      <c r="E259" s="1" t="n">
        <v>46275</v>
      </c>
      <c r="F259" t="inlineStr">
        <is>
          <t>JÖNKÖPINGS LÄN</t>
        </is>
      </c>
      <c r="G259" t="inlineStr">
        <is>
          <t>SÄVSJÖ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45903</v>
      </c>
      <c r="E260" s="1" t="n">
        <v>46275</v>
      </c>
      <c r="F260" t="inlineStr">
        <is>
          <t>JÖNKÖPINGS LÄN</t>
        </is>
      </c>
      <c r="G260" t="inlineStr">
        <is>
          <t>SÄVSJÖ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45315</v>
      </c>
      <c r="E261" s="1" t="n">
        <v>46275</v>
      </c>
      <c r="F261" t="inlineStr">
        <is>
          <t>JÖNKÖPINGS LÄN</t>
        </is>
      </c>
      <c r="G261" t="inlineStr">
        <is>
          <t>SÄVSJÖ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46275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46275</v>
      </c>
      <c r="F263" t="inlineStr">
        <is>
          <t>JÖNKÖPINGS LÄN</t>
        </is>
      </c>
      <c r="G263" t="inlineStr">
        <is>
          <t>SÄVSJÖ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46275</v>
      </c>
      <c r="F264" t="inlineStr">
        <is>
          <t>JÖNKÖPINGS LÄN</t>
        </is>
      </c>
      <c r="G264" t="inlineStr">
        <is>
          <t>SÄVSJÖ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46275</v>
      </c>
      <c r="F265" t="inlineStr">
        <is>
          <t>JÖNKÖPINGS LÄN</t>
        </is>
      </c>
      <c r="G265" t="inlineStr">
        <is>
          <t>SÄVSJÖ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30162-2023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45110</v>
      </c>
      <c r="E266" s="1" t="n">
        <v>46275</v>
      </c>
      <c r="F266" t="inlineStr">
        <is>
          <t>JÖNKÖPINGS LÄN</t>
        </is>
      </c>
      <c r="G266" t="inlineStr">
        <is>
          <t>SÄVSJÖ</t>
        </is>
      </c>
      <c r="H266" t="inlineStr">
        <is>
          <t>Kommuner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46275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46275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46275</v>
      </c>
      <c r="F269" t="inlineStr">
        <is>
          <t>JÖNKÖPINGS LÄN</t>
        </is>
      </c>
      <c r="G269" t="inlineStr">
        <is>
          <t>SÄVSJÖ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46275</v>
      </c>
      <c r="F270" t="inlineStr">
        <is>
          <t>JÖNKÖPINGS LÄN</t>
        </is>
      </c>
      <c r="G270" t="inlineStr">
        <is>
          <t>SÄVSJÖ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46275</v>
      </c>
      <c r="F271" t="inlineStr">
        <is>
          <t>JÖNKÖPINGS LÄN</t>
        </is>
      </c>
      <c r="G271" t="inlineStr">
        <is>
          <t>SÄVSJÖ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46275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45839</v>
      </c>
      <c r="E273" s="1" t="n">
        <v>46275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46275</v>
      </c>
      <c r="F274" t="inlineStr">
        <is>
          <t>JÖNKÖPINGS LÄN</t>
        </is>
      </c>
      <c r="G274" t="inlineStr">
        <is>
          <t>SÄVSJÖ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44830</v>
      </c>
      <c r="E275" s="1" t="n">
        <v>46275</v>
      </c>
      <c r="F275" t="inlineStr">
        <is>
          <t>JÖNKÖPINGS LÄN</t>
        </is>
      </c>
      <c r="G275" t="inlineStr">
        <is>
          <t>SÄVSJÖ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45302</v>
      </c>
      <c r="E276" s="1" t="n">
        <v>46275</v>
      </c>
      <c r="F276" t="inlineStr">
        <is>
          <t>JÖNKÖPINGS LÄN</t>
        </is>
      </c>
      <c r="G276" t="inlineStr">
        <is>
          <t>SÄVSJÖ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45418</v>
      </c>
      <c r="E277" s="1" t="n">
        <v>46275</v>
      </c>
      <c r="F277" t="inlineStr">
        <is>
          <t>JÖNKÖPINGS LÄN</t>
        </is>
      </c>
      <c r="G277" t="inlineStr">
        <is>
          <t>SÄVSJÖ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45329</v>
      </c>
      <c r="E278" s="1" t="n">
        <v>46275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54827-2021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44474</v>
      </c>
      <c r="E279" s="1" t="n">
        <v>46275</v>
      </c>
      <c r="F279" t="inlineStr">
        <is>
          <t>JÖNKÖPINGS LÄN</t>
        </is>
      </c>
      <c r="G279" t="inlineStr">
        <is>
          <t>SÄVSJÖ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30162-2023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45110</v>
      </c>
      <c r="E280" s="1" t="n">
        <v>46275</v>
      </c>
      <c r="F280" t="inlineStr">
        <is>
          <t>JÖNKÖPINGS LÄN</t>
        </is>
      </c>
      <c r="G280" t="inlineStr">
        <is>
          <t>SÄVSJÖ</t>
        </is>
      </c>
      <c r="H280" t="inlineStr">
        <is>
          <t>Kommuner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44833</v>
      </c>
      <c r="E281" s="1" t="n">
        <v>46275</v>
      </c>
      <c r="F281" t="inlineStr">
        <is>
          <t>JÖNKÖPINGS LÄN</t>
        </is>
      </c>
      <c r="G281" t="inlineStr">
        <is>
          <t>SÄVSJÖ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46275</v>
      </c>
      <c r="F282" t="inlineStr">
        <is>
          <t>JÖNKÖPINGS LÄN</t>
        </is>
      </c>
      <c r="G282" t="inlineStr">
        <is>
          <t>SÄVSJÖ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907-2024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46275</v>
      </c>
      <c r="F283" t="inlineStr">
        <is>
          <t>JÖNKÖPINGS LÄN</t>
        </is>
      </c>
      <c r="G283" t="inlineStr">
        <is>
          <t>SÄVSJÖ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46275</v>
      </c>
      <c r="F284" t="inlineStr">
        <is>
          <t>JÖNKÖPINGS LÄN</t>
        </is>
      </c>
      <c r="G284" t="inlineStr">
        <is>
          <t>SÄVSJÖ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45301</v>
      </c>
      <c r="E285" s="1" t="n">
        <v>46275</v>
      </c>
      <c r="F285" t="inlineStr">
        <is>
          <t>JÖNKÖPINGS LÄN</t>
        </is>
      </c>
      <c r="G285" t="inlineStr">
        <is>
          <t>SÄVSJÖ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46275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45275</v>
      </c>
      <c r="E287" s="1" t="n">
        <v>46275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45320</v>
      </c>
      <c r="E288" s="1" t="n">
        <v>46275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46275</v>
      </c>
      <c r="F289" t="inlineStr">
        <is>
          <t>JÖNKÖPINGS LÄN</t>
        </is>
      </c>
      <c r="G289" t="inlineStr">
        <is>
          <t>SÄVSJÖ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52363-2025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45953</v>
      </c>
      <c r="E290" s="1" t="n">
        <v>46275</v>
      </c>
      <c r="F290" t="inlineStr">
        <is>
          <t>JÖNKÖPINGS LÄN</t>
        </is>
      </c>
      <c r="G290" t="inlineStr">
        <is>
          <t>SÄVSJÖ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52314-2025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46275</v>
      </c>
      <c r="F291" t="inlineStr">
        <is>
          <t>JÖNKÖPINGS LÄN</t>
        </is>
      </c>
      <c r="G291" t="inlineStr">
        <is>
          <t>SÄVSJÖ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46275</v>
      </c>
      <c r="F292" t="inlineStr">
        <is>
          <t>JÖNKÖPINGS LÄN</t>
        </is>
      </c>
      <c r="G292" t="inlineStr">
        <is>
          <t>SÄVSJÖ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46275</v>
      </c>
      <c r="F293" t="inlineStr">
        <is>
          <t>JÖNKÖPINGS LÄN</t>
        </is>
      </c>
      <c r="G293" t="inlineStr">
        <is>
          <t>SÄVSJÖ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52360-2025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45953</v>
      </c>
      <c r="E294" s="1" t="n">
        <v>46275</v>
      </c>
      <c r="F294" t="inlineStr">
        <is>
          <t>JÖNKÖPINGS LÄN</t>
        </is>
      </c>
      <c r="G294" t="inlineStr">
        <is>
          <t>SÄVSJÖ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38914-2024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45547</v>
      </c>
      <c r="E295" s="1" t="n">
        <v>46275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44838</v>
      </c>
      <c r="E296" s="1" t="n">
        <v>46275</v>
      </c>
      <c r="F296" t="inlineStr">
        <is>
          <t>JÖNKÖPINGS LÄN</t>
        </is>
      </c>
      <c r="G296" t="inlineStr">
        <is>
          <t>SÄVSJÖ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46275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55909-2024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45623</v>
      </c>
      <c r="E298" s="1" t="n">
        <v>46275</v>
      </c>
      <c r="F298" t="inlineStr">
        <is>
          <t>JÖNKÖPINGS LÄN</t>
        </is>
      </c>
      <c r="G298" t="inlineStr">
        <is>
          <t>SÄVSJÖ</t>
        </is>
      </c>
      <c r="H298" t="inlineStr">
        <is>
          <t>Kommuner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46275</v>
      </c>
      <c r="F299" t="inlineStr">
        <is>
          <t>JÖNKÖPINGS LÄN</t>
        </is>
      </c>
      <c r="G299" t="inlineStr">
        <is>
          <t>SÄVSJÖ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45534</v>
      </c>
      <c r="E300" s="1" t="n">
        <v>46275</v>
      </c>
      <c r="F300" t="inlineStr">
        <is>
          <t>JÖNKÖPINGS LÄN</t>
        </is>
      </c>
      <c r="G300" t="inlineStr">
        <is>
          <t>SÄVSJÖ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46275</v>
      </c>
      <c r="F301" t="inlineStr">
        <is>
          <t>JÖNKÖPINGS LÄN</t>
        </is>
      </c>
      <c r="G301" t="inlineStr">
        <is>
          <t>SÄVSJÖ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54275-2025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45964</v>
      </c>
      <c r="E302" s="1" t="n">
        <v>46275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45008</v>
      </c>
      <c r="E303" s="1" t="n">
        <v>46275</v>
      </c>
      <c r="F303" t="inlineStr">
        <is>
          <t>JÖNKÖPINGS LÄN</t>
        </is>
      </c>
      <c r="G303" t="inlineStr">
        <is>
          <t>SÄVSJÖ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54759-2025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46275</v>
      </c>
      <c r="F304" t="inlineStr">
        <is>
          <t>JÖNKÖPINGS LÄN</t>
        </is>
      </c>
      <c r="G304" t="inlineStr">
        <is>
          <t>SÄVSJÖ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45967</v>
      </c>
      <c r="E305" s="1" t="n">
        <v>46275</v>
      </c>
      <c r="F305" t="inlineStr">
        <is>
          <t>JÖNKÖPINGS LÄN</t>
        </is>
      </c>
      <c r="G305" t="inlineStr">
        <is>
          <t>SÄVSJÖ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46275</v>
      </c>
      <c r="F306" t="inlineStr">
        <is>
          <t>JÖNKÖPINGS LÄN</t>
        </is>
      </c>
      <c r="G306" t="inlineStr">
        <is>
          <t>SÄVSJÖ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46275</v>
      </c>
      <c r="F307" t="inlineStr">
        <is>
          <t>JÖNKÖPINGS LÄN</t>
        </is>
      </c>
      <c r="G307" t="inlineStr">
        <is>
          <t>SÄVSJÖ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46275</v>
      </c>
      <c r="F308" t="inlineStr">
        <is>
          <t>JÖNKÖPINGS LÄN</t>
        </is>
      </c>
      <c r="G308" t="inlineStr">
        <is>
          <t>SÄVSJÖ</t>
        </is>
      </c>
      <c r="H308" t="inlineStr">
        <is>
          <t>Sveaskog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46275</v>
      </c>
      <c r="F309" t="inlineStr">
        <is>
          <t>JÖNKÖPINGS LÄN</t>
        </is>
      </c>
      <c r="G309" t="inlineStr">
        <is>
          <t>SÄVSJÖ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46275</v>
      </c>
      <c r="F310" t="inlineStr">
        <is>
          <t>JÖNKÖPINGS LÄN</t>
        </is>
      </c>
      <c r="G310" t="inlineStr">
        <is>
          <t>SÄVSJÖ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46275</v>
      </c>
      <c r="F311" t="inlineStr">
        <is>
          <t>JÖNKÖPINGS LÄN</t>
        </is>
      </c>
      <c r="G311" t="inlineStr">
        <is>
          <t>SÄVSJÖ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46275</v>
      </c>
      <c r="F312" t="inlineStr">
        <is>
          <t>JÖNKÖPINGS LÄN</t>
        </is>
      </c>
      <c r="G312" t="inlineStr">
        <is>
          <t>SÄVSJÖ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44929</v>
      </c>
      <c r="E313" s="1" t="n">
        <v>46275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46275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46275</v>
      </c>
      <c r="F315" t="inlineStr">
        <is>
          <t>JÖNKÖPINGS LÄN</t>
        </is>
      </c>
      <c r="G315" t="inlineStr">
        <is>
          <t>SÄVSJÖ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46275</v>
      </c>
      <c r="F316" t="inlineStr">
        <is>
          <t>JÖNKÖPINGS LÄN</t>
        </is>
      </c>
      <c r="G316" t="inlineStr">
        <is>
          <t>SÄVSJÖ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46275</v>
      </c>
      <c r="F317" t="inlineStr">
        <is>
          <t>JÖNKÖPINGS LÄN</t>
        </is>
      </c>
      <c r="G317" t="inlineStr">
        <is>
          <t>SÄVSJÖ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46275</v>
      </c>
      <c r="F318" t="inlineStr">
        <is>
          <t>JÖNKÖPINGS LÄN</t>
        </is>
      </c>
      <c r="G318" t="inlineStr">
        <is>
          <t>SÄVSJÖ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46275</v>
      </c>
      <c r="F319" t="inlineStr">
        <is>
          <t>JÖNKÖPINGS LÄN</t>
        </is>
      </c>
      <c r="G319" t="inlineStr">
        <is>
          <t>SÄVSJÖ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46275</v>
      </c>
      <c r="F320" t="inlineStr">
        <is>
          <t>JÖNKÖPINGS LÄN</t>
        </is>
      </c>
      <c r="G320" t="inlineStr">
        <is>
          <t>SÄVSJÖ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46275</v>
      </c>
      <c r="F321" t="inlineStr">
        <is>
          <t>JÖNKÖPINGS LÄN</t>
        </is>
      </c>
      <c r="G321" t="inlineStr">
        <is>
          <t>SÄVSJÖ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46275</v>
      </c>
      <c r="F322" t="inlineStr">
        <is>
          <t>JÖNKÖPINGS LÄN</t>
        </is>
      </c>
      <c r="G322" t="inlineStr">
        <is>
          <t>SÄVSJÖ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60331-2025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45993</v>
      </c>
      <c r="E323" s="1" t="n">
        <v>46275</v>
      </c>
      <c r="F323" t="inlineStr">
        <is>
          <t>JÖNKÖPINGS LÄN</t>
        </is>
      </c>
      <c r="G323" t="inlineStr">
        <is>
          <t>SÄVSJÖ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62421-2023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45268</v>
      </c>
      <c r="E324" s="1" t="n">
        <v>46275</v>
      </c>
      <c r="F324" t="inlineStr">
        <is>
          <t>JÖNKÖPINGS LÄN</t>
        </is>
      </c>
      <c r="G324" t="inlineStr">
        <is>
          <t>SÄVSJÖ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53916-2021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44469</v>
      </c>
      <c r="E325" s="1" t="n">
        <v>46275</v>
      </c>
      <c r="F325" t="inlineStr">
        <is>
          <t>JÖNKÖPINGS LÄN</t>
        </is>
      </c>
      <c r="G325" t="inlineStr">
        <is>
          <t>SÄVSJÖ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45210</v>
      </c>
      <c r="E326" s="1" t="n">
        <v>46275</v>
      </c>
      <c r="F326" t="inlineStr">
        <is>
          <t>JÖNKÖPINGS LÄN</t>
        </is>
      </c>
      <c r="G326" t="inlineStr">
        <is>
          <t>SÄVSJÖ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46275</v>
      </c>
      <c r="F327" t="inlineStr">
        <is>
          <t>JÖNKÖPINGS LÄN</t>
        </is>
      </c>
      <c r="G327" t="inlineStr">
        <is>
          <t>SÄVSJÖ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45419</v>
      </c>
      <c r="E328" s="1" t="n">
        <v>46275</v>
      </c>
      <c r="F328" t="inlineStr">
        <is>
          <t>JÖNKÖPINGS LÄN</t>
        </is>
      </c>
      <c r="G328" t="inlineStr">
        <is>
          <t>SÄVSJÖ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62870-2025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46008</v>
      </c>
      <c r="E329" s="1" t="n">
        <v>46275</v>
      </c>
      <c r="F329" t="inlineStr">
        <is>
          <t>JÖNKÖPINGS LÄN</t>
        </is>
      </c>
      <c r="G329" t="inlineStr">
        <is>
          <t>SÄVSJÖ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44995</v>
      </c>
      <c r="E330" s="1" t="n">
        <v>46275</v>
      </c>
      <c r="F330" t="inlineStr">
        <is>
          <t>JÖNKÖPINGS LÄN</t>
        </is>
      </c>
      <c r="G330" t="inlineStr">
        <is>
          <t>SÄVSJÖ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63352-2025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46275</v>
      </c>
      <c r="F331" t="inlineStr">
        <is>
          <t>JÖNKÖPINGS LÄN</t>
        </is>
      </c>
      <c r="G331" t="inlineStr">
        <is>
          <t>SÄVSJÖ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63599-2025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46275</v>
      </c>
      <c r="F332" t="inlineStr">
        <is>
          <t>JÖNKÖPINGS LÄN</t>
        </is>
      </c>
      <c r="G332" t="inlineStr">
        <is>
          <t>SÄVSJÖ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46275</v>
      </c>
      <c r="F333" t="inlineStr">
        <is>
          <t>JÖNKÖPINGS LÄN</t>
        </is>
      </c>
      <c r="G333" t="inlineStr">
        <is>
          <t>SÄVSJÖ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46014</v>
      </c>
      <c r="E334" s="1" t="n">
        <v>46275</v>
      </c>
      <c r="F334" t="inlineStr">
        <is>
          <t>JÖNKÖPINGS LÄN</t>
        </is>
      </c>
      <c r="G334" t="inlineStr">
        <is>
          <t>SÄVSJÖ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46014</v>
      </c>
      <c r="E335" s="1" t="n">
        <v>46275</v>
      </c>
      <c r="F335" t="inlineStr">
        <is>
          <t>JÖNKÖPINGS LÄN</t>
        </is>
      </c>
      <c r="G335" t="inlineStr">
        <is>
          <t>SÄVSJÖ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46017</v>
      </c>
      <c r="E336" s="1" t="n">
        <v>46275</v>
      </c>
      <c r="F336" t="inlineStr">
        <is>
          <t>JÖNKÖPINGS LÄN</t>
        </is>
      </c>
      <c r="G336" t="inlineStr">
        <is>
          <t>SÄVSJÖ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46275</v>
      </c>
      <c r="F337" t="inlineStr">
        <is>
          <t>JÖNKÖPINGS LÄN</t>
        </is>
      </c>
      <c r="G337" t="inlineStr">
        <is>
          <t>SÄVSJÖ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46275</v>
      </c>
      <c r="F338" t="inlineStr">
        <is>
          <t>JÖNKÖPINGS LÄN</t>
        </is>
      </c>
      <c r="G338" t="inlineStr">
        <is>
          <t>SÄVSJÖ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46275</v>
      </c>
      <c r="F339" t="inlineStr">
        <is>
          <t>JÖNKÖPINGS LÄN</t>
        </is>
      </c>
      <c r="G339" t="inlineStr">
        <is>
          <t>SÄVSJÖ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46275</v>
      </c>
      <c r="F340" t="inlineStr">
        <is>
          <t>JÖNKÖPINGS LÄN</t>
        </is>
      </c>
      <c r="G340" t="inlineStr">
        <is>
          <t>SÄVSJÖ</t>
        </is>
      </c>
      <c r="H340" t="inlineStr">
        <is>
          <t>Kyrkan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46275</v>
      </c>
      <c r="F341" t="inlineStr">
        <is>
          <t>JÖNKÖPINGS LÄN</t>
        </is>
      </c>
      <c r="G341" t="inlineStr">
        <is>
          <t>SÄVSJÖ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46275</v>
      </c>
      <c r="F342" t="inlineStr">
        <is>
          <t>JÖNKÖPINGS LÄN</t>
        </is>
      </c>
      <c r="G342" t="inlineStr">
        <is>
          <t>SÄVSJÖ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46275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46101</v>
      </c>
      <c r="E344" s="1" t="n">
        <v>46275</v>
      </c>
      <c r="F344" t="inlineStr">
        <is>
          <t>JÖNKÖPINGS LÄN</t>
        </is>
      </c>
      <c r="G344" t="inlineStr">
        <is>
          <t>SÄVSJÖ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46275</v>
      </c>
      <c r="F345" t="inlineStr">
        <is>
          <t>JÖNKÖPINGS LÄN</t>
        </is>
      </c>
      <c r="G345" t="inlineStr">
        <is>
          <t>SÄVSJÖ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46275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46275</v>
      </c>
      <c r="F347" t="inlineStr">
        <is>
          <t>JÖNKÖPINGS LÄN</t>
        </is>
      </c>
      <c r="G347" t="inlineStr">
        <is>
          <t>SÄVSJÖ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46275</v>
      </c>
      <c r="F348" t="inlineStr">
        <is>
          <t>JÖNKÖPINGS LÄN</t>
        </is>
      </c>
      <c r="G348" t="inlineStr">
        <is>
          <t>SÄVSJÖ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46275</v>
      </c>
      <c r="F349" t="inlineStr">
        <is>
          <t>JÖNKÖPINGS LÄN</t>
        </is>
      </c>
      <c r="G349" t="inlineStr">
        <is>
          <t>SÄVSJÖ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45879</v>
      </c>
      <c r="E350" s="1" t="n">
        <v>46275</v>
      </c>
      <c r="F350" t="inlineStr">
        <is>
          <t>JÖNKÖPINGS LÄN</t>
        </is>
      </c>
      <c r="G350" t="inlineStr">
        <is>
          <t>SÄVSJÖ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46275</v>
      </c>
      <c r="F351" t="inlineStr">
        <is>
          <t>JÖNKÖPINGS LÄN</t>
        </is>
      </c>
      <c r="G351" t="inlineStr">
        <is>
          <t>SÄVSJÖ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46275</v>
      </c>
      <c r="F352" t="inlineStr">
        <is>
          <t>JÖNKÖPINGS LÄN</t>
        </is>
      </c>
      <c r="G352" t="inlineStr">
        <is>
          <t>SÄVSJÖ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46275</v>
      </c>
      <c r="F353" t="inlineStr">
        <is>
          <t>JÖNKÖPINGS LÄN</t>
        </is>
      </c>
      <c r="G353" t="inlineStr">
        <is>
          <t>SÄVSJÖ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44957</v>
      </c>
      <c r="E354" s="1" t="n">
        <v>46275</v>
      </c>
      <c r="F354" t="inlineStr">
        <is>
          <t>JÖNKÖPINGS LÄN</t>
        </is>
      </c>
      <c r="G354" t="inlineStr">
        <is>
          <t>SÄVSJÖ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46275</v>
      </c>
      <c r="F355" t="inlineStr">
        <is>
          <t>JÖNKÖPINGS LÄN</t>
        </is>
      </c>
      <c r="G355" t="inlineStr">
        <is>
          <t>SÄVSJÖ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46164</v>
      </c>
      <c r="E356" s="1" t="n">
        <v>46275</v>
      </c>
      <c r="F356" t="inlineStr">
        <is>
          <t>JÖNKÖPINGS LÄN</t>
        </is>
      </c>
      <c r="G356" t="inlineStr">
        <is>
          <t>SÄVSJÖ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46275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23816-2026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46165</v>
      </c>
      <c r="E358" s="1" t="n">
        <v>46275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26673-2026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46184</v>
      </c>
      <c r="E359" s="1" t="n">
        <v>46275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46191</v>
      </c>
      <c r="E360" s="1" t="n">
        <v>46275</v>
      </c>
      <c r="F360" t="inlineStr">
        <is>
          <t>JÖNKÖPINGS LÄN</t>
        </is>
      </c>
      <c r="G360" t="inlineStr">
        <is>
          <t>SÄVSJÖ</t>
        </is>
      </c>
      <c r="H360" t="inlineStr">
        <is>
          <t>Kommuner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46275</v>
      </c>
      <c r="F361" t="inlineStr">
        <is>
          <t>JÖNKÖPINGS LÄN</t>
        </is>
      </c>
      <c r="G361" t="inlineStr">
        <is>
          <t>SÄVSJÖ</t>
        </is>
      </c>
      <c r="H361" t="inlineStr">
        <is>
          <t>Kommuner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46251</v>
      </c>
      <c r="E362" s="1" t="n">
        <v>46275</v>
      </c>
      <c r="F362" t="inlineStr">
        <is>
          <t>JÖNKÖPINGS LÄN</t>
        </is>
      </c>
      <c r="G362" t="inlineStr">
        <is>
          <t>SÄVSJÖ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46275</v>
      </c>
      <c r="F363" t="inlineStr">
        <is>
          <t>JÖNKÖPINGS LÄN</t>
        </is>
      </c>
      <c r="G363" t="inlineStr">
        <is>
          <t>SÄVSJÖ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35212-2026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46260</v>
      </c>
      <c r="E364" s="1" t="n">
        <v>46275</v>
      </c>
      <c r="F364" t="inlineStr">
        <is>
          <t>JÖNKÖPINGS LÄN</t>
        </is>
      </c>
      <c r="G364" t="inlineStr">
        <is>
          <t>SÄVSJÖ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35211-2026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46260</v>
      </c>
      <c r="E365" s="1" t="n">
        <v>46275</v>
      </c>
      <c r="F365" t="inlineStr">
        <is>
          <t>JÖNKÖPINGS LÄN</t>
        </is>
      </c>
      <c r="G365" t="inlineStr">
        <is>
          <t>SÄVSJÖ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46275</v>
      </c>
      <c r="F366" t="inlineStr">
        <is>
          <t>JÖNKÖPINGS LÄN</t>
        </is>
      </c>
      <c r="G366" t="inlineStr">
        <is>
          <t>SÄVSJÖ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46266</v>
      </c>
      <c r="E367" s="1" t="n">
        <v>46275</v>
      </c>
      <c r="F367" t="inlineStr">
        <is>
          <t>JÖNKÖPINGS LÄN</t>
        </is>
      </c>
      <c r="G367" t="inlineStr">
        <is>
          <t>SÄVSJÖ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46275</v>
      </c>
      <c r="F368" t="inlineStr">
        <is>
          <t>JÖNKÖPINGS LÄN</t>
        </is>
      </c>
      <c r="G368" t="inlineStr">
        <is>
          <t>SÄVSJÖ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46266</v>
      </c>
      <c r="E369" s="1" t="n">
        <v>46275</v>
      </c>
      <c r="F369" t="inlineStr">
        <is>
          <t>JÖNKÖPINGS LÄN</t>
        </is>
      </c>
      <c r="G369" t="inlineStr">
        <is>
          <t>SÄVSJÖ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31721-2026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46226</v>
      </c>
      <c r="E370" s="1" t="n">
        <v>46275</v>
      </c>
      <c r="F370" t="inlineStr">
        <is>
          <t>JÖNKÖPINGS LÄN</t>
        </is>
      </c>
      <c r="G370" t="inlineStr">
        <is>
          <t>SÄVSJÖ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46272</v>
      </c>
      <c r="E371" s="1" t="n">
        <v>46275</v>
      </c>
      <c r="F371" t="inlineStr">
        <is>
          <t>JÖNKÖPINGS LÄN</t>
        </is>
      </c>
      <c r="G371" t="inlineStr">
        <is>
          <t>SÄVSJÖ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46275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46275</v>
      </c>
      <c r="F373" t="inlineStr">
        <is>
          <t>JÖNKÖPINGS LÄN</t>
        </is>
      </c>
      <c r="G373" t="inlineStr">
        <is>
          <t>SÄVSJÖ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46275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46274</v>
      </c>
      <c r="E375" s="1" t="n">
        <v>46275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46273</v>
      </c>
      <c r="E376" s="1" t="n">
        <v>46275</v>
      </c>
      <c r="F376" t="inlineStr">
        <is>
          <t>JÖNKÖPINGS LÄN</t>
        </is>
      </c>
      <c r="G376" t="inlineStr">
        <is>
          <t>SÄVSJÖ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10445-2021</t>
        </is>
      </c>
      <c r="B377" t="inlineStr">
        <is>
          <t>samrådsanmälan</t>
        </is>
      </c>
      <c r="C377" t="inlineStr">
        <is>
          <t>Skogsbilväg</t>
        </is>
      </c>
      <c r="D377" s="1" t="n">
        <v>44558</v>
      </c>
      <c r="E377" s="1" t="n">
        <v>46275</v>
      </c>
      <c r="F377" t="inlineStr">
        <is>
          <t>JÖNKÖPINGS LÄN</t>
        </is>
      </c>
      <c r="G377" t="inlineStr">
        <is>
          <t>SÄVSJÖ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46275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46275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46275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46275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46275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46275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2660-2023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46275</v>
      </c>
      <c r="F384" t="inlineStr">
        <is>
          <t>JÖNKÖPINGS LÄN</t>
        </is>
      </c>
      <c r="G384" t="inlineStr">
        <is>
          <t>SÄVSJÖ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4880-2024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45620</v>
      </c>
      <c r="E385" s="1" t="n">
        <v>46275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4563-2024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45600</v>
      </c>
      <c r="E386" s="1" t="n">
        <v>46275</v>
      </c>
      <c r="F386" t="inlineStr">
        <is>
          <t>JÖNKÖPINGS LÄN</t>
        </is>
      </c>
      <c r="G386" t="inlineStr">
        <is>
          <t>SÄVSJÖ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2576-2023</t>
        </is>
      </c>
      <c r="B387" t="inlineStr">
        <is>
          <t>samrådsanmälan</t>
        </is>
      </c>
      <c r="C387" t="inlineStr">
        <is>
          <t>Stubbskörd</t>
        </is>
      </c>
      <c r="D387" s="1" t="n">
        <v>45141</v>
      </c>
      <c r="E387" s="1" t="n">
        <v>46275</v>
      </c>
      <c r="F387" t="inlineStr">
        <is>
          <t>JÖNKÖPINGS LÄN</t>
        </is>
      </c>
      <c r="G387" t="inlineStr">
        <is>
          <t>SÄVSJÖ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1237-2025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45762</v>
      </c>
      <c r="E388" s="1" t="n">
        <v>46275</v>
      </c>
      <c r="F388" t="inlineStr">
        <is>
          <t>JÖNKÖPINGS LÄN</t>
        </is>
      </c>
      <c r="G388" t="inlineStr">
        <is>
          <t>SÄVSJÖ</t>
        </is>
      </c>
      <c r="I388" t="n">
        <v>28.5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1374-2025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45776</v>
      </c>
      <c r="E389" s="1" t="n">
        <v>46275</v>
      </c>
      <c r="F389" t="inlineStr">
        <is>
          <t>JÖNKÖPINGS LÄN</t>
        </is>
      </c>
      <c r="G389" t="inlineStr">
        <is>
          <t>SÄVSJÖ</t>
        </is>
      </c>
      <c r="H389" t="inlineStr">
        <is>
          <t>Sveaskog</t>
        </is>
      </c>
      <c r="I389" t="n">
        <v>63.1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1459-2025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46275</v>
      </c>
      <c r="F390" t="inlineStr">
        <is>
          <t>JÖNKÖPINGS LÄN</t>
        </is>
      </c>
      <c r="G390" t="inlineStr">
        <is>
          <t>SÄVSJÖ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45785</v>
      </c>
      <c r="E391" s="1" t="n">
        <v>46275</v>
      </c>
      <c r="F391" t="inlineStr">
        <is>
          <t>JÖNKÖPINGS LÄN</t>
        </is>
      </c>
      <c r="G391" t="inlineStr">
        <is>
          <t>SÄVSJÖ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1570-2025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46275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57.8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46275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153.1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573-2025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46275</v>
      </c>
      <c r="F394" t="inlineStr">
        <is>
          <t>JÖNKÖPINGS LÄN</t>
        </is>
      </c>
      <c r="G394" t="inlineStr">
        <is>
          <t>SÄVSJÖ</t>
        </is>
      </c>
      <c r="I394" t="n">
        <v>34.5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578-2025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46275</v>
      </c>
      <c r="F395" t="inlineStr">
        <is>
          <t>JÖNKÖPINGS LÄN</t>
        </is>
      </c>
      <c r="G395" t="inlineStr">
        <is>
          <t>SÄVSJÖ</t>
        </is>
      </c>
      <c r="I395" t="n">
        <v>29.5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1812-2025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45818</v>
      </c>
      <c r="E396" s="1" t="n">
        <v>46275</v>
      </c>
      <c r="F396" t="inlineStr">
        <is>
          <t>JÖNKÖPINGS LÄN</t>
        </is>
      </c>
      <c r="G396" t="inlineStr">
        <is>
          <t>SÄVSJÖ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45840</v>
      </c>
      <c r="E397" s="1" t="n">
        <v>46275</v>
      </c>
      <c r="F397" t="inlineStr">
        <is>
          <t>JÖNKÖPINGS LÄN</t>
        </is>
      </c>
      <c r="G397" t="inlineStr">
        <is>
          <t>SÄVSJÖ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3270-2025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46275</v>
      </c>
      <c r="F398" t="inlineStr">
        <is>
          <t>JÖNKÖPINGS LÄN</t>
        </is>
      </c>
      <c r="G398" t="inlineStr">
        <is>
          <t>SÄVSJÖ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46275</v>
      </c>
      <c r="F399" t="inlineStr">
        <is>
          <t>JÖNKÖPINGS LÄN</t>
        </is>
      </c>
      <c r="G399" t="inlineStr">
        <is>
          <t>SÄVSJÖ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3268-2025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46275</v>
      </c>
      <c r="F400" t="inlineStr">
        <is>
          <t>JÖNKÖPINGS LÄN</t>
        </is>
      </c>
      <c r="G400" t="inlineStr">
        <is>
          <t>SÄVSJÖ</t>
        </is>
      </c>
      <c r="I400" t="n">
        <v>17.7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460-2026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46073</v>
      </c>
      <c r="E401" s="1" t="n">
        <v>46275</v>
      </c>
      <c r="F401" t="inlineStr">
        <is>
          <t>JÖNKÖPINGS LÄN</t>
        </is>
      </c>
      <c r="G401" t="inlineStr">
        <is>
          <t>SÄVSJÖ</t>
        </is>
      </c>
      <c r="I401" t="n">
        <v>36.7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687-2026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46275</v>
      </c>
      <c r="F402" t="inlineStr">
        <is>
          <t>JÖNKÖPINGS LÄN</t>
        </is>
      </c>
      <c r="G402" t="inlineStr">
        <is>
          <t>SÄVSJÖ</t>
        </is>
      </c>
      <c r="I402" t="n">
        <v>46.2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690-2026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46275</v>
      </c>
      <c r="F403" t="inlineStr">
        <is>
          <t>JÖNKÖPINGS LÄN</t>
        </is>
      </c>
      <c r="G403" t="inlineStr">
        <is>
          <t>SÄVSJÖ</t>
        </is>
      </c>
      <c r="I403" t="n">
        <v>47.4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873-2026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46106</v>
      </c>
      <c r="E404" s="1" t="n">
        <v>46275</v>
      </c>
      <c r="F404" t="inlineStr">
        <is>
          <t>JÖNKÖPINGS LÄN</t>
        </is>
      </c>
      <c r="G404" t="inlineStr">
        <is>
          <t>SÄVSJÖ</t>
        </is>
      </c>
      <c r="I404" t="n">
        <v>79.8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992-2026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46119</v>
      </c>
      <c r="E405" s="1" t="n">
        <v>46275</v>
      </c>
      <c r="F405" t="inlineStr">
        <is>
          <t>JÖNKÖPINGS LÄN</t>
        </is>
      </c>
      <c r="G405" t="inlineStr">
        <is>
          <t>SÄVSJÖ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1048-2026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46275</v>
      </c>
      <c r="F406" t="inlineStr">
        <is>
          <t>JÖNKÖPINGS LÄN</t>
        </is>
      </c>
      <c r="G406" t="inlineStr">
        <is>
          <t>SÄVSJÖ</t>
        </is>
      </c>
      <c r="I406" t="n">
        <v>35.8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2026-09-10T02:12:19Z</dcterms:created>
  <dcterms:modified xmlns:dcterms="http://purl.org/dc/terms/" xmlns:xsi="http://www.w3.org/2001/XMLSchema-instance" xsi:type="dcterms:W3CDTF">2026-09-10T02:12:19Z</dcterms:modified>
</cp:coreProperties>
</file>