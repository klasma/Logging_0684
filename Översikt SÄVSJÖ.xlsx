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46306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46306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46306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46306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46306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46306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46306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61482-2024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45646</v>
      </c>
      <c r="E11" s="1" t="n">
        <v>46306</v>
      </c>
      <c r="F11" t="inlineStr">
        <is>
          <t>JÖNKÖPINGS LÄN</t>
        </is>
      </c>
      <c r="G11" t="inlineStr">
        <is>
          <t>SÄVSJÖ</t>
        </is>
      </c>
      <c r="I11" t="n">
        <v>6.1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HYPERLINK("https://klasma.github.io/Logging_0684/artfynd/A 61482-2024 artfynd.xlsx", "A 61482-2024")</f>
        <v/>
      </c>
      <c r="X11">
        <f>HYPERLINK("https://klasma.github.io/Logging_0684/kartor/A 61482-2024 karta.png", "A 61482-2024")</f>
        <v/>
      </c>
      <c r="Y11">
        <f>HYPERLINK("https://klasma.github.io/Logging_0684/kartor_geotiff/A 61482-2024 georefererad karta.tif", "A 61482-2024")</f>
        <v/>
      </c>
      <c r="AA11">
        <f>HYPERLINK("https://klasma.github.io/Logging_0684/klagomål/A 61482-2024 FSC-klagomål.docx", "A 61482-2024")</f>
        <v/>
      </c>
      <c r="AB11">
        <f>HYPERLINK("https://klasma.github.io/Logging_0684/klagomålsmail/A 61482-2024 FSC-klagomål mail.docx", "A 61482-2024")</f>
        <v/>
      </c>
      <c r="AC11">
        <f>HYPERLINK("https://klasma.github.io/Logging_0684/tillsyn/A 61482-2024 tillsynsbegäran.docx", "A 61482-2024")</f>
        <v/>
      </c>
      <c r="AD11">
        <f>HYPERLINK("https://klasma.github.io/Logging_0684/tillsynsmail/A 61482-2024 tillsynsbegäran mail.docx", "A 61482-2024")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46306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46306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45719</v>
      </c>
      <c r="E14" s="1" t="n">
        <v>46306</v>
      </c>
      <c r="F14" t="inlineStr">
        <is>
          <t>JÖNKÖPINGS LÄN</t>
        </is>
      </c>
      <c r="G14" t="inlineStr">
        <is>
          <t>SÄVSJÖ</t>
        </is>
      </c>
      <c r="I14" t="n">
        <v>8.6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HYPERLINK("https://klasma.github.io/Logging_0684/artfynd/A 10046-2025 artfynd.xlsx", "A 10046-2025")</f>
        <v/>
      </c>
      <c r="X14">
        <f>HYPERLINK("https://klasma.github.io/Logging_0684/kartor/A 10046-2025 karta.png", "A 10046-2025")</f>
        <v/>
      </c>
      <c r="Y14">
        <f>HYPERLINK("https://klasma.github.io/Logging_0684/kartor_geotiff/A 10046-2025 georefererad karta.tif", "A 10046-2025")</f>
        <v/>
      </c>
      <c r="AA14">
        <f>HYPERLINK("https://klasma.github.io/Logging_0684/klagomål/A 10046-2025 FSC-klagomål.docx", "A 10046-2025")</f>
        <v/>
      </c>
      <c r="AB14">
        <f>HYPERLINK("https://klasma.github.io/Logging_0684/klagomålsmail/A 10046-2025 FSC-klagomål mail.docx", "A 10046-2025")</f>
        <v/>
      </c>
      <c r="AC14">
        <f>HYPERLINK("https://klasma.github.io/Logging_0684/tillsyn/A 10046-2025 tillsynsbegäran.docx", "A 10046-2025")</f>
        <v/>
      </c>
      <c r="AD14">
        <f>HYPERLINK("https://klasma.github.io/Logging_0684/tillsynsmail/A 10046-2025 tillsynsbegäran mail.docx", "A 10046-2025")</f>
        <v/>
      </c>
    </row>
    <row r="15" ht="15" customHeight="1">
      <c r="A15" t="inlineStr">
        <is>
          <t>A 40075-2023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45168</v>
      </c>
      <c r="E15" s="1" t="n">
        <v>46306</v>
      </c>
      <c r="F15" t="inlineStr">
        <is>
          <t>JÖNKÖPINGS LÄN</t>
        </is>
      </c>
      <c r="G15" t="inlineStr">
        <is>
          <t>SÄVSJÖ</t>
        </is>
      </c>
      <c r="I15" t="n">
        <v>1.5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Solvända</t>
        </is>
      </c>
      <c r="W15">
        <f>HYPERLINK("https://klasma.github.io/Logging_0684/artfynd/A 40075-2023 artfynd.xlsx", "A 40075-2023")</f>
        <v/>
      </c>
      <c r="X15">
        <f>HYPERLINK("https://klasma.github.io/Logging_0684/kartor/A 40075-2023 karta.png", "A 40075-2023")</f>
        <v/>
      </c>
      <c r="Y15">
        <f>HYPERLINK("https://klasma.github.io/Logging_0684/kartor_geotiff/A 40075-2023 georefererad karta.tif", "A 40075-2023")</f>
        <v/>
      </c>
      <c r="AA15">
        <f>HYPERLINK("https://klasma.github.io/Logging_0684/klagomål/A 40075-2023 FSC-klagomål.docx", "A 40075-2023")</f>
        <v/>
      </c>
      <c r="AB15">
        <f>HYPERLINK("https://klasma.github.io/Logging_0684/klagomålsmail/A 40075-2023 FSC-klagomål mail.docx", "A 40075-2023")</f>
        <v/>
      </c>
      <c r="AC15">
        <f>HYPERLINK("https://klasma.github.io/Logging_0684/tillsyn/A 40075-2023 tillsynsbegäran.docx", "A 40075-2023")</f>
        <v/>
      </c>
      <c r="AD15">
        <f>HYPERLINK("https://klasma.github.io/Logging_0684/tillsynsmail/A 40075-2023 tillsynsbegäran mail.docx", "A 40075-2023")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46306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19123-2025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45768</v>
      </c>
      <c r="E17" s="1" t="n">
        <v>46306</v>
      </c>
      <c r="F17" t="inlineStr">
        <is>
          <t>JÖNKÖPINGS LÄN</t>
        </is>
      </c>
      <c r="G17" t="inlineStr">
        <is>
          <t>SÄVSJÖ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HYPERLINK("https://klasma.github.io/Logging_0684/artfynd/A 19123-2025 artfynd.xlsx", "A 19123-2025")</f>
        <v/>
      </c>
      <c r="X17">
        <f>HYPERLINK("https://klasma.github.io/Logging_0684/kartor/A 19123-2025 karta.png", "A 19123-2025")</f>
        <v/>
      </c>
      <c r="Y17">
        <f>HYPERLINK("https://klasma.github.io/Logging_0684/kartor_geotiff/A 19123-2025 georefererad karta.tif", "A 19123-2025")</f>
        <v/>
      </c>
      <c r="AA17">
        <f>HYPERLINK("https://klasma.github.io/Logging_0684/klagomål/A 19123-2025 FSC-klagomål.docx", "A 19123-2025")</f>
        <v/>
      </c>
      <c r="AB17">
        <f>HYPERLINK("https://klasma.github.io/Logging_0684/klagomålsmail/A 19123-2025 FSC-klagomål mail.docx", "A 19123-2025")</f>
        <v/>
      </c>
      <c r="AC17">
        <f>HYPERLINK("https://klasma.github.io/Logging_0684/tillsyn/A 19123-2025 tillsynsbegäran.docx", "A 19123-2025")</f>
        <v/>
      </c>
      <c r="AD17">
        <f>HYPERLINK("https://klasma.github.io/Logging_0684/tillsynsmail/A 19123-2025 tillsynsbegäran mail.docx", "A 19123-2025")</f>
        <v/>
      </c>
      <c r="AE17">
        <f>HYPERLINK("https://klasma.github.io/Logging_0684/fåglar/A 19123-2025 prioriterade fågelarter.docx", "A 19123-2025")</f>
        <v/>
      </c>
    </row>
    <row r="18" ht="15" customHeight="1">
      <c r="A18" t="inlineStr">
        <is>
          <t>A 40543-2023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45170</v>
      </c>
      <c r="E18" s="1" t="n">
        <v>46306</v>
      </c>
      <c r="F18" t="inlineStr">
        <is>
          <t>JÖNKÖPINGS LÄN</t>
        </is>
      </c>
      <c r="G18" t="inlineStr">
        <is>
          <t>SÄVSJÖ</t>
        </is>
      </c>
      <c r="I18" t="n">
        <v>2.8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Sommarfibbla</t>
        </is>
      </c>
      <c r="W18">
        <f>HYPERLINK("https://klasma.github.io/Logging_0684/artfynd/A 40543-2023 artfynd.xlsx", "A 40543-2023")</f>
        <v/>
      </c>
      <c r="X18">
        <f>HYPERLINK("https://klasma.github.io/Logging_0684/kartor/A 40543-2023 karta.png", "A 40543-2023")</f>
        <v/>
      </c>
      <c r="Y18">
        <f>HYPERLINK("https://klasma.github.io/Logging_0684/kartor_geotiff/A 40543-2023 georefererad karta.tif", "A 40543-2023")</f>
        <v/>
      </c>
      <c r="AA18">
        <f>HYPERLINK("https://klasma.github.io/Logging_0684/klagomål/A 40543-2023 FSC-klagomål.docx", "A 40543-2023")</f>
        <v/>
      </c>
      <c r="AB18">
        <f>HYPERLINK("https://klasma.github.io/Logging_0684/klagomålsmail/A 40543-2023 FSC-klagomål mail.docx", "A 40543-2023")</f>
        <v/>
      </c>
      <c r="AC18">
        <f>HYPERLINK("https://klasma.github.io/Logging_0684/tillsyn/A 40543-2023 tillsynsbegäran.docx", "A 40543-2023")</f>
        <v/>
      </c>
      <c r="AD18">
        <f>HYPERLINK("https://klasma.github.io/Logging_0684/tillsynsmail/A 40543-2023 tillsynsbegäran mail.docx", "A 40543-2023")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46306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46306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45845</v>
      </c>
      <c r="E21" s="1" t="n">
        <v>46306</v>
      </c>
      <c r="F21" t="inlineStr">
        <is>
          <t>JÖNKÖPINGS LÄN</t>
        </is>
      </c>
      <c r="G21" t="inlineStr">
        <is>
          <t>SÄVSJÖ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Lungrot</t>
        </is>
      </c>
      <c r="W21">
        <f>HYPERLINK("https://klasma.github.io/Logging_0684/artfynd/A 34214-2025 artfynd.xlsx", "A 34214-2025")</f>
        <v/>
      </c>
      <c r="X21">
        <f>HYPERLINK("https://klasma.github.io/Logging_0684/kartor/A 34214-2025 karta.png", "A 34214-2025")</f>
        <v/>
      </c>
      <c r="Y21">
        <f>HYPERLINK("https://klasma.github.io/Logging_0684/kartor_geotiff/A 34214-2025 georefererad karta.tif", "A 34214-2025")</f>
        <v/>
      </c>
      <c r="AA21">
        <f>HYPERLINK("https://klasma.github.io/Logging_0684/klagomål/A 34214-2025 FSC-klagomål.docx", "A 34214-2025")</f>
        <v/>
      </c>
      <c r="AB21">
        <f>HYPERLINK("https://klasma.github.io/Logging_0684/klagomålsmail/A 34214-2025 FSC-klagomål mail.docx", "A 34214-2025")</f>
        <v/>
      </c>
      <c r="AC21">
        <f>HYPERLINK("https://klasma.github.io/Logging_0684/tillsyn/A 34214-2025 tillsynsbegäran.docx", "A 34214-2025")</f>
        <v/>
      </c>
      <c r="AD21">
        <f>HYPERLINK("https://klasma.github.io/Logging_0684/tillsynsmail/A 34214-2025 tillsynsbegäran mail.docx", "A 34214-2025")</f>
        <v/>
      </c>
    </row>
    <row r="22" ht="15" customHeight="1">
      <c r="A22" t="inlineStr">
        <is>
          <t>A 61556-2025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46001</v>
      </c>
      <c r="E22" s="1" t="n">
        <v>46306</v>
      </c>
      <c r="F22" t="inlineStr">
        <is>
          <t>JÖNKÖPINGS LÄN</t>
        </is>
      </c>
      <c r="G22" t="inlineStr">
        <is>
          <t>SÄVSJÖ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Törnskata</t>
        </is>
      </c>
      <c r="W22">
        <f>HYPERLINK("https://klasma.github.io/Logging_0684/artfynd/A 61556-2025 artfynd.xlsx", "A 61556-2025")</f>
        <v/>
      </c>
      <c r="X22">
        <f>HYPERLINK("https://klasma.github.io/Logging_0684/kartor/A 61556-2025 karta.png", "A 61556-2025")</f>
        <v/>
      </c>
      <c r="Y22">
        <f>HYPERLINK("https://klasma.github.io/Logging_0684/kartor_geotiff/A 61556-2025 georefererad karta.tif", "A 61556-2025")</f>
        <v/>
      </c>
      <c r="AA22">
        <f>HYPERLINK("https://klasma.github.io/Logging_0684/klagomål/A 61556-2025 FSC-klagomål.docx", "A 61556-2025")</f>
        <v/>
      </c>
      <c r="AB22">
        <f>HYPERLINK("https://klasma.github.io/Logging_0684/klagomålsmail/A 61556-2025 FSC-klagomål mail.docx", "A 61556-2025")</f>
        <v/>
      </c>
      <c r="AC22">
        <f>HYPERLINK("https://klasma.github.io/Logging_0684/tillsyn/A 61556-2025 tillsynsbegäran.docx", "A 61556-2025")</f>
        <v/>
      </c>
      <c r="AD22">
        <f>HYPERLINK("https://klasma.github.io/Logging_0684/tillsynsmail/A 61556-2025 tillsynsbegäran mail.docx", "A 61556-2025")</f>
        <v/>
      </c>
      <c r="AE22">
        <f>HYPERLINK("https://klasma.github.io/Logging_0684/fåglar/A 61556-2025 prioriterade fågelarter.docx", "A 61556-2025")</f>
        <v/>
      </c>
    </row>
    <row r="23" ht="15" customHeight="1">
      <c r="A23" t="inlineStr">
        <is>
          <t>A 35136-2024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46306</v>
      </c>
      <c r="F23" t="inlineStr">
        <is>
          <t>JÖNKÖPINGS LÄN</t>
        </is>
      </c>
      <c r="G23" t="inlineStr">
        <is>
          <t>SÄVSJÖ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35136-2024 artfynd.xlsx", "A 35136-2024")</f>
        <v/>
      </c>
      <c r="X23">
        <f>HYPERLINK("https://klasma.github.io/Logging_0684/kartor/A 35136-2024 karta.png", "A 35136-2024")</f>
        <v/>
      </c>
      <c r="Y23">
        <f>HYPERLINK("https://klasma.github.io/Logging_0684/kartor_geotiff/A 35136-2024 georefererad karta.tif", "A 35136-2024")</f>
        <v/>
      </c>
      <c r="AA23">
        <f>HYPERLINK("https://klasma.github.io/Logging_0684/klagomål/A 35136-2024 FSC-klagomål.docx", "A 35136-2024")</f>
        <v/>
      </c>
      <c r="AB23">
        <f>HYPERLINK("https://klasma.github.io/Logging_0684/klagomålsmail/A 35136-2024 FSC-klagomål mail.docx", "A 35136-2024")</f>
        <v/>
      </c>
      <c r="AC23">
        <f>HYPERLINK("https://klasma.github.io/Logging_0684/tillsyn/A 35136-2024 tillsynsbegäran.docx", "A 35136-2024")</f>
        <v/>
      </c>
      <c r="AD23">
        <f>HYPERLINK("https://klasma.github.io/Logging_0684/tillsynsmail/A 35136-2024 tillsynsbegäran mail.docx", "A 35136-2024")</f>
        <v/>
      </c>
    </row>
    <row r="24" ht="15" customHeight="1">
      <c r="A24" t="inlineStr">
        <is>
          <t>A 11797-2026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46306</v>
      </c>
      <c r="F24" t="inlineStr">
        <is>
          <t>JÖNKÖPINGS LÄN</t>
        </is>
      </c>
      <c r="G24" t="inlineStr">
        <is>
          <t>SÄVSJÖ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HYPERLINK("https://klasma.github.io/Logging_0684/artfynd/A 11797-2026 artfynd.xlsx", "A 11797-2026")</f>
        <v/>
      </c>
      <c r="X24">
        <f>HYPERLINK("https://klasma.github.io/Logging_0684/kartor/A 11797-2026 karta.png", "A 11797-2026")</f>
        <v/>
      </c>
      <c r="Y24">
        <f>HYPERLINK("https://klasma.github.io/Logging_0684/kartor_geotiff/A 11797-2026 georefererad karta.tif", "A 11797-2026")</f>
        <v/>
      </c>
      <c r="AA24">
        <f>HYPERLINK("https://klasma.github.io/Logging_0684/klagomål/A 11797-2026 FSC-klagomål.docx", "A 11797-2026")</f>
        <v/>
      </c>
      <c r="AB24">
        <f>HYPERLINK("https://klasma.github.io/Logging_0684/klagomålsmail/A 11797-2026 FSC-klagomål mail.docx", "A 11797-2026")</f>
        <v/>
      </c>
      <c r="AC24">
        <f>HYPERLINK("https://klasma.github.io/Logging_0684/tillsyn/A 11797-2026 tillsynsbegäran.docx", "A 11797-2026")</f>
        <v/>
      </c>
      <c r="AD24">
        <f>HYPERLINK("https://klasma.github.io/Logging_0684/tillsynsmail/A 11797-2026 tillsynsbegäran mail.docx", "A 11797-2026")</f>
        <v/>
      </c>
    </row>
    <row r="25" ht="15" customHeight="1">
      <c r="A25" t="inlineStr">
        <is>
          <t>A 35891-2026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46266</v>
      </c>
      <c r="E25" s="1" t="n">
        <v>46306</v>
      </c>
      <c r="F25" t="inlineStr">
        <is>
          <t>JÖNKÖPINGS LÄN</t>
        </is>
      </c>
      <c r="G25" t="inlineStr">
        <is>
          <t>SÄVSJÖ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Pilfibbla</t>
        </is>
      </c>
      <c r="W25">
        <f>HYPERLINK("https://klasma.github.io/Logging_0684/artfynd/A 35891-2026 artfynd.xlsx", "A 35891-2026")</f>
        <v/>
      </c>
      <c r="X25">
        <f>HYPERLINK("https://klasma.github.io/Logging_0684/kartor/A 35891-2026 karta.png", "A 35891-2026")</f>
        <v/>
      </c>
      <c r="Y25">
        <f>HYPERLINK("https://klasma.github.io/Logging_0684/kartor_geotiff/A 35891-2026 georefererad karta.tif", "A 35891-2026")</f>
        <v/>
      </c>
      <c r="AA25">
        <f>HYPERLINK("https://klasma.github.io/Logging_0684/klagomål/A 35891-2026 FSC-klagomål.docx", "A 35891-2026")</f>
        <v/>
      </c>
      <c r="AB25">
        <f>HYPERLINK("https://klasma.github.io/Logging_0684/klagomålsmail/A 35891-2026 FSC-klagomål mail.docx", "A 35891-2026")</f>
        <v/>
      </c>
      <c r="AC25">
        <f>HYPERLINK("https://klasma.github.io/Logging_0684/tillsyn/A 35891-2026 tillsynsbegäran.docx", "A 35891-2026")</f>
        <v/>
      </c>
      <c r="AD25">
        <f>HYPERLINK("https://klasma.github.io/Logging_0684/tillsynsmail/A 35891-2026 tillsynsbegäran mail.docx", "A 35891-2026")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46306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46306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46306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46306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46306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46306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46306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46306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46306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46306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46306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46306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46306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46306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46306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46306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46306</v>
      </c>
      <c r="F43" t="inlineStr">
        <is>
          <t>JÖNKÖPINGS LÄN</t>
        </is>
      </c>
      <c r="G43" t="inlineStr">
        <is>
          <t>SÄVSJÖ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46306</v>
      </c>
      <c r="F44" t="inlineStr">
        <is>
          <t>JÖNKÖPINGS LÄN</t>
        </is>
      </c>
      <c r="G44" t="inlineStr">
        <is>
          <t>SÄVSJÖ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46306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46306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46306</v>
      </c>
      <c r="F47" t="inlineStr">
        <is>
          <t>JÖNKÖPINGS LÄN</t>
        </is>
      </c>
      <c r="G47" t="inlineStr">
        <is>
          <t>SÄVSJÖ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46306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46306</v>
      </c>
      <c r="F49" t="inlineStr">
        <is>
          <t>JÖNKÖPINGS LÄN</t>
        </is>
      </c>
      <c r="G49" t="inlineStr">
        <is>
          <t>SÄVSJÖ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61944-2021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46306</v>
      </c>
      <c r="F50" t="inlineStr">
        <is>
          <t>JÖNKÖPINGS LÄN</t>
        </is>
      </c>
      <c r="G50" t="inlineStr">
        <is>
          <t>SÄVSJÖ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44541</v>
      </c>
      <c r="E51" s="1" t="n">
        <v>46306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46306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69927-2021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46306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44624</v>
      </c>
      <c r="E54" s="1" t="n">
        <v>46306</v>
      </c>
      <c r="F54" t="inlineStr">
        <is>
          <t>JÖNKÖPINGS LÄN</t>
        </is>
      </c>
      <c r="G54" t="inlineStr">
        <is>
          <t>SÄVSJÖ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44608</v>
      </c>
      <c r="E55" s="1" t="n">
        <v>46306</v>
      </c>
      <c r="F55" t="inlineStr">
        <is>
          <t>JÖNKÖPINGS LÄN</t>
        </is>
      </c>
      <c r="G55" t="inlineStr">
        <is>
          <t>SÄVSJÖ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20603-2022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44700</v>
      </c>
      <c r="E56" s="1" t="n">
        <v>46306</v>
      </c>
      <c r="F56" t="inlineStr">
        <is>
          <t>JÖNKÖPINGS LÄN</t>
        </is>
      </c>
      <c r="G56" t="inlineStr">
        <is>
          <t>SÄVSJÖ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66396-2021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44518</v>
      </c>
      <c r="E57" s="1" t="n">
        <v>46306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46306</v>
      </c>
      <c r="F58" t="inlineStr">
        <is>
          <t>JÖNKÖPINGS LÄN</t>
        </is>
      </c>
      <c r="G58" t="inlineStr">
        <is>
          <t>SÄVSJÖ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45155-2022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44844</v>
      </c>
      <c r="E59" s="1" t="n">
        <v>46306</v>
      </c>
      <c r="F59" t="inlineStr">
        <is>
          <t>JÖNKÖPINGS LÄN</t>
        </is>
      </c>
      <c r="G59" t="inlineStr">
        <is>
          <t>SÄVSJÖ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46306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47095-2022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44852</v>
      </c>
      <c r="E61" s="1" t="n">
        <v>46306</v>
      </c>
      <c r="F61" t="inlineStr">
        <is>
          <t>JÖNKÖPINGS LÄN</t>
        </is>
      </c>
      <c r="G61" t="inlineStr">
        <is>
          <t>SÄVSJÖ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46306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44662</v>
      </c>
      <c r="E63" s="1" t="n">
        <v>46306</v>
      </c>
      <c r="F63" t="inlineStr">
        <is>
          <t>JÖNKÖPINGS LÄN</t>
        </is>
      </c>
      <c r="G63" t="inlineStr">
        <is>
          <t>SÄVSJÖ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46306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46306</v>
      </c>
      <c r="F65" t="inlineStr">
        <is>
          <t>JÖNKÖPINGS LÄN</t>
        </is>
      </c>
      <c r="G65" t="inlineStr">
        <is>
          <t>SÄVSJÖ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46306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44791</v>
      </c>
      <c r="E67" s="1" t="n">
        <v>46306</v>
      </c>
      <c r="F67" t="inlineStr">
        <is>
          <t>JÖNKÖPINGS LÄN</t>
        </is>
      </c>
      <c r="G67" t="inlineStr">
        <is>
          <t>SÄVSJÖ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44857</v>
      </c>
      <c r="E68" s="1" t="n">
        <v>46306</v>
      </c>
      <c r="F68" t="inlineStr">
        <is>
          <t>JÖNKÖPINGS LÄN</t>
        </is>
      </c>
      <c r="G68" t="inlineStr">
        <is>
          <t>SÄVSJÖ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44862</v>
      </c>
      <c r="E69" s="1" t="n">
        <v>46306</v>
      </c>
      <c r="F69" t="inlineStr">
        <is>
          <t>JÖNKÖPINGS LÄN</t>
        </is>
      </c>
      <c r="G69" t="inlineStr">
        <is>
          <t>SÄVSJÖ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21788-2023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45066</v>
      </c>
      <c r="E70" s="1" t="n">
        <v>46306</v>
      </c>
      <c r="F70" t="inlineStr">
        <is>
          <t>JÖNKÖPINGS LÄN</t>
        </is>
      </c>
      <c r="G70" t="inlineStr">
        <is>
          <t>SÄVSJÖ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46306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46306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45427</v>
      </c>
      <c r="E73" s="1" t="n">
        <v>46306</v>
      </c>
      <c r="F73" t="inlineStr">
        <is>
          <t>JÖNKÖPINGS LÄN</t>
        </is>
      </c>
      <c r="G73" t="inlineStr">
        <is>
          <t>SÄVSJÖ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46306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46306</v>
      </c>
      <c r="F75" t="inlineStr">
        <is>
          <t>JÖNKÖPINGS LÄN</t>
        </is>
      </c>
      <c r="G75" t="inlineStr">
        <is>
          <t>SÄVSJÖ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46306</v>
      </c>
      <c r="F76" t="inlineStr">
        <is>
          <t>JÖNKÖPINGS LÄN</t>
        </is>
      </c>
      <c r="G76" t="inlineStr">
        <is>
          <t>SÄVSJÖ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45317</v>
      </c>
      <c r="E77" s="1" t="n">
        <v>46306</v>
      </c>
      <c r="F77" t="inlineStr">
        <is>
          <t>JÖNKÖPINGS LÄN</t>
        </is>
      </c>
      <c r="G77" t="inlineStr">
        <is>
          <t>SÄVSJÖ</t>
        </is>
      </c>
      <c r="I77" t="n">
        <v>19.9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46306</v>
      </c>
      <c r="F78" t="inlineStr">
        <is>
          <t>JÖNKÖPINGS LÄN</t>
        </is>
      </c>
      <c r="G78" t="inlineStr">
        <is>
          <t>SÄVSJÖ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46306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59056-2023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46306</v>
      </c>
      <c r="F80" t="inlineStr">
        <is>
          <t>JÖNKÖPINGS LÄN</t>
        </is>
      </c>
      <c r="G80" t="inlineStr">
        <is>
          <t>SÄVSJÖ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46306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44245-2022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46306</v>
      </c>
      <c r="F82" t="inlineStr">
        <is>
          <t>JÖNKÖPINGS LÄN</t>
        </is>
      </c>
      <c r="G82" t="inlineStr">
        <is>
          <t>SÄVSJÖ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46306</v>
      </c>
      <c r="F83" t="inlineStr">
        <is>
          <t>JÖNKÖPINGS LÄN</t>
        </is>
      </c>
      <c r="G83" t="inlineStr">
        <is>
          <t>SÄVSJÖ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45446</v>
      </c>
      <c r="E84" s="1" t="n">
        <v>46306</v>
      </c>
      <c r="F84" t="inlineStr">
        <is>
          <t>JÖNKÖPINGS LÄN</t>
        </is>
      </c>
      <c r="G84" t="inlineStr">
        <is>
          <t>SÄVSJÖ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45198</v>
      </c>
      <c r="E85" s="1" t="n">
        <v>46306</v>
      </c>
      <c r="F85" t="inlineStr">
        <is>
          <t>JÖNKÖPINGS LÄN</t>
        </is>
      </c>
      <c r="G85" t="inlineStr">
        <is>
          <t>SÄVSJÖ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45669</v>
      </c>
      <c r="E86" s="1" t="n">
        <v>46306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46306</v>
      </c>
      <c r="F87" t="inlineStr">
        <is>
          <t>JÖNKÖPINGS LÄN</t>
        </is>
      </c>
      <c r="G87" t="inlineStr">
        <is>
          <t>SÄVSJÖ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46306</v>
      </c>
      <c r="F88" t="inlineStr">
        <is>
          <t>JÖNKÖPINGS LÄN</t>
        </is>
      </c>
      <c r="G88" t="inlineStr">
        <is>
          <t>SÄVSJÖ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46306</v>
      </c>
      <c r="F89" t="inlineStr">
        <is>
          <t>JÖNKÖPINGS LÄN</t>
        </is>
      </c>
      <c r="G89" t="inlineStr">
        <is>
          <t>SÄVSJÖ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46306</v>
      </c>
      <c r="F90" t="inlineStr">
        <is>
          <t>JÖNKÖPINGS LÄN</t>
        </is>
      </c>
      <c r="G90" t="inlineStr">
        <is>
          <t>SÄVSJÖ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45407</v>
      </c>
      <c r="E91" s="1" t="n">
        <v>46306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45094</v>
      </c>
      <c r="E92" s="1" t="n">
        <v>46306</v>
      </c>
      <c r="F92" t="inlineStr">
        <is>
          <t>JÖNKÖPINGS LÄN</t>
        </is>
      </c>
      <c r="G92" t="inlineStr">
        <is>
          <t>SÄVSJÖ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46306</v>
      </c>
      <c r="F93" t="inlineStr">
        <is>
          <t>JÖNKÖPINGS LÄN</t>
        </is>
      </c>
      <c r="G93" t="inlineStr">
        <is>
          <t>SÄVSJÖ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46306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46306</v>
      </c>
      <c r="F95" t="inlineStr">
        <is>
          <t>JÖNKÖPINGS LÄN</t>
        </is>
      </c>
      <c r="G95" t="inlineStr">
        <is>
          <t>SÄVSJÖ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46306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19017-2025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46306</v>
      </c>
      <c r="F97" t="inlineStr">
        <is>
          <t>JÖNKÖPINGS LÄN</t>
        </is>
      </c>
      <c r="G97" t="inlineStr">
        <is>
          <t>SÄVSJÖ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45104</v>
      </c>
      <c r="E98" s="1" t="n">
        <v>46306</v>
      </c>
      <c r="F98" t="inlineStr">
        <is>
          <t>JÖNKÖPINGS LÄN</t>
        </is>
      </c>
      <c r="G98" t="inlineStr">
        <is>
          <t>SÄVSJÖ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46306</v>
      </c>
      <c r="F99" t="inlineStr">
        <is>
          <t>JÖNKÖPINGS LÄN</t>
        </is>
      </c>
      <c r="G99" t="inlineStr">
        <is>
          <t>SÄVSJÖ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46306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46306</v>
      </c>
      <c r="F101" t="inlineStr">
        <is>
          <t>JÖNKÖPINGS LÄN</t>
        </is>
      </c>
      <c r="G101" t="inlineStr">
        <is>
          <t>SÄVSJÖ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45454</v>
      </c>
      <c r="E102" s="1" t="n">
        <v>46306</v>
      </c>
      <c r="F102" t="inlineStr">
        <is>
          <t>JÖNKÖPINGS LÄN</t>
        </is>
      </c>
      <c r="G102" t="inlineStr">
        <is>
          <t>SÄVSJÖ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46306</v>
      </c>
      <c r="F103" t="inlineStr">
        <is>
          <t>JÖNKÖPINGS LÄN</t>
        </is>
      </c>
      <c r="G103" t="inlineStr">
        <is>
          <t>SÄVSJÖ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45102</v>
      </c>
      <c r="E104" s="1" t="n">
        <v>46306</v>
      </c>
      <c r="F104" t="inlineStr">
        <is>
          <t>JÖNKÖPINGS LÄN</t>
        </is>
      </c>
      <c r="G104" t="inlineStr">
        <is>
          <t>SÄVSJÖ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46306</v>
      </c>
      <c r="F105" t="inlineStr">
        <is>
          <t>JÖNKÖPINGS LÄN</t>
        </is>
      </c>
      <c r="G105" t="inlineStr">
        <is>
          <t>SÄVSJÖ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50629-2022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44866</v>
      </c>
      <c r="E106" s="1" t="n">
        <v>46306</v>
      </c>
      <c r="F106" t="inlineStr">
        <is>
          <t>JÖNKÖPINGS LÄN</t>
        </is>
      </c>
      <c r="G106" t="inlineStr">
        <is>
          <t>SÄVSJÖ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15834-2022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44664</v>
      </c>
      <c r="E107" s="1" t="n">
        <v>46306</v>
      </c>
      <c r="F107" t="inlineStr">
        <is>
          <t>JÖNKÖPINGS LÄN</t>
        </is>
      </c>
      <c r="G107" t="inlineStr">
        <is>
          <t>SÄVSJÖ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46306</v>
      </c>
      <c r="F108" t="inlineStr">
        <is>
          <t>JÖNKÖPINGS LÄN</t>
        </is>
      </c>
      <c r="G108" t="inlineStr">
        <is>
          <t>SÄVSJÖ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44642</v>
      </c>
      <c r="E109" s="1" t="n">
        <v>46306</v>
      </c>
      <c r="F109" t="inlineStr">
        <is>
          <t>JÖNKÖPINGS LÄN</t>
        </is>
      </c>
      <c r="G109" t="inlineStr">
        <is>
          <t>SÄVSJÖ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46306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45228</v>
      </c>
      <c r="E111" s="1" t="n">
        <v>46306</v>
      </c>
      <c r="F111" t="inlineStr">
        <is>
          <t>JÖNKÖPINGS LÄN</t>
        </is>
      </c>
      <c r="G111" t="inlineStr">
        <is>
          <t>SÄVSJÖ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46306</v>
      </c>
      <c r="F112" t="inlineStr">
        <is>
          <t>JÖNKÖPINGS LÄN</t>
        </is>
      </c>
      <c r="G112" t="inlineStr">
        <is>
          <t>SÄVSJÖ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46306</v>
      </c>
      <c r="F113" t="inlineStr">
        <is>
          <t>JÖNKÖPINGS LÄN</t>
        </is>
      </c>
      <c r="G113" t="inlineStr">
        <is>
          <t>SÄVSJÖ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46306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11263-2024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45371</v>
      </c>
      <c r="E115" s="1" t="n">
        <v>46306</v>
      </c>
      <c r="F115" t="inlineStr">
        <is>
          <t>JÖNKÖPINGS LÄN</t>
        </is>
      </c>
      <c r="G115" t="inlineStr">
        <is>
          <t>SÄVSJÖ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45267</v>
      </c>
      <c r="E116" s="1" t="n">
        <v>46306</v>
      </c>
      <c r="F116" t="inlineStr">
        <is>
          <t>JÖNKÖPINGS LÄN</t>
        </is>
      </c>
      <c r="G116" t="inlineStr">
        <is>
          <t>SÄVSJÖ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46306</v>
      </c>
      <c r="F117" t="inlineStr">
        <is>
          <t>JÖNKÖPINGS LÄN</t>
        </is>
      </c>
      <c r="G117" t="inlineStr">
        <is>
          <t>SÄVSJÖ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46306</v>
      </c>
      <c r="F118" t="inlineStr">
        <is>
          <t>JÖNKÖPINGS LÄN</t>
        </is>
      </c>
      <c r="G118" t="inlineStr">
        <is>
          <t>SÄVSJÖ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44883</v>
      </c>
      <c r="E119" s="1" t="n">
        <v>46306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46306</v>
      </c>
      <c r="F120" t="inlineStr">
        <is>
          <t>JÖNKÖPINGS LÄN</t>
        </is>
      </c>
      <c r="G120" t="inlineStr">
        <is>
          <t>SÄVSJÖ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45094</v>
      </c>
      <c r="E121" s="1" t="n">
        <v>46306</v>
      </c>
      <c r="F121" t="inlineStr">
        <is>
          <t>JÖNKÖPINGS LÄN</t>
        </is>
      </c>
      <c r="G121" t="inlineStr">
        <is>
          <t>SÄVSJÖ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46306</v>
      </c>
      <c r="F122" t="inlineStr">
        <is>
          <t>JÖNKÖPINGS LÄN</t>
        </is>
      </c>
      <c r="G122" t="inlineStr">
        <is>
          <t>SÄVSJÖ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46306</v>
      </c>
      <c r="F123" t="inlineStr">
        <is>
          <t>JÖNKÖPINGS LÄN</t>
        </is>
      </c>
      <c r="G123" t="inlineStr">
        <is>
          <t>SÄVSJÖ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46306</v>
      </c>
      <c r="F124" t="inlineStr">
        <is>
          <t>JÖNKÖPINGS LÄN</t>
        </is>
      </c>
      <c r="G124" t="inlineStr">
        <is>
          <t>SÄVSJÖ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46306</v>
      </c>
      <c r="F125" t="inlineStr">
        <is>
          <t>JÖNKÖPINGS LÄN</t>
        </is>
      </c>
      <c r="G125" t="inlineStr">
        <is>
          <t>SÄVSJÖ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45341</v>
      </c>
      <c r="E126" s="1" t="n">
        <v>46306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46306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45226</v>
      </c>
      <c r="E128" s="1" t="n">
        <v>46306</v>
      </c>
      <c r="F128" t="inlineStr">
        <is>
          <t>JÖNKÖPINGS LÄN</t>
        </is>
      </c>
      <c r="G128" t="inlineStr">
        <is>
          <t>SÄVSJÖ</t>
        </is>
      </c>
      <c r="H128" t="inlineStr">
        <is>
          <t>Kyrkan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46306</v>
      </c>
      <c r="F129" t="inlineStr">
        <is>
          <t>JÖNKÖPINGS LÄN</t>
        </is>
      </c>
      <c r="G129" t="inlineStr">
        <is>
          <t>SÄVSJÖ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38072-2023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45160</v>
      </c>
      <c r="E130" s="1" t="n">
        <v>46306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46306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46306</v>
      </c>
      <c r="F132" t="inlineStr">
        <is>
          <t>JÖNKÖPINGS LÄN</t>
        </is>
      </c>
      <c r="G132" t="inlineStr">
        <is>
          <t>SÄVSJÖ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45148</v>
      </c>
      <c r="E133" s="1" t="n">
        <v>46306</v>
      </c>
      <c r="F133" t="inlineStr">
        <is>
          <t>JÖNKÖPINGS LÄN</t>
        </is>
      </c>
      <c r="G133" t="inlineStr">
        <is>
          <t>SÄVSJÖ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46306</v>
      </c>
      <c r="F134" t="inlineStr">
        <is>
          <t>JÖNKÖPINGS LÄN</t>
        </is>
      </c>
      <c r="G134" t="inlineStr">
        <is>
          <t>SÄVSJÖ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46306</v>
      </c>
      <c r="F135" t="inlineStr">
        <is>
          <t>JÖNKÖPINGS LÄN</t>
        </is>
      </c>
      <c r="G135" t="inlineStr">
        <is>
          <t>SÄVSJÖ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46306</v>
      </c>
      <c r="F136" t="inlineStr">
        <is>
          <t>JÖNKÖPINGS LÄN</t>
        </is>
      </c>
      <c r="G136" t="inlineStr">
        <is>
          <t>SÄVSJÖ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46306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46306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39362-2023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46306</v>
      </c>
      <c r="F139" t="inlineStr">
        <is>
          <t>JÖNKÖPINGS LÄN</t>
        </is>
      </c>
      <c r="G139" t="inlineStr">
        <is>
          <t>SÄVSJÖ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46306</v>
      </c>
      <c r="F140" t="inlineStr">
        <is>
          <t>JÖNKÖPINGS LÄN</t>
        </is>
      </c>
      <c r="G140" t="inlineStr">
        <is>
          <t>SÄVSJÖ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46306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46306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46306</v>
      </c>
      <c r="F143" t="inlineStr">
        <is>
          <t>JÖNKÖPINGS LÄN</t>
        </is>
      </c>
      <c r="G143" t="inlineStr">
        <is>
          <t>SÄVSJÖ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46306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45755</v>
      </c>
      <c r="E145" s="1" t="n">
        <v>46306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46306</v>
      </c>
      <c r="F146" t="inlineStr">
        <is>
          <t>JÖNKÖPINGS LÄN</t>
        </is>
      </c>
      <c r="G146" t="inlineStr">
        <is>
          <t>SÄVSJÖ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46306</v>
      </c>
      <c r="F147" t="inlineStr">
        <is>
          <t>JÖNKÖPINGS LÄN</t>
        </is>
      </c>
      <c r="G147" t="inlineStr">
        <is>
          <t>SÄVSJÖ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46306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7917-2024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45350</v>
      </c>
      <c r="E149" s="1" t="n">
        <v>46306</v>
      </c>
      <c r="F149" t="inlineStr">
        <is>
          <t>JÖNKÖPINGS LÄN</t>
        </is>
      </c>
      <c r="G149" t="inlineStr">
        <is>
          <t>SÄVSJÖ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46306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46306</v>
      </c>
      <c r="F151" t="inlineStr">
        <is>
          <t>JÖNKÖPINGS LÄN</t>
        </is>
      </c>
      <c r="G151" t="inlineStr">
        <is>
          <t>SÄVSJÖ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46306</v>
      </c>
      <c r="F152" t="inlineStr">
        <is>
          <t>JÖNKÖPINGS LÄN</t>
        </is>
      </c>
      <c r="G152" t="inlineStr">
        <is>
          <t>SÄVSJÖ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46306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46306</v>
      </c>
      <c r="F154" t="inlineStr">
        <is>
          <t>JÖNKÖPINGS LÄN</t>
        </is>
      </c>
      <c r="G154" t="inlineStr">
        <is>
          <t>SÄVSJÖ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46306</v>
      </c>
      <c r="F155" t="inlineStr">
        <is>
          <t>JÖNKÖPINGS LÄN</t>
        </is>
      </c>
      <c r="G155" t="inlineStr">
        <is>
          <t>SÄVSJÖ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45534</v>
      </c>
      <c r="E156" s="1" t="n">
        <v>46306</v>
      </c>
      <c r="F156" t="inlineStr">
        <is>
          <t>JÖNKÖPINGS LÄN</t>
        </is>
      </c>
      <c r="G156" t="inlineStr">
        <is>
          <t>SÄVSJÖ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46306</v>
      </c>
      <c r="F157" t="inlineStr">
        <is>
          <t>JÖNKÖPINGS LÄN</t>
        </is>
      </c>
      <c r="G157" t="inlineStr">
        <is>
          <t>SÄVSJÖ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46306</v>
      </c>
      <c r="F158" t="inlineStr">
        <is>
          <t>JÖNKÖPINGS LÄN</t>
        </is>
      </c>
      <c r="G158" t="inlineStr">
        <is>
          <t>SÄVSJÖ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46306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46306</v>
      </c>
      <c r="F160" t="inlineStr">
        <is>
          <t>JÖNKÖPINGS LÄN</t>
        </is>
      </c>
      <c r="G160" t="inlineStr">
        <is>
          <t>SÄVSJÖ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46306</v>
      </c>
      <c r="F161" t="inlineStr">
        <is>
          <t>JÖNKÖPINGS LÄN</t>
        </is>
      </c>
      <c r="G161" t="inlineStr">
        <is>
          <t>SÄVSJÖ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45634</v>
      </c>
      <c r="E162" s="1" t="n">
        <v>46306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58398-2024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45634</v>
      </c>
      <c r="E163" s="1" t="n">
        <v>46306</v>
      </c>
      <c r="F163" t="inlineStr">
        <is>
          <t>JÖNKÖPINGS LÄN</t>
        </is>
      </c>
      <c r="G163" t="inlineStr">
        <is>
          <t>SÄVSJÖ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46306</v>
      </c>
      <c r="F164" t="inlineStr">
        <is>
          <t>JÖNKÖPINGS LÄN</t>
        </is>
      </c>
      <c r="G164" t="inlineStr">
        <is>
          <t>SÄVSJÖ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45104</v>
      </c>
      <c r="E165" s="1" t="n">
        <v>46306</v>
      </c>
      <c r="F165" t="inlineStr">
        <is>
          <t>JÖNKÖPINGS LÄN</t>
        </is>
      </c>
      <c r="G165" t="inlineStr">
        <is>
          <t>SÄVSJÖ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46306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7780-2025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46306</v>
      </c>
      <c r="F167" t="inlineStr">
        <is>
          <t>JÖNKÖPINGS LÄN</t>
        </is>
      </c>
      <c r="G167" t="inlineStr">
        <is>
          <t>SÄVSJÖ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45223</v>
      </c>
      <c r="E168" s="1" t="n">
        <v>46306</v>
      </c>
      <c r="F168" t="inlineStr">
        <is>
          <t>JÖNKÖPINGS LÄN</t>
        </is>
      </c>
      <c r="G168" t="inlineStr">
        <is>
          <t>SÄVSJÖ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45660</v>
      </c>
      <c r="E169" s="1" t="n">
        <v>46306</v>
      </c>
      <c r="F169" t="inlineStr">
        <is>
          <t>JÖNKÖPINGS LÄN</t>
        </is>
      </c>
      <c r="G169" t="inlineStr">
        <is>
          <t>SÄVSJÖ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44896</v>
      </c>
      <c r="E170" s="1" t="n">
        <v>46306</v>
      </c>
      <c r="F170" t="inlineStr">
        <is>
          <t>JÖNKÖPINGS LÄN</t>
        </is>
      </c>
      <c r="G170" t="inlineStr">
        <is>
          <t>SÄVSJÖ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45412</v>
      </c>
      <c r="E171" s="1" t="n">
        <v>46306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46306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45725</v>
      </c>
      <c r="E173" s="1" t="n">
        <v>46306</v>
      </c>
      <c r="F173" t="inlineStr">
        <is>
          <t>JÖNKÖPINGS LÄN</t>
        </is>
      </c>
      <c r="G173" t="inlineStr">
        <is>
          <t>SÄVSJÖ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46306</v>
      </c>
      <c r="F174" t="inlineStr">
        <is>
          <t>JÖNKÖPINGS LÄN</t>
        </is>
      </c>
      <c r="G174" t="inlineStr">
        <is>
          <t>SÄVSJÖ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45573</v>
      </c>
      <c r="E175" s="1" t="n">
        <v>46306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46306</v>
      </c>
      <c r="F176" t="inlineStr">
        <is>
          <t>JÖNKÖPINGS LÄN</t>
        </is>
      </c>
      <c r="G176" t="inlineStr">
        <is>
          <t>SÄVSJÖ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60805-2024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45644</v>
      </c>
      <c r="E177" s="1" t="n">
        <v>46306</v>
      </c>
      <c r="F177" t="inlineStr">
        <is>
          <t>JÖNKÖPINGS LÄN</t>
        </is>
      </c>
      <c r="G177" t="inlineStr">
        <is>
          <t>SÄVSJÖ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46306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46306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45607</v>
      </c>
      <c r="E180" s="1" t="n">
        <v>46306</v>
      </c>
      <c r="F180" t="inlineStr">
        <is>
          <t>JÖNKÖPINGS LÄN</t>
        </is>
      </c>
      <c r="G180" t="inlineStr">
        <is>
          <t>SÄVSJÖ</t>
        </is>
      </c>
      <c r="H180" t="inlineStr">
        <is>
          <t>Övriga Aktiebolag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46306</v>
      </c>
      <c r="F181" t="inlineStr">
        <is>
          <t>JÖNKÖPINGS LÄN</t>
        </is>
      </c>
      <c r="G181" t="inlineStr">
        <is>
          <t>SÄVSJÖ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46306</v>
      </c>
      <c r="F182" t="inlineStr">
        <is>
          <t>JÖNKÖPINGS LÄN</t>
        </is>
      </c>
      <c r="G182" t="inlineStr">
        <is>
          <t>SÄVSJÖ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46306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46306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45534</v>
      </c>
      <c r="E185" s="1" t="n">
        <v>46306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46306</v>
      </c>
      <c r="F186" t="inlineStr">
        <is>
          <t>JÖNKÖPINGS LÄN</t>
        </is>
      </c>
      <c r="G186" t="inlineStr">
        <is>
          <t>SÄVSJÖ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46306</v>
      </c>
      <c r="F187" t="inlineStr">
        <is>
          <t>JÖNKÖPINGS LÄN</t>
        </is>
      </c>
      <c r="G187" t="inlineStr">
        <is>
          <t>SÄVSJÖ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45355</v>
      </c>
      <c r="E188" s="1" t="n">
        <v>46306</v>
      </c>
      <c r="F188" t="inlineStr">
        <is>
          <t>JÖNKÖPINGS LÄN</t>
        </is>
      </c>
      <c r="G188" t="inlineStr">
        <is>
          <t>SÄVSJÖ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46306</v>
      </c>
      <c r="F189" t="inlineStr">
        <is>
          <t>JÖNKÖPINGS LÄN</t>
        </is>
      </c>
      <c r="G189" t="inlineStr">
        <is>
          <t>SÄVSJÖ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45671</v>
      </c>
      <c r="E190" s="1" t="n">
        <v>46306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44590</v>
      </c>
      <c r="E191" s="1" t="n">
        <v>46306</v>
      </c>
      <c r="F191" t="inlineStr">
        <is>
          <t>JÖNKÖPINGS LÄN</t>
        </is>
      </c>
      <c r="G191" t="inlineStr">
        <is>
          <t>SÄVSJÖ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45632</v>
      </c>
      <c r="E192" s="1" t="n">
        <v>46306</v>
      </c>
      <c r="F192" t="inlineStr">
        <is>
          <t>JÖNKÖPINGS LÄN</t>
        </is>
      </c>
      <c r="G192" t="inlineStr">
        <is>
          <t>SÄVSJÖ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46306</v>
      </c>
      <c r="F193" t="inlineStr">
        <is>
          <t>JÖNKÖPINGS LÄN</t>
        </is>
      </c>
      <c r="G193" t="inlineStr">
        <is>
          <t>SÄVSJÖ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46306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46306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46306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46306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46306</v>
      </c>
      <c r="F198" t="inlineStr">
        <is>
          <t>JÖNKÖPINGS LÄN</t>
        </is>
      </c>
      <c r="G198" t="inlineStr">
        <is>
          <t>SÄVSJÖ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45054</v>
      </c>
      <c r="E199" s="1" t="n">
        <v>46306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21795-2023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45067</v>
      </c>
      <c r="E200" s="1" t="n">
        <v>46306</v>
      </c>
      <c r="F200" t="inlineStr">
        <is>
          <t>JÖNKÖPINGS LÄN</t>
        </is>
      </c>
      <c r="G200" t="inlineStr">
        <is>
          <t>SÄVSJÖ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44942</v>
      </c>
      <c r="E201" s="1" t="n">
        <v>46306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46306</v>
      </c>
      <c r="F202" t="inlineStr">
        <is>
          <t>JÖNKÖPINGS LÄN</t>
        </is>
      </c>
      <c r="G202" t="inlineStr">
        <is>
          <t>SÄVSJÖ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46306</v>
      </c>
      <c r="F203" t="inlineStr">
        <is>
          <t>JÖNKÖPINGS LÄN</t>
        </is>
      </c>
      <c r="G203" t="inlineStr">
        <is>
          <t>SÄVSJÖ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45733</v>
      </c>
      <c r="E204" s="1" t="n">
        <v>46306</v>
      </c>
      <c r="F204" t="inlineStr">
        <is>
          <t>JÖNKÖPINGS LÄN</t>
        </is>
      </c>
      <c r="G204" t="inlineStr">
        <is>
          <t>SÄVSJÖ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46306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46306</v>
      </c>
      <c r="F206" t="inlineStr">
        <is>
          <t>JÖNKÖPINGS LÄN</t>
        </is>
      </c>
      <c r="G206" t="inlineStr">
        <is>
          <t>SÄVSJÖ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46306</v>
      </c>
      <c r="F207" t="inlineStr">
        <is>
          <t>JÖNKÖPINGS LÄN</t>
        </is>
      </c>
      <c r="G207" t="inlineStr">
        <is>
          <t>SÄVSJÖ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45084</v>
      </c>
      <c r="E208" s="1" t="n">
        <v>46306</v>
      </c>
      <c r="F208" t="inlineStr">
        <is>
          <t>JÖNKÖPINGS LÄN</t>
        </is>
      </c>
      <c r="G208" t="inlineStr">
        <is>
          <t>SÄVSJÖ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8341-2022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44610</v>
      </c>
      <c r="E209" s="1" t="n">
        <v>46306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46306</v>
      </c>
      <c r="F210" t="inlineStr">
        <is>
          <t>JÖNKÖPINGS LÄN</t>
        </is>
      </c>
      <c r="G210" t="inlineStr">
        <is>
          <t>SÄVSJÖ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45037</v>
      </c>
      <c r="E211" s="1" t="n">
        <v>46306</v>
      </c>
      <c r="F211" t="inlineStr">
        <is>
          <t>JÖNKÖPINGS LÄN</t>
        </is>
      </c>
      <c r="G211" t="inlineStr">
        <is>
          <t>SÄVSJÖ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46306</v>
      </c>
      <c r="F212" t="inlineStr">
        <is>
          <t>JÖNKÖPINGS LÄN</t>
        </is>
      </c>
      <c r="G212" t="inlineStr">
        <is>
          <t>SÄVSJÖ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46306</v>
      </c>
      <c r="F213" t="inlineStr">
        <is>
          <t>JÖNKÖPINGS LÄN</t>
        </is>
      </c>
      <c r="G213" t="inlineStr">
        <is>
          <t>SÄVSJÖ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46306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46306</v>
      </c>
      <c r="F215" t="inlineStr">
        <is>
          <t>JÖNKÖPINGS LÄN</t>
        </is>
      </c>
      <c r="G215" t="inlineStr">
        <is>
          <t>SÄVSJÖ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46306</v>
      </c>
      <c r="F216" t="inlineStr">
        <is>
          <t>JÖNKÖPINGS LÄN</t>
        </is>
      </c>
      <c r="G216" t="inlineStr">
        <is>
          <t>SÄVSJÖ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46306</v>
      </c>
      <c r="F217" t="inlineStr">
        <is>
          <t>JÖNKÖPINGS LÄN</t>
        </is>
      </c>
      <c r="G217" t="inlineStr">
        <is>
          <t>SÄVSJÖ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46306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46306</v>
      </c>
      <c r="F219" t="inlineStr">
        <is>
          <t>JÖNKÖPINGS LÄN</t>
        </is>
      </c>
      <c r="G219" t="inlineStr">
        <is>
          <t>SÄVSJÖ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46306</v>
      </c>
      <c r="F220" t="inlineStr">
        <is>
          <t>JÖNKÖPINGS LÄN</t>
        </is>
      </c>
      <c r="G220" t="inlineStr">
        <is>
          <t>SÄVSJÖ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46306</v>
      </c>
      <c r="F221" t="inlineStr">
        <is>
          <t>JÖNKÖPINGS LÄN</t>
        </is>
      </c>
      <c r="G221" t="inlineStr">
        <is>
          <t>SÄVSJÖ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46306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45698</v>
      </c>
      <c r="E223" s="1" t="n">
        <v>46306</v>
      </c>
      <c r="F223" t="inlineStr">
        <is>
          <t>JÖNKÖPINGS LÄN</t>
        </is>
      </c>
      <c r="G223" t="inlineStr">
        <is>
          <t>SÄVSJÖ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45201</v>
      </c>
      <c r="E224" s="1" t="n">
        <v>46306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46306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46306</v>
      </c>
      <c r="F226" t="inlineStr">
        <is>
          <t>JÖNKÖPINGS LÄN</t>
        </is>
      </c>
      <c r="G226" t="inlineStr">
        <is>
          <t>SÄVSJÖ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46306</v>
      </c>
      <c r="F227" t="inlineStr">
        <is>
          <t>JÖNKÖPINGS LÄN</t>
        </is>
      </c>
      <c r="G227" t="inlineStr">
        <is>
          <t>SÄVSJÖ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46306</v>
      </c>
      <c r="F228" t="inlineStr">
        <is>
          <t>JÖNKÖPINGS LÄN</t>
        </is>
      </c>
      <c r="G228" t="inlineStr">
        <is>
          <t>SÄVSJÖ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44872</v>
      </c>
      <c r="E229" s="1" t="n">
        <v>46306</v>
      </c>
      <c r="F229" t="inlineStr">
        <is>
          <t>JÖNKÖPINGS LÄN</t>
        </is>
      </c>
      <c r="G229" t="inlineStr">
        <is>
          <t>SÄVSJÖ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46306</v>
      </c>
      <c r="F230" t="inlineStr">
        <is>
          <t>JÖNKÖPINGS LÄN</t>
        </is>
      </c>
      <c r="G230" t="inlineStr">
        <is>
          <t>SÄVSJÖ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46306</v>
      </c>
      <c r="F231" t="inlineStr">
        <is>
          <t>JÖNKÖPINGS LÄN</t>
        </is>
      </c>
      <c r="G231" t="inlineStr">
        <is>
          <t>SÄVSJÖ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45704</v>
      </c>
      <c r="E232" s="1" t="n">
        <v>46306</v>
      </c>
      <c r="F232" t="inlineStr">
        <is>
          <t>JÖNKÖPINGS LÄN</t>
        </is>
      </c>
      <c r="G232" t="inlineStr">
        <is>
          <t>SÄVSJÖ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46306</v>
      </c>
      <c r="F233" t="inlineStr">
        <is>
          <t>JÖNKÖPINGS LÄN</t>
        </is>
      </c>
      <c r="G233" t="inlineStr">
        <is>
          <t>SÄVSJÖ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46306</v>
      </c>
      <c r="F234" t="inlineStr">
        <is>
          <t>JÖNKÖPINGS LÄN</t>
        </is>
      </c>
      <c r="G234" t="inlineStr">
        <is>
          <t>SÄVSJÖ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46306</v>
      </c>
      <c r="F235" t="inlineStr">
        <is>
          <t>JÖNKÖPINGS LÄN</t>
        </is>
      </c>
      <c r="G235" t="inlineStr">
        <is>
          <t>SÄVSJÖ</t>
        </is>
      </c>
      <c r="I235" t="n">
        <v>9.800000000000001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46306</v>
      </c>
      <c r="F236" t="inlineStr">
        <is>
          <t>JÖNKÖPINGS LÄN</t>
        </is>
      </c>
      <c r="G236" t="inlineStr">
        <is>
          <t>SÄVSJÖ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45593</v>
      </c>
      <c r="E237" s="1" t="n">
        <v>46306</v>
      </c>
      <c r="F237" t="inlineStr">
        <is>
          <t>JÖNKÖPINGS LÄN</t>
        </is>
      </c>
      <c r="G237" t="inlineStr">
        <is>
          <t>SÄVSJÖ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29558-2023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46306</v>
      </c>
      <c r="F238" t="inlineStr">
        <is>
          <t>JÖNKÖPINGS LÄN</t>
        </is>
      </c>
      <c r="G238" t="inlineStr">
        <is>
          <t>SÄVSJÖ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45623</v>
      </c>
      <c r="E239" s="1" t="n">
        <v>46306</v>
      </c>
      <c r="F239" t="inlineStr">
        <is>
          <t>JÖNKÖPINGS LÄN</t>
        </is>
      </c>
      <c r="G239" t="inlineStr">
        <is>
          <t>SÄVSJÖ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46306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45433</v>
      </c>
      <c r="E241" s="1" t="n">
        <v>46306</v>
      </c>
      <c r="F241" t="inlineStr">
        <is>
          <t>JÖNKÖPINGS LÄN</t>
        </is>
      </c>
      <c r="G241" t="inlineStr">
        <is>
          <t>SÄVSJÖ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63920-2021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44509</v>
      </c>
      <c r="E242" s="1" t="n">
        <v>46306</v>
      </c>
      <c r="F242" t="inlineStr">
        <is>
          <t>JÖNKÖPINGS LÄN</t>
        </is>
      </c>
      <c r="G242" t="inlineStr">
        <is>
          <t>SÄVSJÖ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44991</v>
      </c>
      <c r="E243" s="1" t="n">
        <v>46306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46306</v>
      </c>
      <c r="F244" t="inlineStr">
        <is>
          <t>JÖNKÖPINGS LÄN</t>
        </is>
      </c>
      <c r="G244" t="inlineStr">
        <is>
          <t>SÄVSJÖ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45671</v>
      </c>
      <c r="E245" s="1" t="n">
        <v>46306</v>
      </c>
      <c r="F245" t="inlineStr">
        <is>
          <t>JÖNKÖPINGS LÄN</t>
        </is>
      </c>
      <c r="G245" t="inlineStr">
        <is>
          <t>SÄVSJÖ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52363-2025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45953</v>
      </c>
      <c r="E246" s="1" t="n">
        <v>46306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46306</v>
      </c>
      <c r="F247" t="inlineStr">
        <is>
          <t>JÖNKÖPINGS LÄN</t>
        </is>
      </c>
      <c r="G247" t="inlineStr">
        <is>
          <t>SÄVSJÖ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46306</v>
      </c>
      <c r="F248" t="inlineStr">
        <is>
          <t>JÖNKÖPINGS LÄN</t>
        </is>
      </c>
      <c r="G248" t="inlineStr">
        <is>
          <t>SÄVSJÖ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45953</v>
      </c>
      <c r="E249" s="1" t="n">
        <v>46306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46306</v>
      </c>
      <c r="F250" t="inlineStr">
        <is>
          <t>JÖNKÖPINGS LÄN</t>
        </is>
      </c>
      <c r="G250" t="inlineStr">
        <is>
          <t>SÄVSJÖ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46306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46306</v>
      </c>
      <c r="F252" t="inlineStr">
        <is>
          <t>JÖNKÖPINGS LÄN</t>
        </is>
      </c>
      <c r="G252" t="inlineStr">
        <is>
          <t>SÄVSJÖ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46306</v>
      </c>
      <c r="F253" t="inlineStr">
        <is>
          <t>JÖNKÖPINGS LÄN</t>
        </is>
      </c>
      <c r="G253" t="inlineStr">
        <is>
          <t>SÄVSJÖ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46306</v>
      </c>
      <c r="F254" t="inlineStr">
        <is>
          <t>JÖNKÖPINGS LÄN</t>
        </is>
      </c>
      <c r="G254" t="inlineStr">
        <is>
          <t>SÄVSJÖ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46306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45833</v>
      </c>
      <c r="E256" s="1" t="n">
        <v>46306</v>
      </c>
      <c r="F256" t="inlineStr">
        <is>
          <t>JÖNKÖPINGS LÄN</t>
        </is>
      </c>
      <c r="G256" t="inlineStr">
        <is>
          <t>SÄVSJÖ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46306</v>
      </c>
      <c r="F257" t="inlineStr">
        <is>
          <t>JÖNKÖPINGS LÄN</t>
        </is>
      </c>
      <c r="G257" t="inlineStr">
        <is>
          <t>SÄVSJÖ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46306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54275-2025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45964</v>
      </c>
      <c r="E259" s="1" t="n">
        <v>46306</v>
      </c>
      <c r="F259" t="inlineStr">
        <is>
          <t>JÖNKÖPINGS LÄN</t>
        </is>
      </c>
      <c r="G259" t="inlineStr">
        <is>
          <t>SÄVSJÖ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44651</v>
      </c>
      <c r="E260" s="1" t="n">
        <v>46306</v>
      </c>
      <c r="F260" t="inlineStr">
        <is>
          <t>JÖNKÖPINGS LÄN</t>
        </is>
      </c>
      <c r="G260" t="inlineStr">
        <is>
          <t>SÄVSJÖ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7285-2023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44970</v>
      </c>
      <c r="E261" s="1" t="n">
        <v>46306</v>
      </c>
      <c r="F261" t="inlineStr">
        <is>
          <t>JÖNKÖPINGS LÄN</t>
        </is>
      </c>
      <c r="G261" t="inlineStr">
        <is>
          <t>SÄVSJÖ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46306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46306</v>
      </c>
      <c r="F263" t="inlineStr">
        <is>
          <t>JÖNKÖPINGS LÄN</t>
        </is>
      </c>
      <c r="G263" t="inlineStr">
        <is>
          <t>SÄVSJÖ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46306</v>
      </c>
      <c r="F264" t="inlineStr">
        <is>
          <t>JÖNKÖPINGS LÄN</t>
        </is>
      </c>
      <c r="G264" t="inlineStr">
        <is>
          <t>SÄVSJÖ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46306</v>
      </c>
      <c r="F265" t="inlineStr">
        <is>
          <t>JÖNKÖPINGS LÄN</t>
        </is>
      </c>
      <c r="G265" t="inlineStr">
        <is>
          <t>SÄVSJÖ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46306</v>
      </c>
      <c r="F266" t="inlineStr">
        <is>
          <t>JÖNKÖPINGS LÄN</t>
        </is>
      </c>
      <c r="G266" t="inlineStr">
        <is>
          <t>SÄVSJÖ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46306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55358-2025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46306</v>
      </c>
      <c r="F268" t="inlineStr">
        <is>
          <t>JÖNKÖPINGS LÄN</t>
        </is>
      </c>
      <c r="G268" t="inlineStr">
        <is>
          <t>SÄVSJÖ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46306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46306</v>
      </c>
      <c r="F270" t="inlineStr">
        <is>
          <t>JÖNKÖPINGS LÄN</t>
        </is>
      </c>
      <c r="G270" t="inlineStr">
        <is>
          <t>SÄVSJÖ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45775</v>
      </c>
      <c r="E271" s="1" t="n">
        <v>46306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45315</v>
      </c>
      <c r="E272" s="1" t="n">
        <v>46306</v>
      </c>
      <c r="F272" t="inlineStr">
        <is>
          <t>JÖNKÖPINGS LÄN</t>
        </is>
      </c>
      <c r="G272" t="inlineStr">
        <is>
          <t>SÄVSJÖ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45418</v>
      </c>
      <c r="E273" s="1" t="n">
        <v>46306</v>
      </c>
      <c r="F273" t="inlineStr">
        <is>
          <t>JÖNKÖPINGS LÄN</t>
        </is>
      </c>
      <c r="G273" t="inlineStr">
        <is>
          <t>SÄVSJÖ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45634</v>
      </c>
      <c r="E274" s="1" t="n">
        <v>46306</v>
      </c>
      <c r="F274" t="inlineStr">
        <is>
          <t>JÖNKÖPINGS LÄN</t>
        </is>
      </c>
      <c r="G274" t="inlineStr">
        <is>
          <t>SÄVSJÖ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46306</v>
      </c>
      <c r="F275" t="inlineStr">
        <is>
          <t>JÖNKÖPINGS LÄN</t>
        </is>
      </c>
      <c r="G275" t="inlineStr">
        <is>
          <t>SÄVSJÖ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45329</v>
      </c>
      <c r="E276" s="1" t="n">
        <v>46306</v>
      </c>
      <c r="F276" t="inlineStr">
        <is>
          <t>JÖNKÖPINGS LÄN</t>
        </is>
      </c>
      <c r="G276" t="inlineStr">
        <is>
          <t>SÄVSJÖ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42394-2022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46306</v>
      </c>
      <c r="F277" t="inlineStr">
        <is>
          <t>JÖNKÖPINGS LÄN</t>
        </is>
      </c>
      <c r="G277" t="inlineStr">
        <is>
          <t>SÄVSJÖ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30162-2023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45110</v>
      </c>
      <c r="E278" s="1" t="n">
        <v>46306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46306</v>
      </c>
      <c r="F279" t="inlineStr">
        <is>
          <t>JÖNKÖPINGS LÄN</t>
        </is>
      </c>
      <c r="G279" t="inlineStr">
        <is>
          <t>SÄVSJÖ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43015-2022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44833</v>
      </c>
      <c r="E280" s="1" t="n">
        <v>46306</v>
      </c>
      <c r="F280" t="inlineStr">
        <is>
          <t>JÖNKÖPINGS LÄN</t>
        </is>
      </c>
      <c r="G280" t="inlineStr">
        <is>
          <t>SÄVSJÖ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44991</v>
      </c>
      <c r="E281" s="1" t="n">
        <v>46306</v>
      </c>
      <c r="F281" t="inlineStr">
        <is>
          <t>JÖNKÖPINGS LÄN</t>
        </is>
      </c>
      <c r="G281" t="inlineStr">
        <is>
          <t>SÄVSJÖ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46306</v>
      </c>
      <c r="F282" t="inlineStr">
        <is>
          <t>JÖNKÖPINGS LÄN</t>
        </is>
      </c>
      <c r="G282" t="inlineStr">
        <is>
          <t>SÄVSJÖ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46306</v>
      </c>
      <c r="F283" t="inlineStr">
        <is>
          <t>JÖNKÖPINGS LÄN</t>
        </is>
      </c>
      <c r="G283" t="inlineStr">
        <is>
          <t>SÄVSJÖ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46306</v>
      </c>
      <c r="F284" t="inlineStr">
        <is>
          <t>JÖNKÖPINGS LÄN</t>
        </is>
      </c>
      <c r="G284" t="inlineStr">
        <is>
          <t>SÄVSJÖ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44820</v>
      </c>
      <c r="E285" s="1" t="n">
        <v>46306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45067</v>
      </c>
      <c r="E286" s="1" t="n">
        <v>46306</v>
      </c>
      <c r="F286" t="inlineStr">
        <is>
          <t>JÖNKÖPINGS LÄN</t>
        </is>
      </c>
      <c r="G286" t="inlineStr">
        <is>
          <t>SÄVSJÖ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46306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61545-2021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44501</v>
      </c>
      <c r="E288" s="1" t="n">
        <v>46306</v>
      </c>
      <c r="F288" t="inlineStr">
        <is>
          <t>JÖNKÖPINGS LÄN</t>
        </is>
      </c>
      <c r="G288" t="inlineStr">
        <is>
          <t>SÄVSJÖ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45301</v>
      </c>
      <c r="E289" s="1" t="n">
        <v>46306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46306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45695</v>
      </c>
      <c r="E291" s="1" t="n">
        <v>46306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46306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45274</v>
      </c>
      <c r="E293" s="1" t="n">
        <v>46306</v>
      </c>
      <c r="F293" t="inlineStr">
        <is>
          <t>JÖNKÖPINGS LÄN</t>
        </is>
      </c>
      <c r="G293" t="inlineStr">
        <is>
          <t>SÄVSJÖ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46306</v>
      </c>
      <c r="F294" t="inlineStr">
        <is>
          <t>JÖNKÖPINGS LÄN</t>
        </is>
      </c>
      <c r="G294" t="inlineStr">
        <is>
          <t>SÄVSJÖ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45240</v>
      </c>
      <c r="E295" s="1" t="n">
        <v>46306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46306</v>
      </c>
      <c r="F296" t="inlineStr">
        <is>
          <t>JÖNKÖPINGS LÄN</t>
        </is>
      </c>
      <c r="G296" t="inlineStr">
        <is>
          <t>SÄVSJÖ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46306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44886</v>
      </c>
      <c r="E298" s="1" t="n">
        <v>46306</v>
      </c>
      <c r="F298" t="inlineStr">
        <is>
          <t>JÖNKÖPINGS LÄN</t>
        </is>
      </c>
      <c r="G298" t="inlineStr">
        <is>
          <t>SÄVSJÖ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45320</v>
      </c>
      <c r="E299" s="1" t="n">
        <v>46306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58725-2025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46306</v>
      </c>
      <c r="F300" t="inlineStr">
        <is>
          <t>JÖNKÖPINGS LÄN</t>
        </is>
      </c>
      <c r="G300" t="inlineStr">
        <is>
          <t>SÄVSJÖ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46306</v>
      </c>
      <c r="F301" t="inlineStr">
        <is>
          <t>JÖNKÖPINGS LÄN</t>
        </is>
      </c>
      <c r="G301" t="inlineStr">
        <is>
          <t>SÄVSJÖ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14778-2026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46101</v>
      </c>
      <c r="E302" s="1" t="n">
        <v>46306</v>
      </c>
      <c r="F302" t="inlineStr">
        <is>
          <t>JÖNKÖPINGS LÄN</t>
        </is>
      </c>
      <c r="G302" t="inlineStr">
        <is>
          <t>SÄVSJÖ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46306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46101</v>
      </c>
      <c r="E304" s="1" t="n">
        <v>46306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46306</v>
      </c>
      <c r="F305" t="inlineStr">
        <is>
          <t>JÖNKÖPINGS LÄN</t>
        </is>
      </c>
      <c r="G305" t="inlineStr">
        <is>
          <t>SÄVSJÖ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46306</v>
      </c>
      <c r="F306" t="inlineStr">
        <is>
          <t>JÖNKÖPINGS LÄN</t>
        </is>
      </c>
      <c r="G306" t="inlineStr">
        <is>
          <t>SÄVSJÖ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50627-2022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44866</v>
      </c>
      <c r="E307" s="1" t="n">
        <v>46306</v>
      </c>
      <c r="F307" t="inlineStr">
        <is>
          <t>JÖNKÖPINGS LÄN</t>
        </is>
      </c>
      <c r="G307" t="inlineStr">
        <is>
          <t>SÄVSJÖ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45015</v>
      </c>
      <c r="E308" s="1" t="n">
        <v>46306</v>
      </c>
      <c r="F308" t="inlineStr">
        <is>
          <t>JÖNKÖPINGS LÄN</t>
        </is>
      </c>
      <c r="G308" t="inlineStr">
        <is>
          <t>SÄVSJÖ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38914-2024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45547</v>
      </c>
      <c r="E309" s="1" t="n">
        <v>46306</v>
      </c>
      <c r="F309" t="inlineStr">
        <is>
          <t>JÖNKÖPINGS LÄN</t>
        </is>
      </c>
      <c r="G309" t="inlineStr">
        <is>
          <t>SÄVSJÖ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43976-2022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44838</v>
      </c>
      <c r="E310" s="1" t="n">
        <v>46306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30364-2023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46306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45623</v>
      </c>
      <c r="E312" s="1" t="n">
        <v>46306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46108</v>
      </c>
      <c r="E313" s="1" t="n">
        <v>46306</v>
      </c>
      <c r="F313" t="inlineStr">
        <is>
          <t>JÖNKÖPINGS LÄN</t>
        </is>
      </c>
      <c r="G313" t="inlineStr">
        <is>
          <t>SÄVSJÖ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59332-2025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45989</v>
      </c>
      <c r="E314" s="1" t="n">
        <v>46306</v>
      </c>
      <c r="F314" t="inlineStr">
        <is>
          <t>JÖNKÖPINGS LÄN</t>
        </is>
      </c>
      <c r="G314" t="inlineStr">
        <is>
          <t>SÄVSJÖ</t>
        </is>
      </c>
      <c r="H314" t="inlineStr">
        <is>
          <t>Kyrkan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62182-2023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46306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45534</v>
      </c>
      <c r="E316" s="1" t="n">
        <v>46306</v>
      </c>
      <c r="F316" t="inlineStr">
        <is>
          <t>JÖNKÖPINGS LÄN</t>
        </is>
      </c>
      <c r="G316" t="inlineStr">
        <is>
          <t>SÄVSJÖ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60331-2025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45993</v>
      </c>
      <c r="E317" s="1" t="n">
        <v>46306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46125</v>
      </c>
      <c r="E318" s="1" t="n">
        <v>46306</v>
      </c>
      <c r="F318" t="inlineStr">
        <is>
          <t>JÖNKÖPINGS LÄN</t>
        </is>
      </c>
      <c r="G318" t="inlineStr">
        <is>
          <t>SÄVSJÖ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46306</v>
      </c>
      <c r="F319" t="inlineStr">
        <is>
          <t>JÖNKÖPINGS LÄN</t>
        </is>
      </c>
      <c r="G319" t="inlineStr">
        <is>
          <t>SÄVSJÖ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45008</v>
      </c>
      <c r="E320" s="1" t="n">
        <v>46306</v>
      </c>
      <c r="F320" t="inlineStr">
        <is>
          <t>JÖNKÖPINGS LÄN</t>
        </is>
      </c>
      <c r="G320" t="inlineStr">
        <is>
          <t>SÄVSJÖ</t>
        </is>
      </c>
      <c r="H320" t="inlineStr">
        <is>
          <t>Kommuner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44952</v>
      </c>
      <c r="E321" s="1" t="n">
        <v>46306</v>
      </c>
      <c r="F321" t="inlineStr">
        <is>
          <t>JÖNKÖPINGS LÄN</t>
        </is>
      </c>
      <c r="G321" t="inlineStr">
        <is>
          <t>SÄVSJÖ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46306</v>
      </c>
      <c r="F322" t="inlineStr">
        <is>
          <t>JÖNKÖPINGS LÄN</t>
        </is>
      </c>
      <c r="G322" t="inlineStr">
        <is>
          <t>SÄVSJÖ</t>
        </is>
      </c>
      <c r="H322" t="inlineStr">
        <is>
          <t>Sveaskog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45879</v>
      </c>
      <c r="E323" s="1" t="n">
        <v>46306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62870-2025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46008</v>
      </c>
      <c r="E324" s="1" t="n">
        <v>46306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44929</v>
      </c>
      <c r="E325" s="1" t="n">
        <v>46306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60915-2023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46306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46010</v>
      </c>
      <c r="E327" s="1" t="n">
        <v>46306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45247</v>
      </c>
      <c r="E328" s="1" t="n">
        <v>46306</v>
      </c>
      <c r="F328" t="inlineStr">
        <is>
          <t>JÖNKÖPINGS LÄN</t>
        </is>
      </c>
      <c r="G328" t="inlineStr">
        <is>
          <t>SÄVSJÖ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46306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46014</v>
      </c>
      <c r="E330" s="1" t="n">
        <v>46306</v>
      </c>
      <c r="F330" t="inlineStr">
        <is>
          <t>JÖNKÖPINGS LÄN</t>
        </is>
      </c>
      <c r="G330" t="inlineStr">
        <is>
          <t>SÄVSJÖ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46014</v>
      </c>
      <c r="E331" s="1" t="n">
        <v>46306</v>
      </c>
      <c r="F331" t="inlineStr">
        <is>
          <t>JÖNKÖPINGS LÄN</t>
        </is>
      </c>
      <c r="G331" t="inlineStr">
        <is>
          <t>SÄVSJÖ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46306</v>
      </c>
      <c r="F332" t="inlineStr">
        <is>
          <t>JÖNKÖPINGS LÄN</t>
        </is>
      </c>
      <c r="G332" t="inlineStr">
        <is>
          <t>SÄVSJÖ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46014</v>
      </c>
      <c r="E333" s="1" t="n">
        <v>46306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46017</v>
      </c>
      <c r="E334" s="1" t="n">
        <v>46306</v>
      </c>
      <c r="F334" t="inlineStr">
        <is>
          <t>JÖNKÖPINGS LÄN</t>
        </is>
      </c>
      <c r="G334" t="inlineStr">
        <is>
          <t>SÄVSJÖ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44893</v>
      </c>
      <c r="E335" s="1" t="n">
        <v>46306</v>
      </c>
      <c r="F335" t="inlineStr">
        <is>
          <t>JÖNKÖPINGS LÄN</t>
        </is>
      </c>
      <c r="G335" t="inlineStr">
        <is>
          <t>SÄVSJÖ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46306</v>
      </c>
      <c r="F336" t="inlineStr">
        <is>
          <t>JÖNKÖPINGS LÄN</t>
        </is>
      </c>
      <c r="G336" t="inlineStr">
        <is>
          <t>SÄVSJÖ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45785</v>
      </c>
      <c r="E337" s="1" t="n">
        <v>46306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62421-2023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45268</v>
      </c>
      <c r="E338" s="1" t="n">
        <v>46306</v>
      </c>
      <c r="F338" t="inlineStr">
        <is>
          <t>JÖNKÖPINGS LÄN</t>
        </is>
      </c>
      <c r="G338" t="inlineStr">
        <is>
          <t>SÄVSJÖ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44957</v>
      </c>
      <c r="E339" s="1" t="n">
        <v>46306</v>
      </c>
      <c r="F339" t="inlineStr">
        <is>
          <t>JÖNKÖPINGS LÄN</t>
        </is>
      </c>
      <c r="G339" t="inlineStr">
        <is>
          <t>SÄVSJÖ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49292-2023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45210</v>
      </c>
      <c r="E340" s="1" t="n">
        <v>46306</v>
      </c>
      <c r="F340" t="inlineStr">
        <is>
          <t>JÖNKÖPINGS LÄN</t>
        </is>
      </c>
      <c r="G340" t="inlineStr">
        <is>
          <t>SÄVSJÖ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46306</v>
      </c>
      <c r="F341" t="inlineStr">
        <is>
          <t>JÖNKÖPINGS LÄN</t>
        </is>
      </c>
      <c r="G341" t="inlineStr">
        <is>
          <t>SÄVSJÖ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45419</v>
      </c>
      <c r="E342" s="1" t="n">
        <v>46306</v>
      </c>
      <c r="F342" t="inlineStr">
        <is>
          <t>JÖNKÖPINGS LÄN</t>
        </is>
      </c>
      <c r="G342" t="inlineStr">
        <is>
          <t>SÄVSJÖ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46306</v>
      </c>
      <c r="F343" t="inlineStr">
        <is>
          <t>JÖNKÖPINGS LÄN</t>
        </is>
      </c>
      <c r="G343" t="inlineStr">
        <is>
          <t>SÄVSJÖ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46306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46306</v>
      </c>
      <c r="F345" t="inlineStr">
        <is>
          <t>JÖNKÖPINGS LÄN</t>
        </is>
      </c>
      <c r="G345" t="inlineStr">
        <is>
          <t>SÄVSJÖ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46066</v>
      </c>
      <c r="E346" s="1" t="n">
        <v>46306</v>
      </c>
      <c r="F346" t="inlineStr">
        <is>
          <t>JÖNKÖPINGS LÄN</t>
        </is>
      </c>
      <c r="G346" t="inlineStr">
        <is>
          <t>SÄVSJÖ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46306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9645-2026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46070</v>
      </c>
      <c r="E348" s="1" t="n">
        <v>46306</v>
      </c>
      <c r="F348" t="inlineStr">
        <is>
          <t>JÖNKÖPINGS LÄN</t>
        </is>
      </c>
      <c r="G348" t="inlineStr">
        <is>
          <t>SÄVSJÖ</t>
        </is>
      </c>
      <c r="H348" t="inlineStr">
        <is>
          <t>Kyrkan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46306</v>
      </c>
      <c r="F349" t="inlineStr">
        <is>
          <t>JÖNKÖPINGS LÄN</t>
        </is>
      </c>
      <c r="G349" t="inlineStr">
        <is>
          <t>SÄVSJÖ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46306</v>
      </c>
      <c r="F350" t="inlineStr">
        <is>
          <t>JÖNKÖPINGS LÄN</t>
        </is>
      </c>
      <c r="G350" t="inlineStr">
        <is>
          <t>SÄVSJÖ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46306</v>
      </c>
      <c r="F351" t="inlineStr">
        <is>
          <t>JÖNKÖPINGS LÄN</t>
        </is>
      </c>
      <c r="G351" t="inlineStr">
        <is>
          <t>SÄVSJÖ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46164</v>
      </c>
      <c r="E352" s="1" t="n">
        <v>46306</v>
      </c>
      <c r="F352" t="inlineStr">
        <is>
          <t>JÖNKÖPINGS LÄN</t>
        </is>
      </c>
      <c r="G352" t="inlineStr">
        <is>
          <t>SÄVSJÖ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46306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46165</v>
      </c>
      <c r="E354" s="1" t="n">
        <v>46306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27897-2026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46306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46306</v>
      </c>
      <c r="F356" t="inlineStr">
        <is>
          <t>JÖNKÖPINGS LÄN</t>
        </is>
      </c>
      <c r="G356" t="inlineStr">
        <is>
          <t>SÄVSJÖ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46306</v>
      </c>
      <c r="F357" t="inlineStr">
        <is>
          <t>JÖNKÖPINGS LÄN</t>
        </is>
      </c>
      <c r="G357" t="inlineStr">
        <is>
          <t>SÄVSJÖ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46266</v>
      </c>
      <c r="E358" s="1" t="n">
        <v>46306</v>
      </c>
      <c r="F358" t="inlineStr">
        <is>
          <t>JÖNKÖPINGS LÄN</t>
        </is>
      </c>
      <c r="G358" t="inlineStr">
        <is>
          <t>SÄVSJÖ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46266</v>
      </c>
      <c r="E359" s="1" t="n">
        <v>46306</v>
      </c>
      <c r="F359" t="inlineStr">
        <is>
          <t>JÖNKÖPINGS LÄN</t>
        </is>
      </c>
      <c r="G359" t="inlineStr">
        <is>
          <t>SÄVSJÖ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46266</v>
      </c>
      <c r="E360" s="1" t="n">
        <v>46306</v>
      </c>
      <c r="F360" t="inlineStr">
        <is>
          <t>JÖNKÖPINGS LÄN</t>
        </is>
      </c>
      <c r="G360" t="inlineStr">
        <is>
          <t>SÄVSJÖ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31721-2026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46226</v>
      </c>
      <c r="E361" s="1" t="n">
        <v>46306</v>
      </c>
      <c r="F361" t="inlineStr">
        <is>
          <t>JÖNKÖPINGS LÄN</t>
        </is>
      </c>
      <c r="G361" t="inlineStr">
        <is>
          <t>SÄVSJÖ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37113-2026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46274</v>
      </c>
      <c r="E362" s="1" t="n">
        <v>46306</v>
      </c>
      <c r="F362" t="inlineStr">
        <is>
          <t>JÖNKÖPINGS LÄN</t>
        </is>
      </c>
      <c r="G362" t="inlineStr">
        <is>
          <t>SÄVSJÖ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37665-2026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46276</v>
      </c>
      <c r="E363" s="1" t="n">
        <v>46306</v>
      </c>
      <c r="F363" t="inlineStr">
        <is>
          <t>JÖNKÖPINGS LÄN</t>
        </is>
      </c>
      <c r="G363" t="inlineStr">
        <is>
          <t>SÄVSJÖ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46286</v>
      </c>
      <c r="E364" s="1" t="n">
        <v>46306</v>
      </c>
      <c r="F364" t="inlineStr">
        <is>
          <t>JÖNKÖPINGS LÄN</t>
        </is>
      </c>
      <c r="G364" t="inlineStr">
        <is>
          <t>SÄVSJÖ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38771-2026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46286</v>
      </c>
      <c r="E365" s="1" t="n">
        <v>46306</v>
      </c>
      <c r="F365" t="inlineStr">
        <is>
          <t>JÖNKÖPINGS LÄN</t>
        </is>
      </c>
      <c r="G365" t="inlineStr">
        <is>
          <t>SÄVSJÖ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46306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38962-2026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46282</v>
      </c>
      <c r="E367" s="1" t="n">
        <v>46306</v>
      </c>
      <c r="F367" t="inlineStr">
        <is>
          <t>JÖNKÖPINGS LÄN</t>
        </is>
      </c>
      <c r="G367" t="inlineStr">
        <is>
          <t>SÄVSJÖ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46306</v>
      </c>
      <c r="F368" t="inlineStr">
        <is>
          <t>JÖNKÖPINGS LÄN</t>
        </is>
      </c>
      <c r="G368" t="inlineStr">
        <is>
          <t>SÄVSJÖ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46293</v>
      </c>
      <c r="E369" s="1" t="n">
        <v>46306</v>
      </c>
      <c r="F369" t="inlineStr">
        <is>
          <t>JÖNKÖPINGS LÄN</t>
        </is>
      </c>
      <c r="G369" t="inlineStr">
        <is>
          <t>SÄVSJÖ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46306</v>
      </c>
      <c r="F370" t="inlineStr">
        <is>
          <t>JÖNKÖPINGS LÄN</t>
        </is>
      </c>
      <c r="G370" t="inlineStr">
        <is>
          <t>SÄVSJÖ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46306</v>
      </c>
      <c r="F371" t="inlineStr">
        <is>
          <t>JÖNKÖPINGS LÄN</t>
        </is>
      </c>
      <c r="G371" t="inlineStr">
        <is>
          <t>SÄVSJÖ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46294</v>
      </c>
      <c r="E372" s="1" t="n">
        <v>46306</v>
      </c>
      <c r="F372" t="inlineStr">
        <is>
          <t>JÖNKÖPINGS LÄN</t>
        </is>
      </c>
      <c r="G372" t="inlineStr">
        <is>
          <t>SÄVSJÖ</t>
        </is>
      </c>
      <c r="H372" t="inlineStr">
        <is>
          <t>Kyrkan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46295</v>
      </c>
      <c r="E373" s="1" t="n">
        <v>46306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40750-2026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46296</v>
      </c>
      <c r="E374" s="1" t="n">
        <v>46306</v>
      </c>
      <c r="F374" t="inlineStr">
        <is>
          <t>JÖNKÖPINGS LÄN</t>
        </is>
      </c>
      <c r="G374" t="inlineStr">
        <is>
          <t>SÄVSJÖ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46294</v>
      </c>
      <c r="E375" s="1" t="n">
        <v>46306</v>
      </c>
      <c r="F375" t="inlineStr">
        <is>
          <t>JÖNKÖPINGS LÄN</t>
        </is>
      </c>
      <c r="G375" t="inlineStr">
        <is>
          <t>SÄVSJÖ</t>
        </is>
      </c>
      <c r="H375" t="inlineStr">
        <is>
          <t>Kyrkan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46184</v>
      </c>
      <c r="E376" s="1" t="n">
        <v>46306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46306</v>
      </c>
      <c r="F377" t="inlineStr">
        <is>
          <t>JÖNKÖPINGS LÄN</t>
        </is>
      </c>
      <c r="G377" t="inlineStr">
        <is>
          <t>SÄVSJÖ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41565-2026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46301</v>
      </c>
      <c r="E378" s="1" t="n">
        <v>46306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46306</v>
      </c>
      <c r="F379" t="inlineStr">
        <is>
          <t>JÖNKÖPINGS LÄN</t>
        </is>
      </c>
      <c r="G379" t="inlineStr">
        <is>
          <t>SÄVSJÖ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37079-2026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46273</v>
      </c>
      <c r="E380" s="1" t="n">
        <v>46306</v>
      </c>
      <c r="F380" t="inlineStr">
        <is>
          <t>JÖNKÖPINGS LÄN</t>
        </is>
      </c>
      <c r="G380" t="inlineStr">
        <is>
          <t>SÄVSJÖ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46306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46289</v>
      </c>
      <c r="E382" s="1" t="n">
        <v>46306</v>
      </c>
      <c r="F382" t="inlineStr">
        <is>
          <t>JÖNKÖPINGS LÄN</t>
        </is>
      </c>
      <c r="G382" t="inlineStr">
        <is>
          <t>SÄVSJÖ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46306</v>
      </c>
      <c r="F383" t="inlineStr">
        <is>
          <t>JÖNKÖPINGS LÄN</t>
        </is>
      </c>
      <c r="G383" t="inlineStr">
        <is>
          <t>SÄVSJÖ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46248</v>
      </c>
      <c r="E384" s="1" t="n">
        <v>46306</v>
      </c>
      <c r="F384" t="inlineStr">
        <is>
          <t>JÖNKÖPINGS LÄN</t>
        </is>
      </c>
      <c r="G384" t="inlineStr">
        <is>
          <t>SÄVSJÖ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46306</v>
      </c>
      <c r="F385" t="inlineStr">
        <is>
          <t>JÖNKÖPINGS LÄN</t>
        </is>
      </c>
      <c r="G385" t="inlineStr">
        <is>
          <t>SÄVSJÖ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46306</v>
      </c>
      <c r="F386" t="inlineStr">
        <is>
          <t>JÖNKÖPINGS LÄN</t>
        </is>
      </c>
      <c r="G386" t="inlineStr">
        <is>
          <t>SÄVSJÖ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35212-2026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46260</v>
      </c>
      <c r="E387" s="1" t="n">
        <v>46306</v>
      </c>
      <c r="F387" t="inlineStr">
        <is>
          <t>JÖNKÖPINGS LÄN</t>
        </is>
      </c>
      <c r="G387" t="inlineStr">
        <is>
          <t>SÄVSJÖ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10445-2021</t>
        </is>
      </c>
      <c r="B388" t="inlineStr">
        <is>
          <t>samrådsanmälan</t>
        </is>
      </c>
      <c r="C388" t="inlineStr">
        <is>
          <t>Skogsbilväg</t>
        </is>
      </c>
      <c r="D388" s="1" t="n">
        <v>44558</v>
      </c>
      <c r="E388" s="1" t="n">
        <v>46306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6558-2022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44882</v>
      </c>
      <c r="E389" s="1" t="n">
        <v>46306</v>
      </c>
      <c r="F389" t="inlineStr">
        <is>
          <t>JÖNKÖPINGS LÄN</t>
        </is>
      </c>
      <c r="G389" t="inlineStr">
        <is>
          <t>SÄVSJÖ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2542-2023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45139</v>
      </c>
      <c r="E390" s="1" t="n">
        <v>46306</v>
      </c>
      <c r="F390" t="inlineStr">
        <is>
          <t>JÖNKÖPINGS LÄN</t>
        </is>
      </c>
      <c r="G390" t="inlineStr">
        <is>
          <t>SÄVSJÖ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1675-2023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46306</v>
      </c>
      <c r="F391" t="inlineStr">
        <is>
          <t>JÖNKÖPINGS LÄN</t>
        </is>
      </c>
      <c r="G391" t="inlineStr">
        <is>
          <t>SÄVSJÖ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45063</v>
      </c>
      <c r="E392" s="1" t="n">
        <v>46306</v>
      </c>
      <c r="F392" t="inlineStr">
        <is>
          <t>JÖNKÖPINGS LÄN</t>
        </is>
      </c>
      <c r="G392" t="inlineStr">
        <is>
          <t>SÄVSJÖ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2964-2023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45173</v>
      </c>
      <c r="E393" s="1" t="n">
        <v>46306</v>
      </c>
      <c r="F393" t="inlineStr">
        <is>
          <t>JÖNKÖPINGS LÄN</t>
        </is>
      </c>
      <c r="G393" t="inlineStr">
        <is>
          <t>SÄVSJÖ</t>
        </is>
      </c>
      <c r="I393" t="n">
        <v>54.6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2661-2023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45152</v>
      </c>
      <c r="E394" s="1" t="n">
        <v>46306</v>
      </c>
      <c r="F394" t="inlineStr">
        <is>
          <t>JÖNKÖPINGS LÄN</t>
        </is>
      </c>
      <c r="G394" t="inlineStr">
        <is>
          <t>SÄVSJÖ</t>
        </is>
      </c>
      <c r="I394" t="n">
        <v>21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46306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46306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46306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46306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46306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46306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46306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46306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46306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46306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46306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46306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46306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46306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46306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46306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46306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46306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46306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46306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46306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46306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46306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2026-10-11T02:07:45Z</dcterms:created>
  <dcterms:modified xmlns:dcterms="http://purl.org/dc/terms/" xmlns:xsi="http://www.w3.org/2001/XMLSchema-instance" xsi:type="dcterms:W3CDTF">2026-10-11T02:07:46Z</dcterms:modified>
</cp:coreProperties>
</file>