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46224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46224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46224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46224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46224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46224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46224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10046-2025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46224</v>
      </c>
      <c r="F10" t="inlineStr">
        <is>
          <t>JÖNKÖPINGS LÄN</t>
        </is>
      </c>
      <c r="G10" t="inlineStr">
        <is>
          <t>SÄVSJÖ</t>
        </is>
      </c>
      <c r="I10" t="n">
        <v>8.6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HYPERLINK("https://klasma.github.io/Logging_0684/artfynd/A 10046-2025 artfynd.xlsx", "A 10046-2025")</f>
        <v/>
      </c>
      <c r="X10">
        <f>HYPERLINK("https://klasma.github.io/Logging_0684/kartor/A 10046-2025 karta.png", "A 10046-2025")</f>
        <v/>
      </c>
      <c r="Y10">
        <f>HYPERLINK("https://klasma.github.io/Logging_0684/kartor_geotiff/A 10046-2025 georefererad karta.tif", "A 10046-2025")</f>
        <v/>
      </c>
      <c r="AA10">
        <f>HYPERLINK("https://klasma.github.io/Logging_0684/klagomål/A 10046-2025 FSC-klagomål.docx", "A 10046-2025")</f>
        <v/>
      </c>
      <c r="AB10">
        <f>HYPERLINK("https://klasma.github.io/Logging_0684/klagomålsmail/A 10046-2025 FSC-klagomål mail.docx", "A 10046-2025")</f>
        <v/>
      </c>
      <c r="AC10">
        <f>HYPERLINK("https://klasma.github.io/Logging_0684/tillsyn/A 10046-2025 tillsynsbegäran.docx", "A 10046-2025")</f>
        <v/>
      </c>
      <c r="AD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45722</v>
      </c>
      <c r="E11" s="1" t="n">
        <v>46224</v>
      </c>
      <c r="F11" t="inlineStr">
        <is>
          <t>JÖNKÖPINGS LÄN</t>
        </is>
      </c>
      <c r="G11" t="inlineStr">
        <is>
          <t>SÄVSJÖ</t>
        </is>
      </c>
      <c r="I11" t="n">
        <v>10.1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10775-2025 artfynd.xlsx", "A 10775-2025")</f>
        <v/>
      </c>
      <c r="X11">
        <f>HYPERLINK("https://klasma.github.io/Logging_0684/kartor/A 10775-2025 karta.png", "A 10775-2025")</f>
        <v/>
      </c>
      <c r="Y11">
        <f>HYPERLINK("https://klasma.github.io/Logging_0684/kartor_geotiff/A 10775-2025 georefererad karta.tif", "A 10775-2025")</f>
        <v/>
      </c>
      <c r="AA11">
        <f>HYPERLINK("https://klasma.github.io/Logging_0684/klagomål/A 10775-2025 FSC-klagomål.docx", "A 10775-2025")</f>
        <v/>
      </c>
      <c r="AB11">
        <f>HYPERLINK("https://klasma.github.io/Logging_0684/klagomålsmail/A 10775-2025 FSC-klagomål mail.docx", "A 10775-2025")</f>
        <v/>
      </c>
      <c r="AC11">
        <f>HYPERLINK("https://klasma.github.io/Logging_0684/tillsyn/A 10775-2025 tillsynsbegäran.docx", "A 10775-2025")</f>
        <v/>
      </c>
      <c r="AD11">
        <f>HYPERLINK("https://klasma.github.io/Logging_0684/tillsynsmail/A 10775-2025 tillsynsbegäran mail.docx", "A 10775-2025")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46224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46224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46224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46224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61482-2024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45646</v>
      </c>
      <c r="E16" s="1" t="n">
        <v>46224</v>
      </c>
      <c r="F16" t="inlineStr">
        <is>
          <t>JÖNKÖPINGS LÄN</t>
        </is>
      </c>
      <c r="G16" t="inlineStr">
        <is>
          <t>SÄVSJÖ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61482-2024 artfynd.xlsx", "A 61482-2024")</f>
        <v/>
      </c>
      <c r="X16">
        <f>HYPERLINK("https://klasma.github.io/Logging_0684/kartor/A 61482-2024 karta.png", "A 61482-2024")</f>
        <v/>
      </c>
      <c r="Y16">
        <f>HYPERLINK("https://klasma.github.io/Logging_0684/kartor_geotiff/A 61482-2024 georefererad karta.tif", "A 61482-2024")</f>
        <v/>
      </c>
      <c r="AA16">
        <f>HYPERLINK("https://klasma.github.io/Logging_0684/klagomål/A 61482-2024 FSC-klagomål.docx", "A 61482-2024")</f>
        <v/>
      </c>
      <c r="AB16">
        <f>HYPERLINK("https://klasma.github.io/Logging_0684/klagomålsmail/A 61482-2024 FSC-klagomål mail.docx", "A 61482-2024")</f>
        <v/>
      </c>
      <c r="AC16">
        <f>HYPERLINK("https://klasma.github.io/Logging_0684/tillsyn/A 61482-2024 tillsynsbegäran.docx", "A 61482-2024")</f>
        <v/>
      </c>
      <c r="AD16">
        <f>HYPERLINK("https://klasma.github.io/Logging_0684/tillsynsmail/A 61482-2024 tillsynsbegäran mail.docx", "A 61482-2024")</f>
        <v/>
      </c>
    </row>
    <row r="17" ht="15" customHeight="1">
      <c r="A17" t="inlineStr">
        <is>
          <t>A 11797-2026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46085</v>
      </c>
      <c r="E17" s="1" t="n">
        <v>46224</v>
      </c>
      <c r="F17" t="inlineStr">
        <is>
          <t>JÖNKÖPINGS LÄN</t>
        </is>
      </c>
      <c r="G17" t="inlineStr">
        <is>
          <t>SÄVSJÖ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11797-2026 artfynd.xlsx", "A 11797-2026")</f>
        <v/>
      </c>
      <c r="X17">
        <f>HYPERLINK("https://klasma.github.io/Logging_0684/kartor/A 11797-2026 karta.png", "A 11797-2026")</f>
        <v/>
      </c>
      <c r="Y17">
        <f>HYPERLINK("https://klasma.github.io/Logging_0684/kartor_geotiff/A 11797-2026 georefererad karta.tif", "A 11797-2026")</f>
        <v/>
      </c>
      <c r="AA17">
        <f>HYPERLINK("https://klasma.github.io/Logging_0684/klagomål/A 11797-2026 FSC-klagomål.docx", "A 11797-2026")</f>
        <v/>
      </c>
      <c r="AB17">
        <f>HYPERLINK("https://klasma.github.io/Logging_0684/klagomålsmail/A 11797-2026 FSC-klagomål mail.docx", "A 11797-2026")</f>
        <v/>
      </c>
      <c r="AC17">
        <f>HYPERLINK("https://klasma.github.io/Logging_0684/tillsyn/A 11797-2026 tillsynsbegäran.docx", "A 11797-2026")</f>
        <v/>
      </c>
      <c r="AD17">
        <f>HYPERLINK("https://klasma.github.io/Logging_0684/tillsynsmail/A 11797-2026 tillsynsbegäran mail.docx", "A 11797-2026")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46224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46224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34214-2025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45845</v>
      </c>
      <c r="E20" s="1" t="n">
        <v>46224</v>
      </c>
      <c r="F20" t="inlineStr">
        <is>
          <t>JÖNKÖPINGS LÄN</t>
        </is>
      </c>
      <c r="G20" t="inlineStr">
        <is>
          <t>SÄVSJÖ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Lungrot</t>
        </is>
      </c>
      <c r="W20">
        <f>HYPERLINK("https://klasma.github.io/Logging_0684/artfynd/A 34214-2025 artfynd.xlsx", "A 34214-2025")</f>
        <v/>
      </c>
      <c r="X20">
        <f>HYPERLINK("https://klasma.github.io/Logging_0684/kartor/A 34214-2025 karta.png", "A 34214-2025")</f>
        <v/>
      </c>
      <c r="Y20">
        <f>HYPERLINK("https://klasma.github.io/Logging_0684/kartor_geotiff/A 34214-2025 georefererad karta.tif", "A 34214-2025")</f>
        <v/>
      </c>
      <c r="AA20">
        <f>HYPERLINK("https://klasma.github.io/Logging_0684/klagomål/A 34214-2025 FSC-klagomål.docx", "A 34214-2025")</f>
        <v/>
      </c>
      <c r="AB20">
        <f>HYPERLINK("https://klasma.github.io/Logging_0684/klagomålsmail/A 34214-2025 FSC-klagomål mail.docx", "A 34214-2025")</f>
        <v/>
      </c>
      <c r="AC20">
        <f>HYPERLINK("https://klasma.github.io/Logging_0684/tillsyn/A 34214-2025 tillsynsbegäran.docx", "A 34214-2025")</f>
        <v/>
      </c>
      <c r="AD20">
        <f>HYPERLINK("https://klasma.github.io/Logging_0684/tillsynsmail/A 34214-2025 tillsynsbegäran mail.docx", "A 34214-2025")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46224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46224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46224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46224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46224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46224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46224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46224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46224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46224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46224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46224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46224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46224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46224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46224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46224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46224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46224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46224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46224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46224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46224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44405</v>
      </c>
      <c r="E44" s="1" t="n">
        <v>46224</v>
      </c>
      <c r="F44" t="inlineStr">
        <is>
          <t>JÖNKÖPINGS LÄN</t>
        </is>
      </c>
      <c r="G44" t="inlineStr">
        <is>
          <t>SÄVSJÖ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43604-2021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46224</v>
      </c>
      <c r="F45" t="inlineStr">
        <is>
          <t>JÖNKÖPINGS LÄN</t>
        </is>
      </c>
      <c r="G45" t="inlineStr">
        <is>
          <t>SÄVSJÖ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46224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46224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46224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46224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46224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46224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46224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46224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46224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46224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46224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46224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46224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46224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46224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46224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46224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46224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46224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46224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46224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46224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46224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46224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46224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46224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46224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46224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46224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46224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46224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46224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46224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45698</v>
      </c>
      <c r="E79" s="1" t="n">
        <v>46224</v>
      </c>
      <c r="F79" t="inlineStr">
        <is>
          <t>JÖNKÖPINGS LÄN</t>
        </is>
      </c>
      <c r="G79" t="inlineStr">
        <is>
          <t>SÄVSJÖ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46224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46224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46224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46224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46224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45725</v>
      </c>
      <c r="E85" s="1" t="n">
        <v>46224</v>
      </c>
      <c r="F85" t="inlineStr">
        <is>
          <t>JÖNKÖPINGS LÄN</t>
        </is>
      </c>
      <c r="G85" t="inlineStr">
        <is>
          <t>SÄVSJÖ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46224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45460</v>
      </c>
      <c r="E87" s="1" t="n">
        <v>46224</v>
      </c>
      <c r="F87" t="inlineStr">
        <is>
          <t>JÖNKÖPINGS LÄN</t>
        </is>
      </c>
      <c r="G87" t="inlineStr">
        <is>
          <t>SÄVSJÖ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45037</v>
      </c>
      <c r="E88" s="1" t="n">
        <v>46224</v>
      </c>
      <c r="F88" t="inlineStr">
        <is>
          <t>JÖNKÖPINGS LÄN</t>
        </is>
      </c>
      <c r="G88" t="inlineStr">
        <is>
          <t>SÄVSJÖ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46224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46224</v>
      </c>
      <c r="F90" t="inlineStr">
        <is>
          <t>JÖNKÖPINGS LÄN</t>
        </is>
      </c>
      <c r="G90" t="inlineStr">
        <is>
          <t>SÄVSJÖ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46224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46224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46224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19017-2025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46224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46224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46224</v>
      </c>
      <c r="F96" t="inlineStr">
        <is>
          <t>JÖNKÖPINGS LÄN</t>
        </is>
      </c>
      <c r="G96" t="inlineStr">
        <is>
          <t>SÄVSJÖ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62870-2025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46008</v>
      </c>
      <c r="E97" s="1" t="n">
        <v>46224</v>
      </c>
      <c r="F97" t="inlineStr">
        <is>
          <t>JÖNKÖPINGS LÄN</t>
        </is>
      </c>
      <c r="G97" t="inlineStr">
        <is>
          <t>SÄVSJÖ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12794-2025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45733</v>
      </c>
      <c r="E98" s="1" t="n">
        <v>46224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46224</v>
      </c>
      <c r="F99" t="inlineStr">
        <is>
          <t>JÖNKÖPINGS LÄN</t>
        </is>
      </c>
      <c r="G99" t="inlineStr">
        <is>
          <t>SÄVSJÖ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12804-2025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45733</v>
      </c>
      <c r="E100" s="1" t="n">
        <v>46224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45350</v>
      </c>
      <c r="E101" s="1" t="n">
        <v>46224</v>
      </c>
      <c r="F101" t="inlineStr">
        <is>
          <t>JÖNKÖPINGS LÄN</t>
        </is>
      </c>
      <c r="G101" t="inlineStr">
        <is>
          <t>SÄVSJÖ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63352-2025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46224</v>
      </c>
      <c r="F102" t="inlineStr">
        <is>
          <t>JÖNKÖPINGS LÄN</t>
        </is>
      </c>
      <c r="G102" t="inlineStr">
        <is>
          <t>SÄVSJÖ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45548</v>
      </c>
      <c r="E103" s="1" t="n">
        <v>46224</v>
      </c>
      <c r="F103" t="inlineStr">
        <is>
          <t>JÖNKÖPINGS LÄN</t>
        </is>
      </c>
      <c r="G103" t="inlineStr">
        <is>
          <t>SÄVSJÖ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44988</v>
      </c>
      <c r="E104" s="1" t="n">
        <v>46224</v>
      </c>
      <c r="F104" t="inlineStr">
        <is>
          <t>JÖNKÖPINGS LÄN</t>
        </is>
      </c>
      <c r="G104" t="inlineStr">
        <is>
          <t>SÄVSJÖ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45727</v>
      </c>
      <c r="E105" s="1" t="n">
        <v>46224</v>
      </c>
      <c r="F105" t="inlineStr">
        <is>
          <t>JÖNKÖPINGS LÄN</t>
        </is>
      </c>
      <c r="G105" t="inlineStr">
        <is>
          <t>SÄVSJÖ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45098</v>
      </c>
      <c r="E106" s="1" t="n">
        <v>46224</v>
      </c>
      <c r="F106" t="inlineStr">
        <is>
          <t>JÖNKÖPINGS LÄN</t>
        </is>
      </c>
      <c r="G106" t="inlineStr">
        <is>
          <t>SÄVSJÖ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46224</v>
      </c>
      <c r="F107" t="inlineStr">
        <is>
          <t>JÖNKÖPINGS LÄN</t>
        </is>
      </c>
      <c r="G107" t="inlineStr">
        <is>
          <t>SÄVSJÖ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45534</v>
      </c>
      <c r="E108" s="1" t="n">
        <v>46224</v>
      </c>
      <c r="F108" t="inlineStr">
        <is>
          <t>JÖNKÖPINGS LÄN</t>
        </is>
      </c>
      <c r="G108" t="inlineStr">
        <is>
          <t>SÄVSJÖ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46224</v>
      </c>
      <c r="F109" t="inlineStr">
        <is>
          <t>JÖNKÖPINGS LÄN</t>
        </is>
      </c>
      <c r="G109" t="inlineStr">
        <is>
          <t>SÄVSJÖ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46224</v>
      </c>
      <c r="F110" t="inlineStr">
        <is>
          <t>JÖNKÖPINGS LÄN</t>
        </is>
      </c>
      <c r="G110" t="inlineStr">
        <is>
          <t>SÄVSJÖ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46224</v>
      </c>
      <c r="F111" t="inlineStr">
        <is>
          <t>JÖNKÖPINGS LÄN</t>
        </is>
      </c>
      <c r="G111" t="inlineStr">
        <is>
          <t>SÄVSJÖ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33154-2024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45518</v>
      </c>
      <c r="E112" s="1" t="n">
        <v>46224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46014</v>
      </c>
      <c r="E113" s="1" t="n">
        <v>46224</v>
      </c>
      <c r="F113" t="inlineStr">
        <is>
          <t>JÖNKÖPINGS LÄN</t>
        </is>
      </c>
      <c r="G113" t="inlineStr">
        <is>
          <t>SÄVSJÖ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46224</v>
      </c>
      <c r="F114" t="inlineStr">
        <is>
          <t>JÖNKÖPINGS LÄN</t>
        </is>
      </c>
      <c r="G114" t="inlineStr">
        <is>
          <t>SÄVSJÖ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46224</v>
      </c>
      <c r="F115" t="inlineStr">
        <is>
          <t>JÖNKÖPINGS LÄN</t>
        </is>
      </c>
      <c r="G115" t="inlineStr">
        <is>
          <t>SÄVSJÖ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58397-2024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45634</v>
      </c>
      <c r="E116" s="1" t="n">
        <v>46224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45634</v>
      </c>
      <c r="E117" s="1" t="n">
        <v>46224</v>
      </c>
      <c r="F117" t="inlineStr">
        <is>
          <t>JÖNKÖPINGS LÄN</t>
        </is>
      </c>
      <c r="G117" t="inlineStr">
        <is>
          <t>SÄVSJÖ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46224</v>
      </c>
      <c r="F118" t="inlineStr">
        <is>
          <t>JÖNKÖPINGS LÄN</t>
        </is>
      </c>
      <c r="G118" t="inlineStr">
        <is>
          <t>SÄVSJÖ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46224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46014</v>
      </c>
      <c r="E120" s="1" t="n">
        <v>46224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46014</v>
      </c>
      <c r="E121" s="1" t="n">
        <v>46224</v>
      </c>
      <c r="F121" t="inlineStr">
        <is>
          <t>JÖNKÖPINGS LÄN</t>
        </is>
      </c>
      <c r="G121" t="inlineStr">
        <is>
          <t>SÄVSJÖ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46014</v>
      </c>
      <c r="E122" s="1" t="n">
        <v>46224</v>
      </c>
      <c r="F122" t="inlineStr">
        <is>
          <t>JÖNKÖPINGS LÄN</t>
        </is>
      </c>
      <c r="G122" t="inlineStr">
        <is>
          <t>SÄVSJÖ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46224</v>
      </c>
      <c r="F123" t="inlineStr">
        <is>
          <t>JÖNKÖPINGS LÄN</t>
        </is>
      </c>
      <c r="G123" t="inlineStr">
        <is>
          <t>SÄVSJÖ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45094</v>
      </c>
      <c r="E124" s="1" t="n">
        <v>46224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45455</v>
      </c>
      <c r="E125" s="1" t="n">
        <v>46224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46224</v>
      </c>
      <c r="F126" t="inlineStr">
        <is>
          <t>JÖNKÖPINGS LÄN</t>
        </is>
      </c>
      <c r="G126" t="inlineStr">
        <is>
          <t>SÄVSJÖ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46017</v>
      </c>
      <c r="E127" s="1" t="n">
        <v>46224</v>
      </c>
      <c r="F127" t="inlineStr">
        <is>
          <t>JÖNKÖPINGS LÄN</t>
        </is>
      </c>
      <c r="G127" t="inlineStr">
        <is>
          <t>SÄVSJÖ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63752-2025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46017</v>
      </c>
      <c r="E128" s="1" t="n">
        <v>46224</v>
      </c>
      <c r="F128" t="inlineStr">
        <is>
          <t>JÖNKÖPINGS LÄN</t>
        </is>
      </c>
      <c r="G128" t="inlineStr">
        <is>
          <t>SÄVSJÖ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45321</v>
      </c>
      <c r="E129" s="1" t="n">
        <v>46224</v>
      </c>
      <c r="F129" t="inlineStr">
        <is>
          <t>JÖNKÖPINGS LÄN</t>
        </is>
      </c>
      <c r="G129" t="inlineStr">
        <is>
          <t>SÄVSJÖ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46224</v>
      </c>
      <c r="F130" t="inlineStr">
        <is>
          <t>JÖNKÖPINGS LÄN</t>
        </is>
      </c>
      <c r="G130" t="inlineStr">
        <is>
          <t>SÄVSJÖ</t>
        </is>
      </c>
      <c r="H130" t="inlineStr">
        <is>
          <t>Kyrkan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45040</v>
      </c>
      <c r="E131" s="1" t="n">
        <v>46224</v>
      </c>
      <c r="F131" t="inlineStr">
        <is>
          <t>JÖNKÖPINGS LÄN</t>
        </is>
      </c>
      <c r="G131" t="inlineStr">
        <is>
          <t>SÄVSJÖ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46224</v>
      </c>
      <c r="F132" t="inlineStr">
        <is>
          <t>JÖNKÖPINGS LÄN</t>
        </is>
      </c>
      <c r="G132" t="inlineStr">
        <is>
          <t>SÄVSJÖ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46224</v>
      </c>
      <c r="F133" t="inlineStr">
        <is>
          <t>JÖNKÖPINGS LÄN</t>
        </is>
      </c>
      <c r="G133" t="inlineStr">
        <is>
          <t>SÄVSJÖ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46224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46224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45764</v>
      </c>
      <c r="E136" s="1" t="n">
        <v>46224</v>
      </c>
      <c r="F136" t="inlineStr">
        <is>
          <t>JÖNKÖPINGS LÄN</t>
        </is>
      </c>
      <c r="G136" t="inlineStr">
        <is>
          <t>SÄVSJÖ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46224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46224</v>
      </c>
      <c r="F138" t="inlineStr">
        <is>
          <t>JÖNKÖPINGS LÄN</t>
        </is>
      </c>
      <c r="G138" t="inlineStr">
        <is>
          <t>SÄVSJÖ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45067</v>
      </c>
      <c r="E139" s="1" t="n">
        <v>46224</v>
      </c>
      <c r="F139" t="inlineStr">
        <is>
          <t>JÖNKÖPINGS LÄN</t>
        </is>
      </c>
      <c r="G139" t="inlineStr">
        <is>
          <t>SÄVSJÖ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46224</v>
      </c>
      <c r="F140" t="inlineStr">
        <is>
          <t>JÖNKÖPINGS LÄN</t>
        </is>
      </c>
      <c r="G140" t="inlineStr">
        <is>
          <t>SÄVSJÖ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45418</v>
      </c>
      <c r="E141" s="1" t="n">
        <v>46224</v>
      </c>
      <c r="F141" t="inlineStr">
        <is>
          <t>JÖNKÖPINGS LÄN</t>
        </is>
      </c>
      <c r="G141" t="inlineStr">
        <is>
          <t>SÄVSJÖ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46224</v>
      </c>
      <c r="F142" t="inlineStr">
        <is>
          <t>JÖNKÖPINGS LÄN</t>
        </is>
      </c>
      <c r="G142" t="inlineStr">
        <is>
          <t>SÄVSJÖ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44447</v>
      </c>
      <c r="E143" s="1" t="n">
        <v>46224</v>
      </c>
      <c r="F143" t="inlineStr">
        <is>
          <t>JÖNKÖPINGS LÄN</t>
        </is>
      </c>
      <c r="G143" t="inlineStr">
        <is>
          <t>SÄVSJÖ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30162-2023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45110</v>
      </c>
      <c r="E144" s="1" t="n">
        <v>46224</v>
      </c>
      <c r="F144" t="inlineStr">
        <is>
          <t>JÖNKÖPINGS LÄN</t>
        </is>
      </c>
      <c r="G144" t="inlineStr">
        <is>
          <t>SÄVSJÖ</t>
        </is>
      </c>
      <c r="H144" t="inlineStr">
        <is>
          <t>Kommuner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54827-2021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44474</v>
      </c>
      <c r="E145" s="1" t="n">
        <v>46224</v>
      </c>
      <c r="F145" t="inlineStr">
        <is>
          <t>JÖNKÖPINGS LÄN</t>
        </is>
      </c>
      <c r="G145" t="inlineStr">
        <is>
          <t>SÄVSJÖ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46224</v>
      </c>
      <c r="F146" t="inlineStr">
        <is>
          <t>JÖNKÖPINGS LÄN</t>
        </is>
      </c>
      <c r="G146" t="inlineStr">
        <is>
          <t>SÄVSJÖ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44833</v>
      </c>
      <c r="E147" s="1" t="n">
        <v>46224</v>
      </c>
      <c r="F147" t="inlineStr">
        <is>
          <t>JÖNKÖPINGS LÄN</t>
        </is>
      </c>
      <c r="G147" t="inlineStr">
        <is>
          <t>SÄVSJÖ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52314-2025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46224</v>
      </c>
      <c r="F148" t="inlineStr">
        <is>
          <t>JÖNKÖPINGS LÄN</t>
        </is>
      </c>
      <c r="G148" t="inlineStr">
        <is>
          <t>SÄVSJÖ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45953</v>
      </c>
      <c r="E149" s="1" t="n">
        <v>46224</v>
      </c>
      <c r="F149" t="inlineStr">
        <is>
          <t>JÖNKÖPINGS LÄN</t>
        </is>
      </c>
      <c r="G149" t="inlineStr">
        <is>
          <t>SÄVSJÖ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46224</v>
      </c>
      <c r="F150" t="inlineStr">
        <is>
          <t>JÖNKÖPINGS LÄN</t>
        </is>
      </c>
      <c r="G150" t="inlineStr">
        <is>
          <t>SÄVSJÖ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46224</v>
      </c>
      <c r="F151" t="inlineStr">
        <is>
          <t>JÖNKÖPINGS LÄN</t>
        </is>
      </c>
      <c r="G151" t="inlineStr">
        <is>
          <t>SÄVSJÖ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46224</v>
      </c>
      <c r="F152" t="inlineStr">
        <is>
          <t>JÖNKÖPINGS LÄN</t>
        </is>
      </c>
      <c r="G152" t="inlineStr">
        <is>
          <t>SÄVSJÖ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45267</v>
      </c>
      <c r="E153" s="1" t="n">
        <v>46224</v>
      </c>
      <c r="F153" t="inlineStr">
        <is>
          <t>JÖNKÖPINGS LÄN</t>
        </is>
      </c>
      <c r="G153" t="inlineStr">
        <is>
          <t>SÄVSJÖ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44509</v>
      </c>
      <c r="E154" s="1" t="n">
        <v>46224</v>
      </c>
      <c r="F154" t="inlineStr">
        <is>
          <t>JÖNKÖPINGS LÄN</t>
        </is>
      </c>
      <c r="G154" t="inlineStr">
        <is>
          <t>SÄVSJÖ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46224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46224</v>
      </c>
      <c r="F156" t="inlineStr">
        <is>
          <t>JÖNKÖPINGS LÄN</t>
        </is>
      </c>
      <c r="G156" t="inlineStr">
        <is>
          <t>SÄVSJÖ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46224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46224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45228</v>
      </c>
      <c r="E159" s="1" t="n">
        <v>46224</v>
      </c>
      <c r="F159" t="inlineStr">
        <is>
          <t>JÖNKÖPINGS LÄN</t>
        </is>
      </c>
      <c r="G159" t="inlineStr">
        <is>
          <t>SÄVSJÖ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46224</v>
      </c>
      <c r="F160" t="inlineStr">
        <is>
          <t>JÖNKÖPINGS LÄN</t>
        </is>
      </c>
      <c r="G160" t="inlineStr">
        <is>
          <t>SÄVSJÖ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45964</v>
      </c>
      <c r="E161" s="1" t="n">
        <v>46224</v>
      </c>
      <c r="F161" t="inlineStr">
        <is>
          <t>JÖNKÖPINGS LÄN</t>
        </is>
      </c>
      <c r="G161" t="inlineStr">
        <is>
          <t>SÄVSJÖ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44995</v>
      </c>
      <c r="E162" s="1" t="n">
        <v>46224</v>
      </c>
      <c r="F162" t="inlineStr">
        <is>
          <t>JÖNKÖPINGS LÄN</t>
        </is>
      </c>
      <c r="G162" t="inlineStr">
        <is>
          <t>SÄVSJÖ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46224</v>
      </c>
      <c r="F163" t="inlineStr">
        <is>
          <t>JÖNKÖPINGS LÄN</t>
        </is>
      </c>
      <c r="G163" t="inlineStr">
        <is>
          <t>SÄVSJÖ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45881</v>
      </c>
      <c r="E164" s="1" t="n">
        <v>46224</v>
      </c>
      <c r="F164" t="inlineStr">
        <is>
          <t>JÖNKÖPINGS LÄN</t>
        </is>
      </c>
      <c r="G164" t="inlineStr">
        <is>
          <t>SÄVSJÖ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46224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45671</v>
      </c>
      <c r="E166" s="1" t="n">
        <v>46224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46224</v>
      </c>
      <c r="F167" t="inlineStr">
        <is>
          <t>JÖNKÖPINGS LÄN</t>
        </is>
      </c>
      <c r="G167" t="inlineStr">
        <is>
          <t>SÄVSJÖ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46224</v>
      </c>
      <c r="F168" t="inlineStr">
        <is>
          <t>JÖNKÖPINGS LÄN</t>
        </is>
      </c>
      <c r="G168" t="inlineStr">
        <is>
          <t>SÄVSJÖ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46224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45102</v>
      </c>
      <c r="E170" s="1" t="n">
        <v>46224</v>
      </c>
      <c r="F170" t="inlineStr">
        <is>
          <t>JÖNKÖPINGS LÄN</t>
        </is>
      </c>
      <c r="G170" t="inlineStr">
        <is>
          <t>SÄVSJÖ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45371</v>
      </c>
      <c r="E171" s="1" t="n">
        <v>46224</v>
      </c>
      <c r="F171" t="inlineStr">
        <is>
          <t>JÖNKÖPINGS LÄN</t>
        </is>
      </c>
      <c r="G171" t="inlineStr">
        <is>
          <t>SÄVSJÖ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45975</v>
      </c>
      <c r="E172" s="1" t="n">
        <v>46224</v>
      </c>
      <c r="F172" t="inlineStr">
        <is>
          <t>JÖNKÖPINGS LÄN</t>
        </is>
      </c>
      <c r="G172" t="inlineStr">
        <is>
          <t>SÄVSJÖ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46224</v>
      </c>
      <c r="F173" t="inlineStr">
        <is>
          <t>JÖNKÖPINGS LÄN</t>
        </is>
      </c>
      <c r="G173" t="inlineStr">
        <is>
          <t>SÄVSJÖ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30162-2023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45110</v>
      </c>
      <c r="E174" s="1" t="n">
        <v>46224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46224</v>
      </c>
      <c r="F175" t="inlineStr">
        <is>
          <t>JÖNKÖPINGS LÄN</t>
        </is>
      </c>
      <c r="G175" t="inlineStr">
        <is>
          <t>SÄVSJÖ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46224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38914-2024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45547</v>
      </c>
      <c r="E177" s="1" t="n">
        <v>46224</v>
      </c>
      <c r="F177" t="inlineStr">
        <is>
          <t>JÖNKÖPINGS LÄN</t>
        </is>
      </c>
      <c r="G177" t="inlineStr">
        <is>
          <t>SÄVSJÖ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45302</v>
      </c>
      <c r="E178" s="1" t="n">
        <v>46224</v>
      </c>
      <c r="F178" t="inlineStr">
        <is>
          <t>JÖNKÖPINGS LÄN</t>
        </is>
      </c>
      <c r="G178" t="inlineStr">
        <is>
          <t>SÄVSJÖ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46224</v>
      </c>
      <c r="F179" t="inlineStr">
        <is>
          <t>JÖNKÖPINGS LÄN</t>
        </is>
      </c>
      <c r="G179" t="inlineStr">
        <is>
          <t>SÄVSJÖ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46224</v>
      </c>
      <c r="F180" t="inlineStr">
        <is>
          <t>JÖNKÖPINGS LÄN</t>
        </is>
      </c>
      <c r="G180" t="inlineStr">
        <is>
          <t>SÄVSJÖ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46224</v>
      </c>
      <c r="F181" t="inlineStr">
        <is>
          <t>JÖNKÖPINGS LÄN</t>
        </is>
      </c>
      <c r="G181" t="inlineStr">
        <is>
          <t>SÄVSJÖ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46224</v>
      </c>
      <c r="F182" t="inlineStr">
        <is>
          <t>JÖNKÖPINGS LÄN</t>
        </is>
      </c>
      <c r="G182" t="inlineStr">
        <is>
          <t>SÄVSJÖ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46224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46224</v>
      </c>
      <c r="F184" t="inlineStr">
        <is>
          <t>JÖNKÖPINGS LÄN</t>
        </is>
      </c>
      <c r="G184" t="inlineStr">
        <is>
          <t>SÄVSJÖ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46224</v>
      </c>
      <c r="F185" t="inlineStr">
        <is>
          <t>JÖNKÖPINGS LÄN</t>
        </is>
      </c>
      <c r="G185" t="inlineStr">
        <is>
          <t>SÄVSJÖ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46224</v>
      </c>
      <c r="F186" t="inlineStr">
        <is>
          <t>JÖNKÖPINGS LÄN</t>
        </is>
      </c>
      <c r="G186" t="inlineStr">
        <is>
          <t>SÄVSJÖ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45365</v>
      </c>
      <c r="E187" s="1" t="n">
        <v>46224</v>
      </c>
      <c r="F187" t="inlineStr">
        <is>
          <t>JÖNKÖPINGS LÄN</t>
        </is>
      </c>
      <c r="G187" t="inlineStr">
        <is>
          <t>SÄVSJÖ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44929</v>
      </c>
      <c r="E188" s="1" t="n">
        <v>46224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50627-2022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44866</v>
      </c>
      <c r="E189" s="1" t="n">
        <v>46224</v>
      </c>
      <c r="F189" t="inlineStr">
        <is>
          <t>JÖNKÖPINGS LÄN</t>
        </is>
      </c>
      <c r="G189" t="inlineStr">
        <is>
          <t>SÄVSJÖ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46224</v>
      </c>
      <c r="F190" t="inlineStr">
        <is>
          <t>JÖNKÖPINGS LÄN</t>
        </is>
      </c>
      <c r="G190" t="inlineStr">
        <is>
          <t>SÄVSJÖ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46224</v>
      </c>
      <c r="F191" t="inlineStr">
        <is>
          <t>JÖNKÖPINGS LÄN</t>
        </is>
      </c>
      <c r="G191" t="inlineStr">
        <is>
          <t>SÄVSJÖ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46224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46224</v>
      </c>
      <c r="F193" t="inlineStr">
        <is>
          <t>JÖNKÖPINGS LÄN</t>
        </is>
      </c>
      <c r="G193" t="inlineStr">
        <is>
          <t>SÄVSJÖ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60331-2025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45993</v>
      </c>
      <c r="E194" s="1" t="n">
        <v>46224</v>
      </c>
      <c r="F194" t="inlineStr">
        <is>
          <t>JÖNKÖPINGS LÄN</t>
        </is>
      </c>
      <c r="G194" t="inlineStr">
        <is>
          <t>SÄVSJÖ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46224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59056-2023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46224</v>
      </c>
      <c r="F196" t="inlineStr">
        <is>
          <t>JÖNKÖPINGS LÄN</t>
        </is>
      </c>
      <c r="G196" t="inlineStr">
        <is>
          <t>SÄVSJÖ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46224</v>
      </c>
      <c r="F197" t="inlineStr">
        <is>
          <t>JÖNKÖPINGS LÄN</t>
        </is>
      </c>
      <c r="G197" t="inlineStr">
        <is>
          <t>SÄVSJÖ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44991</v>
      </c>
      <c r="E198" s="1" t="n">
        <v>46224</v>
      </c>
      <c r="F198" t="inlineStr">
        <is>
          <t>JÖNKÖPINGS LÄN</t>
        </is>
      </c>
      <c r="G198" t="inlineStr">
        <is>
          <t>SÄVSJÖ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46307-2021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44442</v>
      </c>
      <c r="E199" s="1" t="n">
        <v>46224</v>
      </c>
      <c r="F199" t="inlineStr">
        <is>
          <t>JÖNKÖPINGS LÄN</t>
        </is>
      </c>
      <c r="G199" t="inlineStr">
        <is>
          <t>SÄVSJÖ</t>
        </is>
      </c>
      <c r="H199" t="inlineStr">
        <is>
          <t>Kommuner</t>
        </is>
      </c>
      <c r="I199" t="n">
        <v>25.6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46224</v>
      </c>
      <c r="F200" t="inlineStr">
        <is>
          <t>JÖNKÖPINGS LÄN</t>
        </is>
      </c>
      <c r="G200" t="inlineStr">
        <is>
          <t>SÄVSJÖ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45634</v>
      </c>
      <c r="E201" s="1" t="n">
        <v>46224</v>
      </c>
      <c r="F201" t="inlineStr">
        <is>
          <t>JÖNKÖPINGS LÄN</t>
        </is>
      </c>
      <c r="G201" t="inlineStr">
        <is>
          <t>SÄVSJÖ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45433</v>
      </c>
      <c r="E202" s="1" t="n">
        <v>46224</v>
      </c>
      <c r="F202" t="inlineStr">
        <is>
          <t>JÖNKÖPINGS LÄN</t>
        </is>
      </c>
      <c r="G202" t="inlineStr">
        <is>
          <t>SÄVSJÖ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36393-2024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46224</v>
      </c>
      <c r="F203" t="inlineStr">
        <is>
          <t>JÖNKÖPINGS LÄN</t>
        </is>
      </c>
      <c r="G203" t="inlineStr">
        <is>
          <t>SÄVSJÖ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45053</v>
      </c>
      <c r="E204" s="1" t="n">
        <v>46224</v>
      </c>
      <c r="F204" t="inlineStr">
        <is>
          <t>JÖNKÖPINGS LÄN</t>
        </is>
      </c>
      <c r="G204" t="inlineStr">
        <is>
          <t>SÄVSJÖ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44991</v>
      </c>
      <c r="E205" s="1" t="n">
        <v>46224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46224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46224</v>
      </c>
      <c r="F207" t="inlineStr">
        <is>
          <t>JÖNKÖPINGS LÄN</t>
        </is>
      </c>
      <c r="G207" t="inlineStr">
        <is>
          <t>SÄVSJÖ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46224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46224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46224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46224</v>
      </c>
      <c r="F211" t="inlineStr">
        <is>
          <t>JÖNKÖPINGS LÄN</t>
        </is>
      </c>
      <c r="G211" t="inlineStr">
        <is>
          <t>SÄVSJÖ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45315</v>
      </c>
      <c r="E212" s="1" t="n">
        <v>46224</v>
      </c>
      <c r="F212" t="inlineStr">
        <is>
          <t>JÖNKÖPINGS LÄN</t>
        </is>
      </c>
      <c r="G212" t="inlineStr">
        <is>
          <t>SÄVSJÖ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40111-2022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46224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15058-2023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46224</v>
      </c>
      <c r="F214" t="inlineStr">
        <is>
          <t>JÖNKÖPINGS LÄN</t>
        </is>
      </c>
      <c r="G214" t="inlineStr">
        <is>
          <t>SÄVSJÖ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17883-2024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46224</v>
      </c>
      <c r="F215" t="inlineStr">
        <is>
          <t>JÖNKÖPINGS LÄN</t>
        </is>
      </c>
      <c r="G215" t="inlineStr">
        <is>
          <t>SÄVSJÖ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46070</v>
      </c>
      <c r="E216" s="1" t="n">
        <v>46224</v>
      </c>
      <c r="F216" t="inlineStr">
        <is>
          <t>JÖNKÖPINGS LÄN</t>
        </is>
      </c>
      <c r="G216" t="inlineStr">
        <is>
          <t>SÄVSJÖ</t>
        </is>
      </c>
      <c r="H216" t="inlineStr">
        <is>
          <t>Kyrkan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46224</v>
      </c>
      <c r="F217" t="inlineStr">
        <is>
          <t>JÖNKÖPINGS LÄN</t>
        </is>
      </c>
      <c r="G217" t="inlineStr">
        <is>
          <t>SÄVSJÖ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46224</v>
      </c>
      <c r="F218" t="inlineStr">
        <is>
          <t>JÖNKÖPINGS LÄN</t>
        </is>
      </c>
      <c r="G218" t="inlineStr">
        <is>
          <t>SÄVSJÖ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46224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45054</v>
      </c>
      <c r="E220" s="1" t="n">
        <v>46224</v>
      </c>
      <c r="F220" t="inlineStr">
        <is>
          <t>JÖNKÖPINGS LÄN</t>
        </is>
      </c>
      <c r="G220" t="inlineStr">
        <is>
          <t>SÄVSJÖ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46224</v>
      </c>
      <c r="F221" t="inlineStr">
        <is>
          <t>JÖNKÖPINGS LÄN</t>
        </is>
      </c>
      <c r="G221" t="inlineStr">
        <is>
          <t>SÄVSJÖ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46224</v>
      </c>
      <c r="F222" t="inlineStr">
        <is>
          <t>JÖNKÖPINGS LÄN</t>
        </is>
      </c>
      <c r="G222" t="inlineStr">
        <is>
          <t>SÄVSJÖ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46224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46224</v>
      </c>
      <c r="F224" t="inlineStr">
        <is>
          <t>JÖNKÖPINGS LÄN</t>
        </is>
      </c>
      <c r="G224" t="inlineStr">
        <is>
          <t>SÄVSJÖ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46224</v>
      </c>
      <c r="F225" t="inlineStr">
        <is>
          <t>JÖNKÖPINGS LÄN</t>
        </is>
      </c>
      <c r="G225" t="inlineStr">
        <is>
          <t>SÄVSJÖ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7285-2023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44970</v>
      </c>
      <c r="E226" s="1" t="n">
        <v>46224</v>
      </c>
      <c r="F226" t="inlineStr">
        <is>
          <t>JÖNKÖPINGS LÄN</t>
        </is>
      </c>
      <c r="G226" t="inlineStr">
        <is>
          <t>SÄVSJÖ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46087</v>
      </c>
      <c r="E227" s="1" t="n">
        <v>46224</v>
      </c>
      <c r="F227" t="inlineStr">
        <is>
          <t>JÖNKÖPINGS LÄN</t>
        </is>
      </c>
      <c r="G227" t="inlineStr">
        <is>
          <t>SÄVSJÖ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50629-2022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44866</v>
      </c>
      <c r="E228" s="1" t="n">
        <v>46224</v>
      </c>
      <c r="F228" t="inlineStr">
        <is>
          <t>JÖNKÖPINGS LÄN</t>
        </is>
      </c>
      <c r="G228" t="inlineStr">
        <is>
          <t>SÄVSJÖ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46224</v>
      </c>
      <c r="F229" t="inlineStr">
        <is>
          <t>JÖNKÖPINGS LÄN</t>
        </is>
      </c>
      <c r="G229" t="inlineStr">
        <is>
          <t>SÄVSJÖ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45338</v>
      </c>
      <c r="E230" s="1" t="n">
        <v>46224</v>
      </c>
      <c r="F230" t="inlineStr">
        <is>
          <t>JÖNKÖPINGS LÄN</t>
        </is>
      </c>
      <c r="G230" t="inlineStr">
        <is>
          <t>SÄVSJÖ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46224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46224</v>
      </c>
      <c r="F232" t="inlineStr">
        <is>
          <t>JÖNKÖPINGS LÄN</t>
        </is>
      </c>
      <c r="G232" t="inlineStr">
        <is>
          <t>SÄVSJÖ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46224</v>
      </c>
      <c r="F233" t="inlineStr">
        <is>
          <t>JÖNKÖPINGS LÄN</t>
        </is>
      </c>
      <c r="G233" t="inlineStr">
        <is>
          <t>SÄVSJÖ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39491-2021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44414</v>
      </c>
      <c r="E234" s="1" t="n">
        <v>46224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46224</v>
      </c>
      <c r="F235" t="inlineStr">
        <is>
          <t>JÖNKÖPINGS LÄN</t>
        </is>
      </c>
      <c r="G235" t="inlineStr">
        <is>
          <t>SÄVSJÖ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46224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46224</v>
      </c>
      <c r="F237" t="inlineStr">
        <is>
          <t>JÖNKÖPINGS LÄN</t>
        </is>
      </c>
      <c r="G237" t="inlineStr">
        <is>
          <t>SÄVSJÖ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45534</v>
      </c>
      <c r="E238" s="1" t="n">
        <v>46224</v>
      </c>
      <c r="F238" t="inlineStr">
        <is>
          <t>JÖNKÖPINGS LÄN</t>
        </is>
      </c>
      <c r="G238" t="inlineStr">
        <is>
          <t>SÄVSJÖ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46224</v>
      </c>
      <c r="F239" t="inlineStr">
        <is>
          <t>JÖNKÖPINGS LÄN</t>
        </is>
      </c>
      <c r="G239" t="inlineStr">
        <is>
          <t>SÄVSJÖ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46224</v>
      </c>
      <c r="F240" t="inlineStr">
        <is>
          <t>JÖNKÖPINGS LÄN</t>
        </is>
      </c>
      <c r="G240" t="inlineStr">
        <is>
          <t>SÄVSJÖ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44886</v>
      </c>
      <c r="E241" s="1" t="n">
        <v>46224</v>
      </c>
      <c r="F241" t="inlineStr">
        <is>
          <t>JÖNKÖPINGS LÄN</t>
        </is>
      </c>
      <c r="G241" t="inlineStr">
        <is>
          <t>SÄVSJÖ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46224</v>
      </c>
      <c r="F242" t="inlineStr">
        <is>
          <t>JÖNKÖPINGS LÄN</t>
        </is>
      </c>
      <c r="G242" t="inlineStr">
        <is>
          <t>SÄVSJÖ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47893-2023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46224</v>
      </c>
      <c r="F243" t="inlineStr">
        <is>
          <t>JÖNKÖPINGS LÄN</t>
        </is>
      </c>
      <c r="G243" t="inlineStr">
        <is>
          <t>SÄVSJÖ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46408-2023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46224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46108</v>
      </c>
      <c r="E245" s="1" t="n">
        <v>46224</v>
      </c>
      <c r="F245" t="inlineStr">
        <is>
          <t>JÖNKÖPINGS LÄN</t>
        </is>
      </c>
      <c r="G245" t="inlineStr">
        <is>
          <t>SÄVSJÖ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44656</v>
      </c>
      <c r="E246" s="1" t="n">
        <v>46224</v>
      </c>
      <c r="F246" t="inlineStr">
        <is>
          <t>JÖNKÖPINGS LÄN</t>
        </is>
      </c>
      <c r="G246" t="inlineStr">
        <is>
          <t>SÄVSJÖ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46224</v>
      </c>
      <c r="F247" t="inlineStr">
        <is>
          <t>JÖNKÖPINGS LÄN</t>
        </is>
      </c>
      <c r="G247" t="inlineStr">
        <is>
          <t>SÄVSJÖ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46224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45407</v>
      </c>
      <c r="E249" s="1" t="n">
        <v>46224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907-2024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45301</v>
      </c>
      <c r="E250" s="1" t="n">
        <v>46224</v>
      </c>
      <c r="F250" t="inlineStr">
        <is>
          <t>JÖNKÖPINGS LÄN</t>
        </is>
      </c>
      <c r="G250" t="inlineStr">
        <is>
          <t>SÄVSJÖ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46224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44826</v>
      </c>
      <c r="E252" s="1" t="n">
        <v>46224</v>
      </c>
      <c r="F252" t="inlineStr">
        <is>
          <t>JÖNKÖPINGS LÄN</t>
        </is>
      </c>
      <c r="G252" t="inlineStr">
        <is>
          <t>SÄVSJÖ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46224</v>
      </c>
      <c r="F253" t="inlineStr">
        <is>
          <t>JÖNKÖPINGS LÄN</t>
        </is>
      </c>
      <c r="G253" t="inlineStr">
        <is>
          <t>SÄVSJÖ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62961-2021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44505</v>
      </c>
      <c r="E254" s="1" t="n">
        <v>46224</v>
      </c>
      <c r="F254" t="inlineStr">
        <is>
          <t>JÖNKÖPINGS LÄN</t>
        </is>
      </c>
      <c r="G254" t="inlineStr">
        <is>
          <t>SÄVSJÖ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45446</v>
      </c>
      <c r="E255" s="1" t="n">
        <v>46224</v>
      </c>
      <c r="F255" t="inlineStr">
        <is>
          <t>JÖNKÖPINGS LÄN</t>
        </is>
      </c>
      <c r="G255" t="inlineStr">
        <is>
          <t>SÄVSJÖ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46224</v>
      </c>
      <c r="F256" t="inlineStr">
        <is>
          <t>JÖNKÖPINGS LÄN</t>
        </is>
      </c>
      <c r="G256" t="inlineStr">
        <is>
          <t>SÄVSJÖ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18089-2026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46125</v>
      </c>
      <c r="E257" s="1" t="n">
        <v>46224</v>
      </c>
      <c r="F257" t="inlineStr">
        <is>
          <t>JÖNKÖPINGS LÄN</t>
        </is>
      </c>
      <c r="G257" t="inlineStr">
        <is>
          <t>SÄVSJÖ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46224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46224</v>
      </c>
      <c r="F259" t="inlineStr">
        <is>
          <t>JÖNKÖPINGS LÄN</t>
        </is>
      </c>
      <c r="G259" t="inlineStr">
        <is>
          <t>SÄVSJÖ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45669</v>
      </c>
      <c r="E260" s="1" t="n">
        <v>46224</v>
      </c>
      <c r="F260" t="inlineStr">
        <is>
          <t>JÖNKÖPINGS LÄN</t>
        </is>
      </c>
      <c r="G260" t="inlineStr">
        <is>
          <t>SÄVSJÖ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45607</v>
      </c>
      <c r="E261" s="1" t="n">
        <v>46224</v>
      </c>
      <c r="F261" t="inlineStr">
        <is>
          <t>JÖNKÖPINGS LÄN</t>
        </is>
      </c>
      <c r="G261" t="inlineStr">
        <is>
          <t>SÄVSJÖ</t>
        </is>
      </c>
      <c r="H261" t="inlineStr">
        <is>
          <t>Övriga Aktiebolag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42212-2021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44426</v>
      </c>
      <c r="E262" s="1" t="n">
        <v>46224</v>
      </c>
      <c r="F262" t="inlineStr">
        <is>
          <t>JÖNKÖPINGS LÄN</t>
        </is>
      </c>
      <c r="G262" t="inlineStr">
        <is>
          <t>SÄVSJÖ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45768</v>
      </c>
      <c r="E263" s="1" t="n">
        <v>46224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46224</v>
      </c>
      <c r="F264" t="inlineStr">
        <is>
          <t>JÖNKÖPINGS LÄN</t>
        </is>
      </c>
      <c r="G264" t="inlineStr">
        <is>
          <t>SÄVSJÖ</t>
        </is>
      </c>
      <c r="H264" t="inlineStr">
        <is>
          <t>Kyrkan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46224</v>
      </c>
      <c r="F265" t="inlineStr">
        <is>
          <t>JÖNKÖPINGS LÄN</t>
        </is>
      </c>
      <c r="G265" t="inlineStr">
        <is>
          <t>SÄVSJÖ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45067</v>
      </c>
      <c r="E266" s="1" t="n">
        <v>46224</v>
      </c>
      <c r="F266" t="inlineStr">
        <is>
          <t>JÖNKÖPINGS LÄN</t>
        </is>
      </c>
      <c r="G266" t="inlineStr">
        <is>
          <t>SÄVSJÖ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46224</v>
      </c>
      <c r="F267" t="inlineStr">
        <is>
          <t>JÖNKÖPINGS LÄN</t>
        </is>
      </c>
      <c r="G267" t="inlineStr">
        <is>
          <t>SÄVSJÖ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46224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45879</v>
      </c>
      <c r="E269" s="1" t="n">
        <v>46224</v>
      </c>
      <c r="F269" t="inlineStr">
        <is>
          <t>JÖNKÖPINGS LÄN</t>
        </is>
      </c>
      <c r="G269" t="inlineStr">
        <is>
          <t>SÄVSJÖ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46224</v>
      </c>
      <c r="F270" t="inlineStr">
        <is>
          <t>JÖNKÖPINGS LÄN</t>
        </is>
      </c>
      <c r="G270" t="inlineStr">
        <is>
          <t>SÄVSJÖ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46224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44601</v>
      </c>
      <c r="E272" s="1" t="n">
        <v>46224</v>
      </c>
      <c r="F272" t="inlineStr">
        <is>
          <t>JÖNKÖPINGS LÄN</t>
        </is>
      </c>
      <c r="G272" t="inlineStr">
        <is>
          <t>SÄVSJÖ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45755</v>
      </c>
      <c r="E273" s="1" t="n">
        <v>46224</v>
      </c>
      <c r="F273" t="inlineStr">
        <is>
          <t>JÖNKÖPINGS LÄN</t>
        </is>
      </c>
      <c r="G273" t="inlineStr">
        <is>
          <t>SÄVSJÖ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45084</v>
      </c>
      <c r="E274" s="1" t="n">
        <v>46224</v>
      </c>
      <c r="F274" t="inlineStr">
        <is>
          <t>JÖNKÖPINGS LÄN</t>
        </is>
      </c>
      <c r="G274" t="inlineStr">
        <is>
          <t>SÄVSJÖ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45037</v>
      </c>
      <c r="E275" s="1" t="n">
        <v>46224</v>
      </c>
      <c r="F275" t="inlineStr">
        <is>
          <t>JÖNKÖPINGS LÄN</t>
        </is>
      </c>
      <c r="G275" t="inlineStr">
        <is>
          <t>SÄVSJÖ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64573-2023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46224</v>
      </c>
      <c r="F276" t="inlineStr">
        <is>
          <t>JÖNKÖPINGS LÄN</t>
        </is>
      </c>
      <c r="G276" t="inlineStr">
        <is>
          <t>SÄVSJÖ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46224</v>
      </c>
      <c r="F277" t="inlineStr">
        <is>
          <t>JÖNKÖPINGS LÄN</t>
        </is>
      </c>
      <c r="G277" t="inlineStr">
        <is>
          <t>SÄVSJÖ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50493-2024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45601</v>
      </c>
      <c r="E278" s="1" t="n">
        <v>46224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46224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45247</v>
      </c>
      <c r="E280" s="1" t="n">
        <v>46224</v>
      </c>
      <c r="F280" t="inlineStr">
        <is>
          <t>JÖNKÖPINGS LÄN</t>
        </is>
      </c>
      <c r="G280" t="inlineStr">
        <is>
          <t>SÄVSJÖ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44806</v>
      </c>
      <c r="E281" s="1" t="n">
        <v>46224</v>
      </c>
      <c r="F281" t="inlineStr">
        <is>
          <t>JÖNKÖPINGS LÄN</t>
        </is>
      </c>
      <c r="G281" t="inlineStr">
        <is>
          <t>SÄVSJÖ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26380-2024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46224</v>
      </c>
      <c r="F282" t="inlineStr">
        <is>
          <t>JÖNKÖPINGS LÄN</t>
        </is>
      </c>
      <c r="G282" t="inlineStr">
        <is>
          <t>SÄVSJÖ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46224</v>
      </c>
      <c r="F283" t="inlineStr">
        <is>
          <t>JÖNKÖPINGS LÄN</t>
        </is>
      </c>
      <c r="G283" t="inlineStr">
        <is>
          <t>SÄVSJÖ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61556-2025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46001</v>
      </c>
      <c r="E284" s="1" t="n">
        <v>46224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45163</v>
      </c>
      <c r="E285" s="1" t="n">
        <v>46224</v>
      </c>
      <c r="F285" t="inlineStr">
        <is>
          <t>JÖNKÖPINGS LÄN</t>
        </is>
      </c>
      <c r="G285" t="inlineStr">
        <is>
          <t>SÄVSJÖ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46224</v>
      </c>
      <c r="F286" t="inlineStr">
        <is>
          <t>JÖNKÖPINGS LÄN</t>
        </is>
      </c>
      <c r="G286" t="inlineStr">
        <is>
          <t>SÄVSJÖ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46224</v>
      </c>
      <c r="F287" t="inlineStr">
        <is>
          <t>JÖNKÖPINGS LÄN</t>
        </is>
      </c>
      <c r="G287" t="inlineStr">
        <is>
          <t>SÄVSJÖ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45127</v>
      </c>
      <c r="E288" s="1" t="n">
        <v>46224</v>
      </c>
      <c r="F288" t="inlineStr">
        <is>
          <t>JÖNKÖPINGS LÄN</t>
        </is>
      </c>
      <c r="G288" t="inlineStr">
        <is>
          <t>SÄVSJÖ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55258-2021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44475</v>
      </c>
      <c r="E289" s="1" t="n">
        <v>46224</v>
      </c>
      <c r="F289" t="inlineStr">
        <is>
          <t>JÖNKÖPINGS LÄN</t>
        </is>
      </c>
      <c r="G289" t="inlineStr">
        <is>
          <t>SÄVSJÖ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45411</v>
      </c>
      <c r="E290" s="1" t="n">
        <v>46224</v>
      </c>
      <c r="F290" t="inlineStr">
        <is>
          <t>JÖNKÖPINGS LÄN</t>
        </is>
      </c>
      <c r="G290" t="inlineStr">
        <is>
          <t>SÄVSJÖ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45253</v>
      </c>
      <c r="E291" s="1" t="n">
        <v>46224</v>
      </c>
      <c r="F291" t="inlineStr">
        <is>
          <t>JÖNKÖPINGS LÄN</t>
        </is>
      </c>
      <c r="G291" t="inlineStr">
        <is>
          <t>SÄVSJÖ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64126-2021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44510</v>
      </c>
      <c r="E292" s="1" t="n">
        <v>46224</v>
      </c>
      <c r="F292" t="inlineStr">
        <is>
          <t>JÖNKÖPINGS LÄN</t>
        </is>
      </c>
      <c r="G292" t="inlineStr">
        <is>
          <t>SÄVSJÖ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62421-2023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45268</v>
      </c>
      <c r="E293" s="1" t="n">
        <v>46224</v>
      </c>
      <c r="F293" t="inlineStr">
        <is>
          <t>JÖNKÖPINGS LÄN</t>
        </is>
      </c>
      <c r="G293" t="inlineStr">
        <is>
          <t>SÄVSJÖ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44957</v>
      </c>
      <c r="E294" s="1" t="n">
        <v>46224</v>
      </c>
      <c r="F294" t="inlineStr">
        <is>
          <t>JÖNKÖPINGS LÄN</t>
        </is>
      </c>
      <c r="G294" t="inlineStr">
        <is>
          <t>SÄVSJÖ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45341</v>
      </c>
      <c r="E295" s="1" t="n">
        <v>46224</v>
      </c>
      <c r="F295" t="inlineStr">
        <is>
          <t>JÖNKÖPINGS LÄN</t>
        </is>
      </c>
      <c r="G295" t="inlineStr">
        <is>
          <t>SÄVSJÖ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8536-2024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45355</v>
      </c>
      <c r="E296" s="1" t="n">
        <v>46224</v>
      </c>
      <c r="F296" t="inlineStr">
        <is>
          <t>JÖNKÖPINGS LÄN</t>
        </is>
      </c>
      <c r="G296" t="inlineStr">
        <is>
          <t>SÄVSJÖ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46224</v>
      </c>
      <c r="F297" t="inlineStr">
        <is>
          <t>JÖNKÖPINGS LÄN</t>
        </is>
      </c>
      <c r="G297" t="inlineStr">
        <is>
          <t>SÄVSJÖ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46224</v>
      </c>
      <c r="F298" t="inlineStr">
        <is>
          <t>JÖNKÖPINGS LÄN</t>
        </is>
      </c>
      <c r="G298" t="inlineStr">
        <is>
          <t>SÄVSJÖ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46224</v>
      </c>
      <c r="F299" t="inlineStr">
        <is>
          <t>JÖNKÖPINGS LÄN</t>
        </is>
      </c>
      <c r="G299" t="inlineStr">
        <is>
          <t>SÄVSJÖ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46224</v>
      </c>
      <c r="F300" t="inlineStr">
        <is>
          <t>JÖNKÖPINGS LÄN</t>
        </is>
      </c>
      <c r="G300" t="inlineStr">
        <is>
          <t>SÄVSJÖ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45079</v>
      </c>
      <c r="E301" s="1" t="n">
        <v>46224</v>
      </c>
      <c r="F301" t="inlineStr">
        <is>
          <t>JÖNKÖPINGS LÄN</t>
        </is>
      </c>
      <c r="G301" t="inlineStr">
        <is>
          <t>SÄVSJÖ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46224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45748</v>
      </c>
      <c r="E303" s="1" t="n">
        <v>46224</v>
      </c>
      <c r="F303" t="inlineStr">
        <is>
          <t>JÖNKÖPINGS LÄN</t>
        </is>
      </c>
      <c r="G303" t="inlineStr">
        <is>
          <t>SÄVSJÖ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46224</v>
      </c>
      <c r="F304" t="inlineStr">
        <is>
          <t>JÖNKÖPINGS LÄN</t>
        </is>
      </c>
      <c r="G304" t="inlineStr">
        <is>
          <t>SÄVSJÖ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46224</v>
      </c>
      <c r="F305" t="inlineStr">
        <is>
          <t>JÖNKÖPINGS LÄN</t>
        </is>
      </c>
      <c r="G305" t="inlineStr">
        <is>
          <t>SÄVSJÖ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46191</v>
      </c>
      <c r="E306" s="1" t="n">
        <v>46224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45211</v>
      </c>
      <c r="E307" s="1" t="n">
        <v>46224</v>
      </c>
      <c r="F307" t="inlineStr">
        <is>
          <t>JÖNKÖPINGS LÄN</t>
        </is>
      </c>
      <c r="G307" t="inlineStr">
        <is>
          <t>SÄVSJÖ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45301</v>
      </c>
      <c r="E308" s="1" t="n">
        <v>46224</v>
      </c>
      <c r="F308" t="inlineStr">
        <is>
          <t>JÖNKÖPINGS LÄN</t>
        </is>
      </c>
      <c r="G308" t="inlineStr">
        <is>
          <t>SÄVSJÖ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27897-2026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46191</v>
      </c>
      <c r="E309" s="1" t="n">
        <v>46224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63308-2023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46224</v>
      </c>
      <c r="F310" t="inlineStr">
        <is>
          <t>JÖNKÖPINGS LÄN</t>
        </is>
      </c>
      <c r="G310" t="inlineStr">
        <is>
          <t>SÄVSJÖ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51795-2022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44872</v>
      </c>
      <c r="E311" s="1" t="n">
        <v>46224</v>
      </c>
      <c r="F311" t="inlineStr">
        <is>
          <t>JÖNKÖPINGS LÄN</t>
        </is>
      </c>
      <c r="G311" t="inlineStr">
        <is>
          <t>SÄVSJÖ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14045-2023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46224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45104</v>
      </c>
      <c r="E313" s="1" t="n">
        <v>46224</v>
      </c>
      <c r="F313" t="inlineStr">
        <is>
          <t>JÖNKÖPINGS LÄN</t>
        </is>
      </c>
      <c r="G313" t="inlineStr">
        <is>
          <t>SÄVSJÖ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46224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46224</v>
      </c>
      <c r="F315" t="inlineStr">
        <is>
          <t>JÖNKÖPINGS LÄN</t>
        </is>
      </c>
      <c r="G315" t="inlineStr">
        <is>
          <t>SÄVSJÖ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44590</v>
      </c>
      <c r="E316" s="1" t="n">
        <v>46224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55881-2024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45623</v>
      </c>
      <c r="E317" s="1" t="n">
        <v>46224</v>
      </c>
      <c r="F317" t="inlineStr">
        <is>
          <t>JÖNKÖPINGS LÄN</t>
        </is>
      </c>
      <c r="G317" t="inlineStr">
        <is>
          <t>SÄVSJÖ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46224</v>
      </c>
      <c r="F318" t="inlineStr">
        <is>
          <t>JÖNKÖPINGS LÄN</t>
        </is>
      </c>
      <c r="G318" t="inlineStr">
        <is>
          <t>SÄVSJÖ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57471-2022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46224</v>
      </c>
      <c r="F319" t="inlineStr">
        <is>
          <t>JÖNKÖPINGS LÄN</t>
        </is>
      </c>
      <c r="G319" t="inlineStr">
        <is>
          <t>SÄVSJÖ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55381-2023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46224</v>
      </c>
      <c r="F320" t="inlineStr">
        <is>
          <t>JÖNKÖPINGS LÄN</t>
        </is>
      </c>
      <c r="G320" t="inlineStr">
        <is>
          <t>SÄVSJÖ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8748-2023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46224</v>
      </c>
      <c r="F321" t="inlineStr">
        <is>
          <t>JÖNKÖPINGS LÄN</t>
        </is>
      </c>
      <c r="G321" t="inlineStr">
        <is>
          <t>SÄVSJÖ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35320-2023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46224</v>
      </c>
      <c r="F322" t="inlineStr">
        <is>
          <t>JÖNKÖPINGS LÄN</t>
        </is>
      </c>
      <c r="G322" t="inlineStr">
        <is>
          <t>SÄVSJÖ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46224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50564-2024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45601</v>
      </c>
      <c r="E324" s="1" t="n">
        <v>46224</v>
      </c>
      <c r="F324" t="inlineStr">
        <is>
          <t>JÖNKÖPINGS LÄN</t>
        </is>
      </c>
      <c r="G324" t="inlineStr">
        <is>
          <t>SÄVSJÖ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46224</v>
      </c>
      <c r="F325" t="inlineStr">
        <is>
          <t>JÖNKÖPINGS LÄN</t>
        </is>
      </c>
      <c r="G325" t="inlineStr">
        <is>
          <t>SÄVSJÖ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46224</v>
      </c>
      <c r="F326" t="inlineStr">
        <is>
          <t>JÖNKÖPINGS LÄN</t>
        </is>
      </c>
      <c r="G326" t="inlineStr">
        <is>
          <t>SÄVSJÖ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46224</v>
      </c>
      <c r="F327" t="inlineStr">
        <is>
          <t>JÖNKÖPINGS LÄN</t>
        </is>
      </c>
      <c r="G327" t="inlineStr">
        <is>
          <t>SÄVSJÖ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46224</v>
      </c>
      <c r="F328" t="inlineStr">
        <is>
          <t>JÖNKÖPINGS LÄN</t>
        </is>
      </c>
      <c r="G328" t="inlineStr">
        <is>
          <t>SÄVSJÖ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45160</v>
      </c>
      <c r="E329" s="1" t="n">
        <v>46224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44942</v>
      </c>
      <c r="E330" s="1" t="n">
        <v>46224</v>
      </c>
      <c r="F330" t="inlineStr">
        <is>
          <t>JÖNKÖPINGS LÄN</t>
        </is>
      </c>
      <c r="G330" t="inlineStr">
        <is>
          <t>SÄVSJÖ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46224</v>
      </c>
      <c r="F331" t="inlineStr">
        <is>
          <t>JÖNKÖPINGS LÄN</t>
        </is>
      </c>
      <c r="G331" t="inlineStr">
        <is>
          <t>SÄVSJÖ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45267</v>
      </c>
      <c r="E332" s="1" t="n">
        <v>46224</v>
      </c>
      <c r="F332" t="inlineStr">
        <is>
          <t>JÖNKÖPINGS LÄN</t>
        </is>
      </c>
      <c r="G332" t="inlineStr">
        <is>
          <t>SÄVSJÖ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44944</v>
      </c>
      <c r="E333" s="1" t="n">
        <v>46224</v>
      </c>
      <c r="F333" t="inlineStr">
        <is>
          <t>JÖNKÖPINGS LÄN</t>
        </is>
      </c>
      <c r="G333" t="inlineStr">
        <is>
          <t>SÄVSJÖ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45427</v>
      </c>
      <c r="E334" s="1" t="n">
        <v>46224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14159-2022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44651</v>
      </c>
      <c r="E335" s="1" t="n">
        <v>46224</v>
      </c>
      <c r="F335" t="inlineStr">
        <is>
          <t>JÖNKÖPINGS LÄN</t>
        </is>
      </c>
      <c r="G335" t="inlineStr">
        <is>
          <t>SÄVSJÖ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46224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49292-2023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45210</v>
      </c>
      <c r="E337" s="1" t="n">
        <v>46224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45094</v>
      </c>
      <c r="E338" s="1" t="n">
        <v>46224</v>
      </c>
      <c r="F338" t="inlineStr">
        <is>
          <t>JÖNKÖPINGS LÄN</t>
        </is>
      </c>
      <c r="G338" t="inlineStr">
        <is>
          <t>SÄVSJÖ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45694</v>
      </c>
      <c r="E339" s="1" t="n">
        <v>46224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45694</v>
      </c>
      <c r="E340" s="1" t="n">
        <v>46224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45695</v>
      </c>
      <c r="E341" s="1" t="n">
        <v>46224</v>
      </c>
      <c r="F341" t="inlineStr">
        <is>
          <t>JÖNKÖPINGS LÄN</t>
        </is>
      </c>
      <c r="G341" t="inlineStr">
        <is>
          <t>SÄVSJÖ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46224</v>
      </c>
      <c r="F342" t="inlineStr">
        <is>
          <t>JÖNKÖPINGS LÄN</t>
        </is>
      </c>
      <c r="G342" t="inlineStr">
        <is>
          <t>SÄVSJÖ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55909-2024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45623</v>
      </c>
      <c r="E343" s="1" t="n">
        <v>46224</v>
      </c>
      <c r="F343" t="inlineStr">
        <is>
          <t>JÖNKÖPINGS LÄN</t>
        </is>
      </c>
      <c r="G343" t="inlineStr">
        <is>
          <t>SÄVSJÖ</t>
        </is>
      </c>
      <c r="H343" t="inlineStr">
        <is>
          <t>Kommuner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45704</v>
      </c>
      <c r="E344" s="1" t="n">
        <v>46224</v>
      </c>
      <c r="F344" t="inlineStr">
        <is>
          <t>JÖNKÖPINGS LÄN</t>
        </is>
      </c>
      <c r="G344" t="inlineStr">
        <is>
          <t>SÄVSJÖ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46224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23816-2026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46165</v>
      </c>
      <c r="E346" s="1" t="n">
        <v>46224</v>
      </c>
      <c r="F346" t="inlineStr">
        <is>
          <t>JÖNKÖPINGS LÄN</t>
        </is>
      </c>
      <c r="G346" t="inlineStr">
        <is>
          <t>SÄVSJÖ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3306-2024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46224</v>
      </c>
      <c r="F347" t="inlineStr">
        <is>
          <t>JÖNKÖPINGS LÄN</t>
        </is>
      </c>
      <c r="G347" t="inlineStr">
        <is>
          <t>SÄVSJÖ</t>
        </is>
      </c>
      <c r="I347" t="n">
        <v>19.9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11258-2024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45371</v>
      </c>
      <c r="E348" s="1" t="n">
        <v>46224</v>
      </c>
      <c r="F348" t="inlineStr">
        <is>
          <t>JÖNKÖPINGS LÄN</t>
        </is>
      </c>
      <c r="G348" t="inlineStr">
        <is>
          <t>SÄVSJÖ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45371</v>
      </c>
      <c r="E349" s="1" t="n">
        <v>46224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53916-2021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44469</v>
      </c>
      <c r="E350" s="1" t="n">
        <v>46224</v>
      </c>
      <c r="F350" t="inlineStr">
        <is>
          <t>JÖNKÖPINGS LÄN</t>
        </is>
      </c>
      <c r="G350" t="inlineStr">
        <is>
          <t>SÄVSJÖ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42400-2022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44830</v>
      </c>
      <c r="E351" s="1" t="n">
        <v>46224</v>
      </c>
      <c r="F351" t="inlineStr">
        <is>
          <t>JÖNKÖPINGS LÄN</t>
        </is>
      </c>
      <c r="G351" t="inlineStr">
        <is>
          <t>SÄVSJÖ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45275</v>
      </c>
      <c r="E352" s="1" t="n">
        <v>46224</v>
      </c>
      <c r="F352" t="inlineStr">
        <is>
          <t>JÖNKÖPINGS LÄN</t>
        </is>
      </c>
      <c r="G352" t="inlineStr">
        <is>
          <t>SÄVSJÖ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46224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44883</v>
      </c>
      <c r="E354" s="1" t="n">
        <v>46224</v>
      </c>
      <c r="F354" t="inlineStr">
        <is>
          <t>JÖNKÖPINGS LÄN</t>
        </is>
      </c>
      <c r="G354" t="inlineStr">
        <is>
          <t>SÄVSJÖ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46224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55254-2021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44475</v>
      </c>
      <c r="E356" s="1" t="n">
        <v>46224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45301</v>
      </c>
      <c r="E357" s="1" t="n">
        <v>46224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46224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45015</v>
      </c>
      <c r="E359" s="1" t="n">
        <v>46224</v>
      </c>
      <c r="F359" t="inlineStr">
        <is>
          <t>JÖNKÖPINGS LÄN</t>
        </is>
      </c>
      <c r="G359" t="inlineStr">
        <is>
          <t>SÄVSJÖ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46224</v>
      </c>
      <c r="F360" t="inlineStr">
        <is>
          <t>JÖNKÖPINGS LÄN</t>
        </is>
      </c>
      <c r="G360" t="inlineStr">
        <is>
          <t>SÄVSJÖ</t>
        </is>
      </c>
      <c r="H360" t="inlineStr">
        <is>
          <t>Kyrkan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45334</v>
      </c>
      <c r="E361" s="1" t="n">
        <v>46224</v>
      </c>
      <c r="F361" t="inlineStr">
        <is>
          <t>JÖNKÖPINGS LÄN</t>
        </is>
      </c>
      <c r="G361" t="inlineStr">
        <is>
          <t>SÄVSJÖ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31788-2023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46224</v>
      </c>
      <c r="F362" t="inlineStr">
        <is>
          <t>JÖNKÖPINGS LÄN</t>
        </is>
      </c>
      <c r="G362" t="inlineStr">
        <is>
          <t>SÄVSJÖ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45685</v>
      </c>
      <c r="E363" s="1" t="n">
        <v>46224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51938-2024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46224</v>
      </c>
      <c r="F364" t="inlineStr">
        <is>
          <t>JÖNKÖPINGS LÄN</t>
        </is>
      </c>
      <c r="G364" t="inlineStr">
        <is>
          <t>SÄVSJÖ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45066</v>
      </c>
      <c r="E365" s="1" t="n">
        <v>46224</v>
      </c>
      <c r="F365" t="inlineStr">
        <is>
          <t>JÖNKÖPINGS LÄN</t>
        </is>
      </c>
      <c r="G365" t="inlineStr">
        <is>
          <t>SÄVSJÖ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46224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45607</v>
      </c>
      <c r="E367" s="1" t="n">
        <v>46224</v>
      </c>
      <c r="F367" t="inlineStr">
        <is>
          <t>JÖNKÖPINGS LÄN</t>
        </is>
      </c>
      <c r="G367" t="inlineStr">
        <is>
          <t>SÄVSJÖ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45366</v>
      </c>
      <c r="E368" s="1" t="n">
        <v>46224</v>
      </c>
      <c r="F368" t="inlineStr">
        <is>
          <t>JÖNKÖPINGS LÄN</t>
        </is>
      </c>
      <c r="G368" t="inlineStr">
        <is>
          <t>SÄVSJÖ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45198</v>
      </c>
      <c r="E369" s="1" t="n">
        <v>46224</v>
      </c>
      <c r="F369" t="inlineStr">
        <is>
          <t>JÖNKÖPINGS LÄN</t>
        </is>
      </c>
      <c r="G369" t="inlineStr">
        <is>
          <t>SÄVSJÖ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46224</v>
      </c>
      <c r="F370" t="inlineStr">
        <is>
          <t>JÖNKÖPINGS LÄN</t>
        </is>
      </c>
      <c r="G370" t="inlineStr">
        <is>
          <t>SÄVSJÖ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46224</v>
      </c>
      <c r="F371" t="inlineStr">
        <is>
          <t>JÖNKÖPINGS LÄN</t>
        </is>
      </c>
      <c r="G371" t="inlineStr">
        <is>
          <t>SÄVSJÖ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46224</v>
      </c>
      <c r="F372" t="inlineStr">
        <is>
          <t>JÖNKÖPINGS LÄN</t>
        </is>
      </c>
      <c r="G372" t="inlineStr">
        <is>
          <t>SÄVSJÖ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46224</v>
      </c>
      <c r="F373" t="inlineStr">
        <is>
          <t>JÖNKÖPINGS LÄN</t>
        </is>
      </c>
      <c r="G373" t="inlineStr">
        <is>
          <t>SÄVSJÖ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46224</v>
      </c>
      <c r="F374" t="inlineStr">
        <is>
          <t>JÖNKÖPINGS LÄN</t>
        </is>
      </c>
      <c r="G374" t="inlineStr">
        <is>
          <t>SÄVSJÖ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60805-2024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45644</v>
      </c>
      <c r="E375" s="1" t="n">
        <v>46224</v>
      </c>
      <c r="F375" t="inlineStr">
        <is>
          <t>JÖNKÖPINGS LÄN</t>
        </is>
      </c>
      <c r="G375" t="inlineStr">
        <is>
          <t>SÄVSJÖ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45573</v>
      </c>
      <c r="E376" s="1" t="n">
        <v>46224</v>
      </c>
      <c r="F376" t="inlineStr">
        <is>
          <t>JÖNKÖPINGS LÄN</t>
        </is>
      </c>
      <c r="G376" t="inlineStr">
        <is>
          <t>SÄVSJÖ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45448</v>
      </c>
      <c r="E377" s="1" t="n">
        <v>46224</v>
      </c>
      <c r="F377" t="inlineStr">
        <is>
          <t>JÖNKÖPINGS LÄN</t>
        </is>
      </c>
      <c r="G377" t="inlineStr">
        <is>
          <t>SÄVSJÖ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46224</v>
      </c>
      <c r="F378" t="inlineStr">
        <is>
          <t>JÖNKÖPINGS LÄN</t>
        </is>
      </c>
      <c r="G378" t="inlineStr">
        <is>
          <t>SÄVSJÖ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46224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46224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46224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46224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46224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46224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46224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46224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46224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46224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46224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46224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46224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46224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46224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46224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46224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46224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46224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46224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46224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46224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46224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46224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46224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46224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46224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46224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46224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46224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2026-07-21T01:33:57Z</dcterms:created>
  <dcterms:modified xmlns:dcterms="http://purl.org/dc/terms/" xmlns:xsi="http://www.w3.org/2001/XMLSchema-instance" xsi:type="dcterms:W3CDTF">2026-07-21T01:33:57Z</dcterms:modified>
</cp:coreProperties>
</file>