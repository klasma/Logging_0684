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46276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46276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46276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46276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46276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46276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10775-2025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45722</v>
      </c>
      <c r="E9" s="1" t="n">
        <v>46276</v>
      </c>
      <c r="F9" t="inlineStr">
        <is>
          <t>JÖNKÖPINGS LÄN</t>
        </is>
      </c>
      <c r="G9" t="inlineStr">
        <is>
          <t>SÄVSJÖ</t>
        </is>
      </c>
      <c r="I9" t="n">
        <v>10.1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10775-2025 artfynd.xlsx", "A 10775-2025")</f>
        <v/>
      </c>
      <c r="X9">
        <f>HYPERLINK("https://klasma.github.io/Logging_0684/kartor/A 10775-2025 karta.png", "A 10775-2025")</f>
        <v/>
      </c>
      <c r="Y9">
        <f>HYPERLINK("https://klasma.github.io/Logging_0684/kartor_geotiff/A 10775-2025 georefererad karta.tif", "A 10775-2025")</f>
        <v/>
      </c>
      <c r="AA9">
        <f>HYPERLINK("https://klasma.github.io/Logging_0684/klagomål/A 10775-2025 FSC-klagomål.docx", "A 10775-2025")</f>
        <v/>
      </c>
      <c r="AB9">
        <f>HYPERLINK("https://klasma.github.io/Logging_0684/klagomålsmail/A 10775-2025 FSC-klagomål mail.docx", "A 10775-2025")</f>
        <v/>
      </c>
      <c r="AC9">
        <f>HYPERLINK("https://klasma.github.io/Logging_0684/tillsyn/A 10775-2025 tillsynsbegäran.docx", "A 10775-2025")</f>
        <v/>
      </c>
      <c r="AD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46276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46276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46276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Sommarfibbla</t>
        </is>
      </c>
      <c r="W12">
        <f>HYPERLINK("https://klasma.github.io/Logging_0684/artfynd/A 40543-2023 artfynd.xlsx", "A 40543-2023")</f>
        <v/>
      </c>
      <c r="X12">
        <f>HYPERLINK("https://klasma.github.io/Logging_0684/kartor/A 40543-2023 karta.png", "A 40543-2023")</f>
        <v/>
      </c>
      <c r="Y12">
        <f>HYPERLINK("https://klasma.github.io/Logging_0684/kartor_geotiff/A 40543-2023 georefererad karta.tif", "A 40543-2023")</f>
        <v/>
      </c>
      <c r="AA12">
        <f>HYPERLINK("https://klasma.github.io/Logging_0684/klagomål/A 40543-2023 FSC-klagomål.docx", "A 40543-2023")</f>
        <v/>
      </c>
      <c r="AB12">
        <f>HYPERLINK("https://klasma.github.io/Logging_0684/klagomålsmail/A 40543-2023 FSC-klagomål mail.docx", "A 40543-2023")</f>
        <v/>
      </c>
      <c r="AC12">
        <f>HYPERLINK("https://klasma.github.io/Logging_0684/tillsyn/A 40543-2023 tillsynsbegäran.docx", "A 40543-2023")</f>
        <v/>
      </c>
      <c r="AD12">
        <f>HYPERLINK("https://klasma.github.io/Logging_0684/tillsynsmail/A 40543-2023 tillsynsbegäran mail.docx", "A 40543-2023")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46276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46276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46276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46276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46276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46276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46276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46276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46276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10046-2025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46276</v>
      </c>
      <c r="F22" t="inlineStr">
        <is>
          <t>JÖNKÖPINGS LÄN</t>
        </is>
      </c>
      <c r="G22" t="inlineStr">
        <is>
          <t>SÄVSJÖ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HYPERLINK("https://klasma.github.io/Logging_0684/artfynd/A 10046-2025 artfynd.xlsx", "A 10046-2025")</f>
        <v/>
      </c>
      <c r="X22">
        <f>HYPERLINK("https://klasma.github.io/Logging_0684/kartor/A 10046-2025 karta.png", "A 10046-2025")</f>
        <v/>
      </c>
      <c r="Y22">
        <f>HYPERLINK("https://klasma.github.io/Logging_0684/kartor_geotiff/A 10046-2025 georefererad karta.tif", "A 10046-2025")</f>
        <v/>
      </c>
      <c r="AA22">
        <f>HYPERLINK("https://klasma.github.io/Logging_0684/klagomål/A 10046-2025 FSC-klagomål.docx", "A 10046-2025")</f>
        <v/>
      </c>
      <c r="AB22">
        <f>HYPERLINK("https://klasma.github.io/Logging_0684/klagomålsmail/A 10046-2025 FSC-klagomål mail.docx", "A 10046-2025")</f>
        <v/>
      </c>
      <c r="AC22">
        <f>HYPERLINK("https://klasma.github.io/Logging_0684/tillsyn/A 10046-2025 tillsynsbegäran.docx", "A 10046-2025")</f>
        <v/>
      </c>
      <c r="AD22">
        <f>HYPERLINK("https://klasma.github.io/Logging_0684/tillsynsmail/A 10046-2025 tillsynsbegäran mail.docx", "A 10046-2025")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46276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46276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46276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46276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46276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46276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46276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46276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46276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46276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46276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46276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46276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46276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46276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46276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46276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46276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46276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46276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46276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46276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46276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46276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46276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46276</v>
      </c>
      <c r="F48" t="inlineStr">
        <is>
          <t>JÖNKÖPINGS LÄN</t>
        </is>
      </c>
      <c r="G48" t="inlineStr">
        <is>
          <t>SÄVSJÖ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46276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46276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46276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46276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46276</v>
      </c>
      <c r="F53" t="inlineStr">
        <is>
          <t>JÖNKÖPINGS LÄN</t>
        </is>
      </c>
      <c r="G53" t="inlineStr">
        <is>
          <t>SÄVSJÖ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46276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46276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44789</v>
      </c>
      <c r="E56" s="1" t="n">
        <v>46276</v>
      </c>
      <c r="F56" t="inlineStr">
        <is>
          <t>JÖNKÖPINGS LÄN</t>
        </is>
      </c>
      <c r="G56" t="inlineStr">
        <is>
          <t>SÄVSJÖ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46276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46276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46276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46276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46276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46276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46276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20603-2022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44700</v>
      </c>
      <c r="E64" s="1" t="n">
        <v>46276</v>
      </c>
      <c r="F64" t="inlineStr">
        <is>
          <t>JÖNKÖPINGS LÄN</t>
        </is>
      </c>
      <c r="G64" t="inlineStr">
        <is>
          <t>SÄVSJÖ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46276</v>
      </c>
      <c r="F65" t="inlineStr">
        <is>
          <t>JÖNKÖPINGS LÄN</t>
        </is>
      </c>
      <c r="G65" t="inlineStr">
        <is>
          <t>SÄVSJÖ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35446-2022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46276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46276</v>
      </c>
      <c r="F67" t="inlineStr">
        <is>
          <t>JÖNKÖPINGS LÄN</t>
        </is>
      </c>
      <c r="G67" t="inlineStr">
        <is>
          <t>SÄVSJÖ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46276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46276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8341-2022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44610</v>
      </c>
      <c r="E70" s="1" t="n">
        <v>46276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46276</v>
      </c>
      <c r="F71" t="inlineStr">
        <is>
          <t>JÖNKÖPINGS LÄN</t>
        </is>
      </c>
      <c r="G71" t="inlineStr">
        <is>
          <t>SÄVSJÖ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15834-2022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44664</v>
      </c>
      <c r="E72" s="1" t="n">
        <v>46276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45086</v>
      </c>
      <c r="E73" s="1" t="n">
        <v>46276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45094</v>
      </c>
      <c r="E74" s="1" t="n">
        <v>46276</v>
      </c>
      <c r="F74" t="inlineStr">
        <is>
          <t>JÖNKÖPINGS LÄN</t>
        </is>
      </c>
      <c r="G74" t="inlineStr">
        <is>
          <t>SÄVSJÖ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46276</v>
      </c>
      <c r="F75" t="inlineStr">
        <is>
          <t>JÖNKÖPINGS LÄN</t>
        </is>
      </c>
      <c r="G75" t="inlineStr">
        <is>
          <t>SÄVSJÖ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44952</v>
      </c>
      <c r="E76" s="1" t="n">
        <v>46276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46276</v>
      </c>
      <c r="F77" t="inlineStr">
        <is>
          <t>JÖNKÖPINGS LÄN</t>
        </is>
      </c>
      <c r="G77" t="inlineStr">
        <is>
          <t>SÄVSJÖ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46906-2023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46276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46276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46276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46276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19017-2025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45764</v>
      </c>
      <c r="E82" s="1" t="n">
        <v>46276</v>
      </c>
      <c r="F82" t="inlineStr">
        <is>
          <t>JÖNKÖPINGS LÄN</t>
        </is>
      </c>
      <c r="G82" t="inlineStr">
        <is>
          <t>SÄVSJÖ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45350</v>
      </c>
      <c r="E83" s="1" t="n">
        <v>46276</v>
      </c>
      <c r="F83" t="inlineStr">
        <is>
          <t>JÖNKÖPINGS LÄN</t>
        </is>
      </c>
      <c r="G83" t="inlineStr">
        <is>
          <t>SÄVSJÖ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46276</v>
      </c>
      <c r="F84" t="inlineStr">
        <is>
          <t>JÖNKÖPINGS LÄN</t>
        </is>
      </c>
      <c r="G84" t="inlineStr">
        <is>
          <t>SÄVSJÖ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45733</v>
      </c>
      <c r="E85" s="1" t="n">
        <v>46276</v>
      </c>
      <c r="F85" t="inlineStr">
        <is>
          <t>JÖNKÖPINGS LÄN</t>
        </is>
      </c>
      <c r="G85" t="inlineStr">
        <is>
          <t>SÄVSJÖ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45733</v>
      </c>
      <c r="E86" s="1" t="n">
        <v>46276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45548</v>
      </c>
      <c r="E87" s="1" t="n">
        <v>46276</v>
      </c>
      <c r="F87" t="inlineStr">
        <is>
          <t>JÖNKÖPINGS LÄN</t>
        </is>
      </c>
      <c r="G87" t="inlineStr">
        <is>
          <t>SÄVSJÖ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46276</v>
      </c>
      <c r="F88" t="inlineStr">
        <is>
          <t>JÖNKÖPINGS LÄN</t>
        </is>
      </c>
      <c r="G88" t="inlineStr">
        <is>
          <t>SÄVSJÖ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46017</v>
      </c>
      <c r="E89" s="1" t="n">
        <v>46276</v>
      </c>
      <c r="F89" t="inlineStr">
        <is>
          <t>JÖNKÖPINGS LÄN</t>
        </is>
      </c>
      <c r="G89" t="inlineStr">
        <is>
          <t>SÄVSJÖ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45727</v>
      </c>
      <c r="E90" s="1" t="n">
        <v>46276</v>
      </c>
      <c r="F90" t="inlineStr">
        <is>
          <t>JÖNKÖPINGS LÄN</t>
        </is>
      </c>
      <c r="G90" t="inlineStr">
        <is>
          <t>SÄVSJÖ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46276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46276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46276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45518</v>
      </c>
      <c r="E94" s="1" t="n">
        <v>46276</v>
      </c>
      <c r="F94" t="inlineStr">
        <is>
          <t>JÖNKÖPINGS LÄN</t>
        </is>
      </c>
      <c r="G94" t="inlineStr">
        <is>
          <t>SÄVSJÖ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46276</v>
      </c>
      <c r="F95" t="inlineStr">
        <is>
          <t>JÖNKÖPINGS LÄN</t>
        </is>
      </c>
      <c r="G95" t="inlineStr">
        <is>
          <t>SÄVSJÖ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46276</v>
      </c>
      <c r="F96" t="inlineStr">
        <is>
          <t>JÖNKÖPINGS LÄN</t>
        </is>
      </c>
      <c r="G96" t="inlineStr">
        <is>
          <t>SÄVSJÖ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45106</v>
      </c>
      <c r="E97" s="1" t="n">
        <v>46276</v>
      </c>
      <c r="F97" t="inlineStr">
        <is>
          <t>JÖNKÖPINGS LÄN</t>
        </is>
      </c>
      <c r="G97" t="inlineStr">
        <is>
          <t>SÄVSJÖ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45634</v>
      </c>
      <c r="E98" s="1" t="n">
        <v>46276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46276</v>
      </c>
      <c r="F99" t="inlineStr">
        <is>
          <t>JÖNKÖPINGS LÄN</t>
        </is>
      </c>
      <c r="G99" t="inlineStr">
        <is>
          <t>SÄVSJÖ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46276</v>
      </c>
      <c r="F100" t="inlineStr">
        <is>
          <t>JÖNKÖPINGS LÄN</t>
        </is>
      </c>
      <c r="G100" t="inlineStr">
        <is>
          <t>SÄVSJÖ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46276</v>
      </c>
      <c r="F101" t="inlineStr">
        <is>
          <t>JÖNKÖPINGS LÄN</t>
        </is>
      </c>
      <c r="G101" t="inlineStr">
        <is>
          <t>SÄVSJÖ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45094</v>
      </c>
      <c r="E102" s="1" t="n">
        <v>46276</v>
      </c>
      <c r="F102" t="inlineStr">
        <is>
          <t>JÖNKÖPINGS LÄN</t>
        </is>
      </c>
      <c r="G102" t="inlineStr">
        <is>
          <t>SÄVSJÖ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46276</v>
      </c>
      <c r="F103" t="inlineStr">
        <is>
          <t>JÖNKÖPINGS LÄN</t>
        </is>
      </c>
      <c r="G103" t="inlineStr">
        <is>
          <t>SÄVSJÖ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46276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46276</v>
      </c>
      <c r="F105" t="inlineStr">
        <is>
          <t>JÖNKÖPINGS LÄN</t>
        </is>
      </c>
      <c r="G105" t="inlineStr">
        <is>
          <t>SÄVSJÖ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46276</v>
      </c>
      <c r="F106" t="inlineStr">
        <is>
          <t>JÖNKÖPINGS LÄN</t>
        </is>
      </c>
      <c r="G106" t="inlineStr">
        <is>
          <t>SÄVSJÖ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46276</v>
      </c>
      <c r="F107" t="inlineStr">
        <is>
          <t>JÖNKÖPINGS LÄN</t>
        </is>
      </c>
      <c r="G107" t="inlineStr">
        <is>
          <t>SÄVSJÖ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31505-2025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46276</v>
      </c>
      <c r="F108" t="inlineStr">
        <is>
          <t>JÖNKÖPINGS LÄN</t>
        </is>
      </c>
      <c r="G108" t="inlineStr">
        <is>
          <t>SÄVSJÖ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46276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46276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19019-2025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45764</v>
      </c>
      <c r="E111" s="1" t="n">
        <v>46276</v>
      </c>
      <c r="F111" t="inlineStr">
        <is>
          <t>JÖNKÖPINGS LÄN</t>
        </is>
      </c>
      <c r="G111" t="inlineStr">
        <is>
          <t>SÄVSJÖ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45040</v>
      </c>
      <c r="E112" s="1" t="n">
        <v>46276</v>
      </c>
      <c r="F112" t="inlineStr">
        <is>
          <t>JÖNKÖPINGS LÄN</t>
        </is>
      </c>
      <c r="G112" t="inlineStr">
        <is>
          <t>SÄVSJÖ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46276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46276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46276</v>
      </c>
      <c r="F115" t="inlineStr">
        <is>
          <t>JÖNKÖPINGS LÄN</t>
        </is>
      </c>
      <c r="G115" t="inlineStr">
        <is>
          <t>SÄVSJÖ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46276</v>
      </c>
      <c r="F116" t="inlineStr">
        <is>
          <t>JÖNKÖPINGS LÄN</t>
        </is>
      </c>
      <c r="G116" t="inlineStr">
        <is>
          <t>SÄVSJÖ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30162-2023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45110</v>
      </c>
      <c r="E117" s="1" t="n">
        <v>46276</v>
      </c>
      <c r="F117" t="inlineStr">
        <is>
          <t>JÖNKÖPINGS LÄN</t>
        </is>
      </c>
      <c r="G117" t="inlineStr">
        <is>
          <t>SÄVSJÖ</t>
        </is>
      </c>
      <c r="H117" t="inlineStr">
        <is>
          <t>Kommuner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54827-2021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44474</v>
      </c>
      <c r="E118" s="1" t="n">
        <v>46276</v>
      </c>
      <c r="F118" t="inlineStr">
        <is>
          <t>JÖNKÖPINGS LÄN</t>
        </is>
      </c>
      <c r="G118" t="inlineStr">
        <is>
          <t>SÄVSJÖ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46276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46276</v>
      </c>
      <c r="F120" t="inlineStr">
        <is>
          <t>JÖNKÖPINGS LÄN</t>
        </is>
      </c>
      <c r="G120" t="inlineStr">
        <is>
          <t>SÄVSJÖ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44833</v>
      </c>
      <c r="E121" s="1" t="n">
        <v>46276</v>
      </c>
      <c r="F121" t="inlineStr">
        <is>
          <t>JÖNKÖPINGS LÄN</t>
        </is>
      </c>
      <c r="G121" t="inlineStr">
        <is>
          <t>SÄVSJÖ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45067</v>
      </c>
      <c r="E122" s="1" t="n">
        <v>46276</v>
      </c>
      <c r="F122" t="inlineStr">
        <is>
          <t>JÖNKÖPINGS LÄN</t>
        </is>
      </c>
      <c r="G122" t="inlineStr">
        <is>
          <t>SÄVSJÖ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46276</v>
      </c>
      <c r="F123" t="inlineStr">
        <is>
          <t>JÖNKÖPINGS LÄN</t>
        </is>
      </c>
      <c r="G123" t="inlineStr">
        <is>
          <t>SÄVSJÖ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46276</v>
      </c>
      <c r="F124" t="inlineStr">
        <is>
          <t>JÖNKÖPINGS LÄN</t>
        </is>
      </c>
      <c r="G124" t="inlineStr">
        <is>
          <t>SÄVSJÖ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46276</v>
      </c>
      <c r="F125" t="inlineStr">
        <is>
          <t>JÖNKÖPINGS LÄN</t>
        </is>
      </c>
      <c r="G125" t="inlineStr">
        <is>
          <t>SÄVSJÖ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45881</v>
      </c>
      <c r="E126" s="1" t="n">
        <v>46276</v>
      </c>
      <c r="F126" t="inlineStr">
        <is>
          <t>JÖNKÖPINGS LÄN</t>
        </is>
      </c>
      <c r="G126" t="inlineStr">
        <is>
          <t>SÄVSJÖ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46276</v>
      </c>
      <c r="F127" t="inlineStr">
        <is>
          <t>JÖNKÖPINGS LÄN</t>
        </is>
      </c>
      <c r="G127" t="inlineStr">
        <is>
          <t>SÄVSJÖ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45228</v>
      </c>
      <c r="E128" s="1" t="n">
        <v>46276</v>
      </c>
      <c r="F128" t="inlineStr">
        <is>
          <t>JÖNKÖPINGS LÄN</t>
        </is>
      </c>
      <c r="G128" t="inlineStr">
        <is>
          <t>SÄVSJÖ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46276</v>
      </c>
      <c r="F129" t="inlineStr">
        <is>
          <t>JÖNKÖPINGS LÄN</t>
        </is>
      </c>
      <c r="G129" t="inlineStr">
        <is>
          <t>SÄVSJÖ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44995</v>
      </c>
      <c r="E130" s="1" t="n">
        <v>46276</v>
      </c>
      <c r="F130" t="inlineStr">
        <is>
          <t>JÖNKÖPINGS LÄN</t>
        </is>
      </c>
      <c r="G130" t="inlineStr">
        <is>
          <t>SÄVSJÖ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46276</v>
      </c>
      <c r="F131" t="inlineStr">
        <is>
          <t>JÖNKÖPINGS LÄN</t>
        </is>
      </c>
      <c r="G131" t="inlineStr">
        <is>
          <t>SÄVSJÖ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30162-2023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45110</v>
      </c>
      <c r="E132" s="1" t="n">
        <v>46276</v>
      </c>
      <c r="F132" t="inlineStr">
        <is>
          <t>JÖNKÖPINGS LÄN</t>
        </is>
      </c>
      <c r="G132" t="inlineStr">
        <is>
          <t>SÄVSJÖ</t>
        </is>
      </c>
      <c r="H132" t="inlineStr">
        <is>
          <t>Kommuner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46276</v>
      </c>
      <c r="F133" t="inlineStr">
        <is>
          <t>JÖNKÖPINGS LÄN</t>
        </is>
      </c>
      <c r="G133" t="inlineStr">
        <is>
          <t>SÄVSJÖ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46276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45371</v>
      </c>
      <c r="E135" s="1" t="n">
        <v>46276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45102</v>
      </c>
      <c r="E136" s="1" t="n">
        <v>46276</v>
      </c>
      <c r="F136" t="inlineStr">
        <is>
          <t>JÖNKÖPINGS LÄN</t>
        </is>
      </c>
      <c r="G136" t="inlineStr">
        <is>
          <t>SÄVSJÖ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46276</v>
      </c>
      <c r="F137" t="inlineStr">
        <is>
          <t>JÖNKÖPINGS LÄN</t>
        </is>
      </c>
      <c r="G137" t="inlineStr">
        <is>
          <t>SÄVSJÖ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46276</v>
      </c>
      <c r="F138" t="inlineStr">
        <is>
          <t>JÖNKÖPINGS LÄN</t>
        </is>
      </c>
      <c r="G138" t="inlineStr">
        <is>
          <t>SÄVSJÖ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46066</v>
      </c>
      <c r="E139" s="1" t="n">
        <v>46276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46276</v>
      </c>
      <c r="F140" t="inlineStr">
        <is>
          <t>JÖNKÖPINGS LÄN</t>
        </is>
      </c>
      <c r="G140" t="inlineStr">
        <is>
          <t>SÄVSJÖ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38914-2024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45547</v>
      </c>
      <c r="E141" s="1" t="n">
        <v>46276</v>
      </c>
      <c r="F141" t="inlineStr">
        <is>
          <t>JÖNKÖPINGS LÄN</t>
        </is>
      </c>
      <c r="G141" t="inlineStr">
        <is>
          <t>SÄVSJÖ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45302</v>
      </c>
      <c r="E142" s="1" t="n">
        <v>46276</v>
      </c>
      <c r="F142" t="inlineStr">
        <is>
          <t>JÖNKÖPINGS LÄN</t>
        </is>
      </c>
      <c r="G142" t="inlineStr">
        <is>
          <t>SÄVSJÖ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46276</v>
      </c>
      <c r="F143" t="inlineStr">
        <is>
          <t>JÖNKÖPINGS LÄN</t>
        </is>
      </c>
      <c r="G143" t="inlineStr">
        <is>
          <t>SÄVSJÖ</t>
        </is>
      </c>
      <c r="H143" t="inlineStr">
        <is>
          <t>Kyrkan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46276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46276</v>
      </c>
      <c r="F145" t="inlineStr">
        <is>
          <t>JÖNKÖPINGS LÄN</t>
        </is>
      </c>
      <c r="G145" t="inlineStr">
        <is>
          <t>SÄVSJÖ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46276</v>
      </c>
      <c r="F146" t="inlineStr">
        <is>
          <t>JÖNKÖPINGS LÄN</t>
        </is>
      </c>
      <c r="G146" t="inlineStr">
        <is>
          <t>SÄVSJÖ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44838</v>
      </c>
      <c r="E147" s="1" t="n">
        <v>46276</v>
      </c>
      <c r="F147" t="inlineStr">
        <is>
          <t>JÖNKÖPINGS LÄN</t>
        </is>
      </c>
      <c r="G147" t="inlineStr">
        <is>
          <t>SÄVSJÖ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44893</v>
      </c>
      <c r="E148" s="1" t="n">
        <v>46276</v>
      </c>
      <c r="F148" t="inlineStr">
        <is>
          <t>JÖNKÖPINGS LÄN</t>
        </is>
      </c>
      <c r="G148" t="inlineStr">
        <is>
          <t>SÄVSJÖ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46276</v>
      </c>
      <c r="F149" t="inlineStr">
        <is>
          <t>JÖNKÖPINGS LÄN</t>
        </is>
      </c>
      <c r="G149" t="inlineStr">
        <is>
          <t>SÄVSJÖ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45365</v>
      </c>
      <c r="E150" s="1" t="n">
        <v>46276</v>
      </c>
      <c r="F150" t="inlineStr">
        <is>
          <t>JÖNKÖPINGS LÄN</t>
        </is>
      </c>
      <c r="G150" t="inlineStr">
        <is>
          <t>SÄVSJÖ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44929</v>
      </c>
      <c r="E151" s="1" t="n">
        <v>46276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50627-2022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44866</v>
      </c>
      <c r="E152" s="1" t="n">
        <v>46276</v>
      </c>
      <c r="F152" t="inlineStr">
        <is>
          <t>JÖNKÖPINGS LÄN</t>
        </is>
      </c>
      <c r="G152" t="inlineStr">
        <is>
          <t>SÄVSJÖ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12807-2022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44642</v>
      </c>
      <c r="E153" s="1" t="n">
        <v>46276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46276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45953</v>
      </c>
      <c r="E155" s="1" t="n">
        <v>46276</v>
      </c>
      <c r="F155" t="inlineStr">
        <is>
          <t>JÖNKÖPINGS LÄN</t>
        </is>
      </c>
      <c r="G155" t="inlineStr">
        <is>
          <t>SÄVSJÖ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46276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46276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46276</v>
      </c>
      <c r="F158" t="inlineStr">
        <is>
          <t>JÖNKÖPINGS LÄN</t>
        </is>
      </c>
      <c r="G158" t="inlineStr">
        <is>
          <t>SÄVSJÖ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46276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45226</v>
      </c>
      <c r="E160" s="1" t="n">
        <v>46276</v>
      </c>
      <c r="F160" t="inlineStr">
        <is>
          <t>JÖNKÖPINGS LÄN</t>
        </is>
      </c>
      <c r="G160" t="inlineStr">
        <is>
          <t>SÄVSJÖ</t>
        </is>
      </c>
      <c r="H160" t="inlineStr">
        <is>
          <t>Kyrkan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46276</v>
      </c>
      <c r="F161" t="inlineStr">
        <is>
          <t>JÖNKÖPINGS LÄN</t>
        </is>
      </c>
      <c r="G161" t="inlineStr">
        <is>
          <t>SÄVSJÖ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46276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45252</v>
      </c>
      <c r="E163" s="1" t="n">
        <v>46276</v>
      </c>
      <c r="F163" t="inlineStr">
        <is>
          <t>JÖNKÖPINGS LÄN</t>
        </is>
      </c>
      <c r="G163" t="inlineStr">
        <is>
          <t>SÄVSJÖ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46087</v>
      </c>
      <c r="E164" s="1" t="n">
        <v>46276</v>
      </c>
      <c r="F164" t="inlineStr">
        <is>
          <t>JÖNKÖPINGS LÄN</t>
        </is>
      </c>
      <c r="G164" t="inlineStr">
        <is>
          <t>SÄVSJÖ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46276</v>
      </c>
      <c r="F165" t="inlineStr">
        <is>
          <t>JÖNKÖPINGS LÄN</t>
        </is>
      </c>
      <c r="G165" t="inlineStr">
        <is>
          <t>SÄVSJÖ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45964</v>
      </c>
      <c r="E166" s="1" t="n">
        <v>46276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46276</v>
      </c>
      <c r="F167" t="inlineStr">
        <is>
          <t>JÖNKÖPINGS LÄN</t>
        </is>
      </c>
      <c r="G167" t="inlineStr">
        <is>
          <t>SÄVSJÖ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46276</v>
      </c>
      <c r="F168" t="inlineStr">
        <is>
          <t>JÖNKÖPINGS LÄN</t>
        </is>
      </c>
      <c r="G168" t="inlineStr">
        <is>
          <t>SÄVSJÖ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46276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46276</v>
      </c>
      <c r="F170" t="inlineStr">
        <is>
          <t>JÖNKÖPINGS LÄN</t>
        </is>
      </c>
      <c r="G170" t="inlineStr">
        <is>
          <t>SÄVSJÖ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46276</v>
      </c>
      <c r="F171" t="inlineStr">
        <is>
          <t>JÖNKÖPINGS LÄN</t>
        </is>
      </c>
      <c r="G171" t="inlineStr">
        <is>
          <t>SÄVSJÖ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46276</v>
      </c>
      <c r="F172" t="inlineStr">
        <is>
          <t>JÖNKÖPINGS LÄN</t>
        </is>
      </c>
      <c r="G172" t="inlineStr">
        <is>
          <t>SÄVSJÖ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46276</v>
      </c>
      <c r="F173" t="inlineStr">
        <is>
          <t>JÖNKÖPINGS LÄN</t>
        </is>
      </c>
      <c r="G173" t="inlineStr">
        <is>
          <t>SÄVSJÖ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46276</v>
      </c>
      <c r="F174" t="inlineStr">
        <is>
          <t>JÖNKÖPINGS LÄN</t>
        </is>
      </c>
      <c r="G174" t="inlineStr">
        <is>
          <t>SÄVSJÖ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45433</v>
      </c>
      <c r="E175" s="1" t="n">
        <v>46276</v>
      </c>
      <c r="F175" t="inlineStr">
        <is>
          <t>JÖNKÖPINGS LÄN</t>
        </is>
      </c>
      <c r="G175" t="inlineStr">
        <is>
          <t>SÄVSJÖ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46276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45534</v>
      </c>
      <c r="E177" s="1" t="n">
        <v>46276</v>
      </c>
      <c r="F177" t="inlineStr">
        <is>
          <t>JÖNKÖPINGS LÄN</t>
        </is>
      </c>
      <c r="G177" t="inlineStr">
        <is>
          <t>SÄVSJÖ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46276</v>
      </c>
      <c r="F178" t="inlineStr">
        <is>
          <t>JÖNKÖPINGS LÄN</t>
        </is>
      </c>
      <c r="G178" t="inlineStr">
        <is>
          <t>SÄVSJÖ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46097</v>
      </c>
      <c r="E179" s="1" t="n">
        <v>46276</v>
      </c>
      <c r="F179" t="inlineStr">
        <is>
          <t>JÖNKÖPINGS LÄN</t>
        </is>
      </c>
      <c r="G179" t="inlineStr">
        <is>
          <t>SÄVSJÖ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45053</v>
      </c>
      <c r="E180" s="1" t="n">
        <v>46276</v>
      </c>
      <c r="F180" t="inlineStr">
        <is>
          <t>JÖNKÖPINGS LÄN</t>
        </is>
      </c>
      <c r="G180" t="inlineStr">
        <is>
          <t>SÄVSJÖ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46276</v>
      </c>
      <c r="F181" t="inlineStr">
        <is>
          <t>JÖNKÖPINGS LÄN</t>
        </is>
      </c>
      <c r="G181" t="inlineStr">
        <is>
          <t>SÄVSJÖ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46276</v>
      </c>
      <c r="F182" t="inlineStr">
        <is>
          <t>JÖNKÖPINGS LÄN</t>
        </is>
      </c>
      <c r="G182" t="inlineStr">
        <is>
          <t>SÄVSJÖ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46276</v>
      </c>
      <c r="F183" t="inlineStr">
        <is>
          <t>JÖNKÖPINGS LÄN</t>
        </is>
      </c>
      <c r="G183" t="inlineStr">
        <is>
          <t>SÄVSJÖ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44991</v>
      </c>
      <c r="E184" s="1" t="n">
        <v>46276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46276</v>
      </c>
      <c r="F185" t="inlineStr">
        <is>
          <t>JÖNKÖPINGS LÄN</t>
        </is>
      </c>
      <c r="G185" t="inlineStr">
        <is>
          <t>SÄVSJÖ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46276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46101</v>
      </c>
      <c r="E187" s="1" t="n">
        <v>46276</v>
      </c>
      <c r="F187" t="inlineStr">
        <is>
          <t>JÖNKÖPINGS LÄN</t>
        </is>
      </c>
      <c r="G187" t="inlineStr">
        <is>
          <t>SÄVSJÖ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46276</v>
      </c>
      <c r="F188" t="inlineStr">
        <is>
          <t>JÖNKÖPINGS LÄN</t>
        </is>
      </c>
      <c r="G188" t="inlineStr">
        <is>
          <t>SÄVSJÖ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45593</v>
      </c>
      <c r="E189" s="1" t="n">
        <v>46276</v>
      </c>
      <c r="F189" t="inlineStr">
        <is>
          <t>JÖNKÖPINGS LÄN</t>
        </is>
      </c>
      <c r="G189" t="inlineStr">
        <is>
          <t>SÄVSJÖ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46276</v>
      </c>
      <c r="F190" t="inlineStr">
        <is>
          <t>JÖNKÖPINGS LÄN</t>
        </is>
      </c>
      <c r="G190" t="inlineStr">
        <is>
          <t>SÄVSJÖ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46276</v>
      </c>
      <c r="F191" t="inlineStr">
        <is>
          <t>JÖNKÖPINGS LÄN</t>
        </is>
      </c>
      <c r="G191" t="inlineStr">
        <is>
          <t>SÄVSJÖ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46276</v>
      </c>
      <c r="F192" t="inlineStr">
        <is>
          <t>JÖNKÖPINGS LÄN</t>
        </is>
      </c>
      <c r="G192" t="inlineStr">
        <is>
          <t>SÄVSJÖ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60331-2025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45993</v>
      </c>
      <c r="E193" s="1" t="n">
        <v>46276</v>
      </c>
      <c r="F193" t="inlineStr">
        <is>
          <t>JÖNKÖPINGS LÄN</t>
        </is>
      </c>
      <c r="G193" t="inlineStr">
        <is>
          <t>SÄVSJÖ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46101</v>
      </c>
      <c r="E194" s="1" t="n">
        <v>46276</v>
      </c>
      <c r="F194" t="inlineStr">
        <is>
          <t>JÖNKÖPINGS LÄN</t>
        </is>
      </c>
      <c r="G194" t="inlineStr">
        <is>
          <t>SÄVSJÖ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46276</v>
      </c>
      <c r="F195" t="inlineStr">
        <is>
          <t>JÖNKÖPINGS LÄN</t>
        </is>
      </c>
      <c r="G195" t="inlineStr">
        <is>
          <t>SÄVSJÖ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46276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45015</v>
      </c>
      <c r="E197" s="1" t="n">
        <v>46276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45419</v>
      </c>
      <c r="E198" s="1" t="n">
        <v>46276</v>
      </c>
      <c r="F198" t="inlineStr">
        <is>
          <t>JÖNKÖPINGS LÄN</t>
        </is>
      </c>
      <c r="G198" t="inlineStr">
        <is>
          <t>SÄVSJÖ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46276</v>
      </c>
      <c r="F199" t="inlineStr">
        <is>
          <t>JÖNKÖPINGS LÄN</t>
        </is>
      </c>
      <c r="G199" t="inlineStr">
        <is>
          <t>SÄVSJÖ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45320</v>
      </c>
      <c r="E200" s="1" t="n">
        <v>46276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46276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45694</v>
      </c>
      <c r="E202" s="1" t="n">
        <v>46276</v>
      </c>
      <c r="F202" t="inlineStr">
        <is>
          <t>JÖNKÖPINGS LÄN</t>
        </is>
      </c>
      <c r="G202" t="inlineStr">
        <is>
          <t>SÄVSJÖ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62870-2025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46008</v>
      </c>
      <c r="E203" s="1" t="n">
        <v>46276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46276</v>
      </c>
      <c r="F204" t="inlineStr">
        <is>
          <t>JÖNKÖPINGS LÄN</t>
        </is>
      </c>
      <c r="G204" t="inlineStr">
        <is>
          <t>SÄVSJÖ</t>
        </is>
      </c>
      <c r="H204" t="inlineStr">
        <is>
          <t>Sveaskog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46108</v>
      </c>
      <c r="E205" s="1" t="n">
        <v>46276</v>
      </c>
      <c r="F205" t="inlineStr">
        <is>
          <t>JÖNKÖPINGS LÄN</t>
        </is>
      </c>
      <c r="G205" t="inlineStr">
        <is>
          <t>SÄVSJÖ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46276</v>
      </c>
      <c r="F206" t="inlineStr">
        <is>
          <t>JÖNKÖPINGS LÄN</t>
        </is>
      </c>
      <c r="G206" t="inlineStr">
        <is>
          <t>SÄVSJÖ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44951</v>
      </c>
      <c r="E207" s="1" t="n">
        <v>46276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45166</v>
      </c>
      <c r="E208" s="1" t="n">
        <v>46276</v>
      </c>
      <c r="F208" t="inlineStr">
        <is>
          <t>JÖNKÖPINGS LÄN</t>
        </is>
      </c>
      <c r="G208" t="inlineStr">
        <is>
          <t>SÄVSJÖ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63599-2025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46276</v>
      </c>
      <c r="F209" t="inlineStr">
        <is>
          <t>JÖNKÖPINGS LÄN</t>
        </is>
      </c>
      <c r="G209" t="inlineStr">
        <is>
          <t>SÄVSJÖ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63633-2025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46276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46276</v>
      </c>
      <c r="F211" t="inlineStr">
        <is>
          <t>JÖNKÖPINGS LÄN</t>
        </is>
      </c>
      <c r="G211" t="inlineStr">
        <is>
          <t>SÄVSJÖ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46276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46276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7285-2023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44970</v>
      </c>
      <c r="E214" s="1" t="n">
        <v>46276</v>
      </c>
      <c r="F214" t="inlineStr">
        <is>
          <t>JÖNKÖPINGS LÄN</t>
        </is>
      </c>
      <c r="G214" t="inlineStr">
        <is>
          <t>SÄVSJÖ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50629-2022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44866</v>
      </c>
      <c r="E215" s="1" t="n">
        <v>46276</v>
      </c>
      <c r="F215" t="inlineStr">
        <is>
          <t>JÖNKÖPINGS LÄN</t>
        </is>
      </c>
      <c r="G215" t="inlineStr">
        <is>
          <t>SÄVSJÖ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46276</v>
      </c>
      <c r="F216" t="inlineStr">
        <is>
          <t>JÖNKÖPINGS LÄN</t>
        </is>
      </c>
      <c r="G216" t="inlineStr">
        <is>
          <t>SÄVSJÖ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46276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46276</v>
      </c>
      <c r="F218" t="inlineStr">
        <is>
          <t>JÖNKÖPINGS LÄN</t>
        </is>
      </c>
      <c r="G218" t="inlineStr">
        <is>
          <t>SÄVSJÖ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46276</v>
      </c>
      <c r="F219" t="inlineStr">
        <is>
          <t>JÖNKÖPINGS LÄN</t>
        </is>
      </c>
      <c r="G219" t="inlineStr">
        <is>
          <t>SÄVSJÖ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45170</v>
      </c>
      <c r="E220" s="1" t="n">
        <v>46276</v>
      </c>
      <c r="F220" t="inlineStr">
        <is>
          <t>JÖNKÖPINGS LÄN</t>
        </is>
      </c>
      <c r="G220" t="inlineStr">
        <is>
          <t>SÄVSJÖ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46276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46276</v>
      </c>
      <c r="F222" t="inlineStr">
        <is>
          <t>JÖNKÖPINGS LÄN</t>
        </is>
      </c>
      <c r="G222" t="inlineStr">
        <is>
          <t>SÄVSJÖ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45534</v>
      </c>
      <c r="E223" s="1" t="n">
        <v>46276</v>
      </c>
      <c r="F223" t="inlineStr">
        <is>
          <t>JÖNKÖPINGS LÄN</t>
        </is>
      </c>
      <c r="G223" t="inlineStr">
        <is>
          <t>SÄVSJÖ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46276</v>
      </c>
      <c r="F224" t="inlineStr">
        <is>
          <t>JÖNKÖPINGS LÄN</t>
        </is>
      </c>
      <c r="G224" t="inlineStr">
        <is>
          <t>SÄVSJÖ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46276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45204</v>
      </c>
      <c r="E226" s="1" t="n">
        <v>46276</v>
      </c>
      <c r="F226" t="inlineStr">
        <is>
          <t>JÖNKÖPINGS LÄN</t>
        </is>
      </c>
      <c r="G226" t="inlineStr">
        <is>
          <t>SÄVSJÖ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46408-2023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46276</v>
      </c>
      <c r="F227" t="inlineStr">
        <is>
          <t>JÖNKÖPINGS LÄN</t>
        </is>
      </c>
      <c r="G227" t="inlineStr">
        <is>
          <t>SÄVSJÖ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45785</v>
      </c>
      <c r="E228" s="1" t="n">
        <v>46276</v>
      </c>
      <c r="F228" t="inlineStr">
        <is>
          <t>JÖNKÖPINGS LÄN</t>
        </is>
      </c>
      <c r="G228" t="inlineStr">
        <is>
          <t>SÄVSJÖ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14880-2022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44656</v>
      </c>
      <c r="E229" s="1" t="n">
        <v>46276</v>
      </c>
      <c r="F229" t="inlineStr">
        <is>
          <t>JÖNKÖPINGS LÄN</t>
        </is>
      </c>
      <c r="G229" t="inlineStr">
        <is>
          <t>SÄVSJÖ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45407</v>
      </c>
      <c r="E230" s="1" t="n">
        <v>46276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45407</v>
      </c>
      <c r="E231" s="1" t="n">
        <v>46276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45301</v>
      </c>
      <c r="E232" s="1" t="n">
        <v>46276</v>
      </c>
      <c r="F232" t="inlineStr">
        <is>
          <t>JÖNKÖPINGS LÄN</t>
        </is>
      </c>
      <c r="G232" t="inlineStr">
        <is>
          <t>SÄVSJÖ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46276</v>
      </c>
      <c r="F233" t="inlineStr">
        <is>
          <t>JÖNKÖPINGS LÄN</t>
        </is>
      </c>
      <c r="G233" t="inlineStr">
        <is>
          <t>SÄVSJÖ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46276</v>
      </c>
      <c r="F234" t="inlineStr">
        <is>
          <t>JÖNKÖPINGS LÄN</t>
        </is>
      </c>
      <c r="G234" t="inlineStr">
        <is>
          <t>SÄVSJÖ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41391-2022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44826</v>
      </c>
      <c r="E235" s="1" t="n">
        <v>46276</v>
      </c>
      <c r="F235" t="inlineStr">
        <is>
          <t>JÖNKÖPINGS LÄN</t>
        </is>
      </c>
      <c r="G235" t="inlineStr">
        <is>
          <t>SÄVSJÖ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45879</v>
      </c>
      <c r="E236" s="1" t="n">
        <v>46276</v>
      </c>
      <c r="F236" t="inlineStr">
        <is>
          <t>JÖNKÖPINGS LÄN</t>
        </is>
      </c>
      <c r="G236" t="inlineStr">
        <is>
          <t>SÄVSJÖ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46276</v>
      </c>
      <c r="F237" t="inlineStr">
        <is>
          <t>JÖNKÖPINGS LÄN</t>
        </is>
      </c>
      <c r="G237" t="inlineStr">
        <is>
          <t>SÄVSJÖ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62961-2021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44505</v>
      </c>
      <c r="E238" s="1" t="n">
        <v>46276</v>
      </c>
      <c r="F238" t="inlineStr">
        <is>
          <t>JÖNKÖPINGS LÄN</t>
        </is>
      </c>
      <c r="G238" t="inlineStr">
        <is>
          <t>SÄVSJÖ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45446</v>
      </c>
      <c r="E239" s="1" t="n">
        <v>46276</v>
      </c>
      <c r="F239" t="inlineStr">
        <is>
          <t>JÖNKÖPINGS LÄN</t>
        </is>
      </c>
      <c r="G239" t="inlineStr">
        <is>
          <t>SÄVSJÖ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46276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45407</v>
      </c>
      <c r="E241" s="1" t="n">
        <v>46276</v>
      </c>
      <c r="F241" t="inlineStr">
        <is>
          <t>JÖNKÖPINGS LÄN</t>
        </is>
      </c>
      <c r="G241" t="inlineStr">
        <is>
          <t>SÄVSJÖ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45669</v>
      </c>
      <c r="E242" s="1" t="n">
        <v>46276</v>
      </c>
      <c r="F242" t="inlineStr">
        <is>
          <t>JÖNKÖPINGS LÄN</t>
        </is>
      </c>
      <c r="G242" t="inlineStr">
        <is>
          <t>SÄVSJÖ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46276</v>
      </c>
      <c r="F243" t="inlineStr">
        <is>
          <t>JÖNKÖPINGS LÄN</t>
        </is>
      </c>
      <c r="G243" t="inlineStr">
        <is>
          <t>SÄVSJÖ</t>
        </is>
      </c>
      <c r="H243" t="inlineStr">
        <is>
          <t>Övriga Aktiebolag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45768</v>
      </c>
      <c r="E244" s="1" t="n">
        <v>46276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45247</v>
      </c>
      <c r="E245" s="1" t="n">
        <v>46276</v>
      </c>
      <c r="F245" t="inlineStr">
        <is>
          <t>JÖNKÖPINGS LÄN</t>
        </is>
      </c>
      <c r="G245" t="inlineStr">
        <is>
          <t>SÄVSJÖ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46276</v>
      </c>
      <c r="F246" t="inlineStr">
        <is>
          <t>JÖNKÖPINGS LÄN</t>
        </is>
      </c>
      <c r="G246" t="inlineStr">
        <is>
          <t>SÄVSJÖ</t>
        </is>
      </c>
      <c r="H246" t="inlineStr">
        <is>
          <t>Kyrkan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45067</v>
      </c>
      <c r="E247" s="1" t="n">
        <v>46276</v>
      </c>
      <c r="F247" t="inlineStr">
        <is>
          <t>JÖNKÖPINGS LÄN</t>
        </is>
      </c>
      <c r="G247" t="inlineStr">
        <is>
          <t>SÄVSJÖ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46276</v>
      </c>
      <c r="F248" t="inlineStr">
        <is>
          <t>JÖNKÖPINGS LÄN</t>
        </is>
      </c>
      <c r="G248" t="inlineStr">
        <is>
          <t>SÄVSJÖ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46276</v>
      </c>
      <c r="F249" t="inlineStr">
        <is>
          <t>JÖNKÖPINGS LÄN</t>
        </is>
      </c>
      <c r="G249" t="inlineStr">
        <is>
          <t>SÄVSJÖ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45546</v>
      </c>
      <c r="E250" s="1" t="n">
        <v>46276</v>
      </c>
      <c r="F250" t="inlineStr">
        <is>
          <t>JÖNKÖPINGS LÄN</t>
        </is>
      </c>
      <c r="G250" t="inlineStr">
        <is>
          <t>SÄVSJÖ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46276</v>
      </c>
      <c r="F251" t="inlineStr">
        <is>
          <t>JÖNKÖPINGS LÄN</t>
        </is>
      </c>
      <c r="G251" t="inlineStr">
        <is>
          <t>SÄVSJÖ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46276</v>
      </c>
      <c r="F252" t="inlineStr">
        <is>
          <t>JÖNKÖPINGS LÄN</t>
        </is>
      </c>
      <c r="G252" t="inlineStr">
        <is>
          <t>SÄVSJÖ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44957</v>
      </c>
      <c r="E253" s="1" t="n">
        <v>46276</v>
      </c>
      <c r="F253" t="inlineStr">
        <is>
          <t>JÖNKÖPINGS LÄN</t>
        </is>
      </c>
      <c r="G253" t="inlineStr">
        <is>
          <t>SÄVSJÖ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46276</v>
      </c>
      <c r="F254" t="inlineStr">
        <is>
          <t>JÖNKÖPINGS LÄN</t>
        </is>
      </c>
      <c r="G254" t="inlineStr">
        <is>
          <t>SÄVSJÖ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46276</v>
      </c>
      <c r="F255" t="inlineStr">
        <is>
          <t>JÖNKÖPINGS LÄN</t>
        </is>
      </c>
      <c r="G255" t="inlineStr">
        <is>
          <t>SÄVSJÖ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64573-2023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45281</v>
      </c>
      <c r="E256" s="1" t="n">
        <v>46276</v>
      </c>
      <c r="F256" t="inlineStr">
        <is>
          <t>JÖNKÖPINGS LÄN</t>
        </is>
      </c>
      <c r="G256" t="inlineStr">
        <is>
          <t>SÄVSJÖ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46276</v>
      </c>
      <c r="F257" t="inlineStr">
        <is>
          <t>JÖNKÖPINGS LÄN</t>
        </is>
      </c>
      <c r="G257" t="inlineStr">
        <is>
          <t>SÄVSJÖ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45601</v>
      </c>
      <c r="E258" s="1" t="n">
        <v>46276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44830</v>
      </c>
      <c r="E259" s="1" t="n">
        <v>46276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37108-2022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44806</v>
      </c>
      <c r="E260" s="1" t="n">
        <v>46276</v>
      </c>
      <c r="F260" t="inlineStr">
        <is>
          <t>JÖNKÖPINGS LÄN</t>
        </is>
      </c>
      <c r="G260" t="inlineStr">
        <is>
          <t>SÄVSJÖ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46276</v>
      </c>
      <c r="F261" t="inlineStr">
        <is>
          <t>JÖNKÖPINGS LÄN</t>
        </is>
      </c>
      <c r="G261" t="inlineStr">
        <is>
          <t>SÄVSJÖ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45534</v>
      </c>
      <c r="E262" s="1" t="n">
        <v>46276</v>
      </c>
      <c r="F262" t="inlineStr">
        <is>
          <t>JÖNKÖPINGS LÄN</t>
        </is>
      </c>
      <c r="G262" t="inlineStr">
        <is>
          <t>SÄVSJÖ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46276</v>
      </c>
      <c r="F263" t="inlineStr">
        <is>
          <t>JÖNKÖPINGS LÄN</t>
        </is>
      </c>
      <c r="G263" t="inlineStr">
        <is>
          <t>SÄVSJÖ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46276</v>
      </c>
      <c r="F264" t="inlineStr">
        <is>
          <t>JÖNKÖPINGS LÄN</t>
        </is>
      </c>
      <c r="G264" t="inlineStr">
        <is>
          <t>SÄVSJÖ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45161</v>
      </c>
      <c r="E265" s="1" t="n">
        <v>46276</v>
      </c>
      <c r="F265" t="inlineStr">
        <is>
          <t>JÖNKÖPINGS LÄN</t>
        </is>
      </c>
      <c r="G265" t="inlineStr">
        <is>
          <t>SÄVSJÖ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45660</v>
      </c>
      <c r="E266" s="1" t="n">
        <v>46276</v>
      </c>
      <c r="F266" t="inlineStr">
        <is>
          <t>JÖNKÖPINGS LÄN</t>
        </is>
      </c>
      <c r="G266" t="inlineStr">
        <is>
          <t>SÄVSJÖ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46276</v>
      </c>
      <c r="F267" t="inlineStr">
        <is>
          <t>JÖNKÖPINGS LÄN</t>
        </is>
      </c>
      <c r="G267" t="inlineStr">
        <is>
          <t>SÄVSJÖ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55258-2021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44475</v>
      </c>
      <c r="E268" s="1" t="n">
        <v>46276</v>
      </c>
      <c r="F268" t="inlineStr">
        <is>
          <t>JÖNKÖPINGS LÄN</t>
        </is>
      </c>
      <c r="G268" t="inlineStr">
        <is>
          <t>SÄVSJÖ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45411</v>
      </c>
      <c r="E269" s="1" t="n">
        <v>46276</v>
      </c>
      <c r="F269" t="inlineStr">
        <is>
          <t>JÖNKÖPINGS LÄN</t>
        </is>
      </c>
      <c r="G269" t="inlineStr">
        <is>
          <t>SÄVSJÖ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59125-2023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46276</v>
      </c>
      <c r="F270" t="inlineStr">
        <is>
          <t>JÖNKÖPINGS LÄN</t>
        </is>
      </c>
      <c r="G270" t="inlineStr">
        <is>
          <t>SÄVSJÖ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64126-2021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44510</v>
      </c>
      <c r="E271" s="1" t="n">
        <v>46276</v>
      </c>
      <c r="F271" t="inlineStr">
        <is>
          <t>JÖNKÖPINGS LÄN</t>
        </is>
      </c>
      <c r="G271" t="inlineStr">
        <is>
          <t>SÄVSJÖ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62421-2023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45268</v>
      </c>
      <c r="E272" s="1" t="n">
        <v>46276</v>
      </c>
      <c r="F272" t="inlineStr">
        <is>
          <t>JÖNKÖPINGS LÄN</t>
        </is>
      </c>
      <c r="G272" t="inlineStr">
        <is>
          <t>SÄVSJÖ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46276</v>
      </c>
      <c r="F273" t="inlineStr">
        <is>
          <t>JÖNKÖPINGS LÄN</t>
        </is>
      </c>
      <c r="G273" t="inlineStr">
        <is>
          <t>SÄVSJÖ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23816-2026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46165</v>
      </c>
      <c r="E274" s="1" t="n">
        <v>46276</v>
      </c>
      <c r="F274" t="inlineStr">
        <is>
          <t>JÖNKÖPINGS LÄN</t>
        </is>
      </c>
      <c r="G274" t="inlineStr">
        <is>
          <t>SÄVSJÖ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45341</v>
      </c>
      <c r="E275" s="1" t="n">
        <v>46276</v>
      </c>
      <c r="F275" t="inlineStr">
        <is>
          <t>JÖNKÖPINGS LÄN</t>
        </is>
      </c>
      <c r="G275" t="inlineStr">
        <is>
          <t>SÄVSJÖ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45355</v>
      </c>
      <c r="E276" s="1" t="n">
        <v>46276</v>
      </c>
      <c r="F276" t="inlineStr">
        <is>
          <t>JÖNKÖPINGS LÄN</t>
        </is>
      </c>
      <c r="G276" t="inlineStr">
        <is>
          <t>SÄVSJÖ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46168</v>
      </c>
      <c r="E277" s="1" t="n">
        <v>46276</v>
      </c>
      <c r="F277" t="inlineStr">
        <is>
          <t>JÖNKÖPINGS LÄN</t>
        </is>
      </c>
      <c r="G277" t="inlineStr">
        <is>
          <t>SÄVSJÖ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45252</v>
      </c>
      <c r="E278" s="1" t="n">
        <v>46276</v>
      </c>
      <c r="F278" t="inlineStr">
        <is>
          <t>JÖNKÖPINGS LÄN</t>
        </is>
      </c>
      <c r="G278" t="inlineStr">
        <is>
          <t>SÄVSJÖ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46276</v>
      </c>
      <c r="F279" t="inlineStr">
        <is>
          <t>JÖNKÖPINGS LÄN</t>
        </is>
      </c>
      <c r="G279" t="inlineStr">
        <is>
          <t>SÄVSJÖ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45541</v>
      </c>
      <c r="E280" s="1" t="n">
        <v>46276</v>
      </c>
      <c r="F280" t="inlineStr">
        <is>
          <t>JÖNKÖPINGS LÄN</t>
        </is>
      </c>
      <c r="G280" t="inlineStr">
        <is>
          <t>SÄVSJÖ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46276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45061</v>
      </c>
      <c r="E282" s="1" t="n">
        <v>46276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45748</v>
      </c>
      <c r="E283" s="1" t="n">
        <v>46276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46276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45244</v>
      </c>
      <c r="E285" s="1" t="n">
        <v>46276</v>
      </c>
      <c r="F285" t="inlineStr">
        <is>
          <t>JÖNKÖPINGS LÄN</t>
        </is>
      </c>
      <c r="G285" t="inlineStr">
        <is>
          <t>SÄVSJÖ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45211</v>
      </c>
      <c r="E286" s="1" t="n">
        <v>46276</v>
      </c>
      <c r="F286" t="inlineStr">
        <is>
          <t>JÖNKÖPINGS LÄN</t>
        </is>
      </c>
      <c r="G286" t="inlineStr">
        <is>
          <t>SÄVSJÖ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45301</v>
      </c>
      <c r="E287" s="1" t="n">
        <v>46276</v>
      </c>
      <c r="F287" t="inlineStr">
        <is>
          <t>JÖNKÖPINGS LÄN</t>
        </is>
      </c>
      <c r="G287" t="inlineStr">
        <is>
          <t>SÄVSJÖ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46276</v>
      </c>
      <c r="F288" t="inlineStr">
        <is>
          <t>JÖNKÖPINGS LÄN</t>
        </is>
      </c>
      <c r="G288" t="inlineStr">
        <is>
          <t>SÄVSJÖ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46276</v>
      </c>
      <c r="F289" t="inlineStr">
        <is>
          <t>JÖNKÖPINGS LÄN</t>
        </is>
      </c>
      <c r="G289" t="inlineStr">
        <is>
          <t>SÄVSJÖ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45008</v>
      </c>
      <c r="E290" s="1" t="n">
        <v>46276</v>
      </c>
      <c r="F290" t="inlineStr">
        <is>
          <t>JÖNKÖPINGS LÄN</t>
        </is>
      </c>
      <c r="G290" t="inlineStr">
        <is>
          <t>SÄVSJÖ</t>
        </is>
      </c>
      <c r="H290" t="inlineStr">
        <is>
          <t>Kommuner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45104</v>
      </c>
      <c r="E291" s="1" t="n">
        <v>46276</v>
      </c>
      <c r="F291" t="inlineStr">
        <is>
          <t>JÖNKÖPINGS LÄN</t>
        </is>
      </c>
      <c r="G291" t="inlineStr">
        <is>
          <t>SÄVSJÖ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46276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46276</v>
      </c>
      <c r="F293" t="inlineStr">
        <is>
          <t>JÖNKÖPINGS LÄN</t>
        </is>
      </c>
      <c r="G293" t="inlineStr">
        <is>
          <t>SÄVSJÖ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44590</v>
      </c>
      <c r="E294" s="1" t="n">
        <v>46276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55881-2024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45623</v>
      </c>
      <c r="E295" s="1" t="n">
        <v>46276</v>
      </c>
      <c r="F295" t="inlineStr">
        <is>
          <t>JÖNKÖPINGS LÄN</t>
        </is>
      </c>
      <c r="G295" t="inlineStr">
        <is>
          <t>SÄVSJÖ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46276</v>
      </c>
      <c r="F296" t="inlineStr">
        <is>
          <t>JÖNKÖPINGS LÄN</t>
        </is>
      </c>
      <c r="G296" t="inlineStr">
        <is>
          <t>SÄVSJÖ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57471-2022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46276</v>
      </c>
      <c r="F297" t="inlineStr">
        <is>
          <t>JÖNKÖPINGS LÄN</t>
        </is>
      </c>
      <c r="G297" t="inlineStr">
        <is>
          <t>SÄVSJÖ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46276</v>
      </c>
      <c r="F298" t="inlineStr">
        <is>
          <t>JÖNKÖPINGS LÄN</t>
        </is>
      </c>
      <c r="G298" t="inlineStr">
        <is>
          <t>SÄVSJÖ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46276</v>
      </c>
      <c r="F299" t="inlineStr">
        <is>
          <t>JÖNKÖPINGS LÄN</t>
        </is>
      </c>
      <c r="G299" t="inlineStr">
        <is>
          <t>SÄVSJÖ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45146</v>
      </c>
      <c r="E300" s="1" t="n">
        <v>46276</v>
      </c>
      <c r="F300" t="inlineStr">
        <is>
          <t>JÖNKÖPINGS LÄN</t>
        </is>
      </c>
      <c r="G300" t="inlineStr">
        <is>
          <t>SÄVSJÖ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46276</v>
      </c>
      <c r="F301" t="inlineStr">
        <is>
          <t>JÖNKÖPINGS LÄN</t>
        </is>
      </c>
      <c r="G301" t="inlineStr">
        <is>
          <t>SÄVSJÖ</t>
        </is>
      </c>
      <c r="H301" t="inlineStr">
        <is>
          <t>Kommuner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45454</v>
      </c>
      <c r="E302" s="1" t="n">
        <v>46276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46276</v>
      </c>
      <c r="F303" t="inlineStr">
        <is>
          <t>JÖNKÖPINGS LÄN</t>
        </is>
      </c>
      <c r="G303" t="inlineStr">
        <is>
          <t>SÄVSJÖ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46276</v>
      </c>
      <c r="F304" t="inlineStr">
        <is>
          <t>JÖNKÖPINGS LÄN</t>
        </is>
      </c>
      <c r="G304" t="inlineStr">
        <is>
          <t>SÄVSJÖ</t>
        </is>
      </c>
      <c r="H304" t="inlineStr">
        <is>
          <t>Kommuner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46276</v>
      </c>
      <c r="F305" t="inlineStr">
        <is>
          <t>JÖNKÖPINGS LÄN</t>
        </is>
      </c>
      <c r="G305" t="inlineStr">
        <is>
          <t>SÄVSJÖ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45111</v>
      </c>
      <c r="E306" s="1" t="n">
        <v>46276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46276</v>
      </c>
      <c r="F307" t="inlineStr">
        <is>
          <t>JÖNKÖPINGS LÄN</t>
        </is>
      </c>
      <c r="G307" t="inlineStr">
        <is>
          <t>SÄVSJÖ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46276</v>
      </c>
      <c r="F308" t="inlineStr">
        <is>
          <t>JÖNKÖPINGS LÄN</t>
        </is>
      </c>
      <c r="G308" t="inlineStr">
        <is>
          <t>SÄVSJÖ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45160</v>
      </c>
      <c r="E309" s="1" t="n">
        <v>46276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44942</v>
      </c>
      <c r="E310" s="1" t="n">
        <v>46276</v>
      </c>
      <c r="F310" t="inlineStr">
        <is>
          <t>JÖNKÖPINGS LÄN</t>
        </is>
      </c>
      <c r="G310" t="inlineStr">
        <is>
          <t>SÄVSJÖ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46276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46276</v>
      </c>
      <c r="F312" t="inlineStr">
        <is>
          <t>JÖNKÖPINGS LÄN</t>
        </is>
      </c>
      <c r="G312" t="inlineStr">
        <is>
          <t>SÄVSJÖ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44944</v>
      </c>
      <c r="E313" s="1" t="n">
        <v>46276</v>
      </c>
      <c r="F313" t="inlineStr">
        <is>
          <t>JÖNKÖPINGS LÄN</t>
        </is>
      </c>
      <c r="G313" t="inlineStr">
        <is>
          <t>SÄVSJÖ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45427</v>
      </c>
      <c r="E314" s="1" t="n">
        <v>46276</v>
      </c>
      <c r="F314" t="inlineStr">
        <is>
          <t>JÖNKÖPINGS LÄN</t>
        </is>
      </c>
      <c r="G314" t="inlineStr">
        <is>
          <t>SÄVSJÖ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14159-2022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44651</v>
      </c>
      <c r="E315" s="1" t="n">
        <v>46276</v>
      </c>
      <c r="F315" t="inlineStr">
        <is>
          <t>JÖNKÖPINGS LÄN</t>
        </is>
      </c>
      <c r="G315" t="inlineStr">
        <is>
          <t>SÄVSJÖ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44964</v>
      </c>
      <c r="E316" s="1" t="n">
        <v>46276</v>
      </c>
      <c r="F316" t="inlineStr">
        <is>
          <t>JÖNKÖPINGS LÄN</t>
        </is>
      </c>
      <c r="G316" t="inlineStr">
        <is>
          <t>SÄVSJÖ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49292-2023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45210</v>
      </c>
      <c r="E317" s="1" t="n">
        <v>46276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45094</v>
      </c>
      <c r="E318" s="1" t="n">
        <v>46276</v>
      </c>
      <c r="F318" t="inlineStr">
        <is>
          <t>JÖNKÖPINGS LÄN</t>
        </is>
      </c>
      <c r="G318" t="inlineStr">
        <is>
          <t>SÄVSJÖ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46276</v>
      </c>
      <c r="F319" t="inlineStr">
        <is>
          <t>JÖNKÖPINGS LÄN</t>
        </is>
      </c>
      <c r="G319" t="inlineStr">
        <is>
          <t>SÄVSJÖ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45694</v>
      </c>
      <c r="E320" s="1" t="n">
        <v>46276</v>
      </c>
      <c r="F320" t="inlineStr">
        <is>
          <t>JÖNKÖPINGS LÄN</t>
        </is>
      </c>
      <c r="G320" t="inlineStr">
        <is>
          <t>SÄVSJÖ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46276</v>
      </c>
      <c r="F321" t="inlineStr">
        <is>
          <t>JÖNKÖPINGS LÄN</t>
        </is>
      </c>
      <c r="G321" t="inlineStr">
        <is>
          <t>SÄVSJÖ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44245-2022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44839</v>
      </c>
      <c r="E322" s="1" t="n">
        <v>46276</v>
      </c>
      <c r="F322" t="inlineStr">
        <is>
          <t>JÖNKÖPINGS LÄN</t>
        </is>
      </c>
      <c r="G322" t="inlineStr">
        <is>
          <t>SÄVSJÖ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55909-2024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45623</v>
      </c>
      <c r="E323" s="1" t="n">
        <v>46276</v>
      </c>
      <c r="F323" t="inlineStr">
        <is>
          <t>JÖNKÖPINGS LÄN</t>
        </is>
      </c>
      <c r="G323" t="inlineStr">
        <is>
          <t>SÄVSJÖ</t>
        </is>
      </c>
      <c r="H323" t="inlineStr">
        <is>
          <t>Kommuner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45704</v>
      </c>
      <c r="E324" s="1" t="n">
        <v>46276</v>
      </c>
      <c r="F324" t="inlineStr">
        <is>
          <t>JÖNKÖPINGS LÄN</t>
        </is>
      </c>
      <c r="G324" t="inlineStr">
        <is>
          <t>SÄVSJÖ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45317</v>
      </c>
      <c r="E325" s="1" t="n">
        <v>46276</v>
      </c>
      <c r="F325" t="inlineStr">
        <is>
          <t>JÖNKÖPINGS LÄN</t>
        </is>
      </c>
      <c r="G325" t="inlineStr">
        <is>
          <t>SÄVSJÖ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46276</v>
      </c>
      <c r="F326" t="inlineStr">
        <is>
          <t>JÖNKÖPINGS LÄN</t>
        </is>
      </c>
      <c r="G326" t="inlineStr">
        <is>
          <t>SÄVSJÖ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46276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53916-2021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44469</v>
      </c>
      <c r="E328" s="1" t="n">
        <v>46276</v>
      </c>
      <c r="F328" t="inlineStr">
        <is>
          <t>JÖNKÖPINGS LÄN</t>
        </is>
      </c>
      <c r="G328" t="inlineStr">
        <is>
          <t>SÄVSJÖ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44830</v>
      </c>
      <c r="E329" s="1" t="n">
        <v>46276</v>
      </c>
      <c r="F329" t="inlineStr">
        <is>
          <t>JÖNKÖPINGS LÄN</t>
        </is>
      </c>
      <c r="G329" t="inlineStr">
        <is>
          <t>SÄVSJÖ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45275</v>
      </c>
      <c r="E330" s="1" t="n">
        <v>46276</v>
      </c>
      <c r="F330" t="inlineStr">
        <is>
          <t>JÖNKÖPINGS LÄN</t>
        </is>
      </c>
      <c r="G330" t="inlineStr">
        <is>
          <t>SÄVSJÖ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54600-2022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44883</v>
      </c>
      <c r="E331" s="1" t="n">
        <v>46276</v>
      </c>
      <c r="F331" t="inlineStr">
        <is>
          <t>JÖNKÖPINGS LÄN</t>
        </is>
      </c>
      <c r="G331" t="inlineStr">
        <is>
          <t>SÄVSJÖ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60915-2023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45261</v>
      </c>
      <c r="E332" s="1" t="n">
        <v>46276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55254-2021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44475</v>
      </c>
      <c r="E333" s="1" t="n">
        <v>46276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46276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46276</v>
      </c>
      <c r="F335" t="inlineStr">
        <is>
          <t>JÖNKÖPINGS LÄN</t>
        </is>
      </c>
      <c r="G335" t="inlineStr">
        <is>
          <t>SÄVSJÖ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46276</v>
      </c>
      <c r="F336" t="inlineStr">
        <is>
          <t>JÖNKÖPINGS LÄN</t>
        </is>
      </c>
      <c r="G336" t="inlineStr">
        <is>
          <t>SÄVSJÖ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46276</v>
      </c>
      <c r="F337" t="inlineStr">
        <is>
          <t>JÖNKÖPINGS LÄN</t>
        </is>
      </c>
      <c r="G337" t="inlineStr">
        <is>
          <t>SÄVSJÖ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46276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46276</v>
      </c>
      <c r="F339" t="inlineStr">
        <is>
          <t>JÖNKÖPINGS LÄN</t>
        </is>
      </c>
      <c r="G339" t="inlineStr">
        <is>
          <t>SÄVSJÖ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46276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45685</v>
      </c>
      <c r="E341" s="1" t="n">
        <v>46276</v>
      </c>
      <c r="F341" t="inlineStr">
        <is>
          <t>JÖNKÖPINGS LÄN</t>
        </is>
      </c>
      <c r="G341" t="inlineStr">
        <is>
          <t>SÄVSJÖ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46276</v>
      </c>
      <c r="F342" t="inlineStr">
        <is>
          <t>JÖNKÖPINGS LÄN</t>
        </is>
      </c>
      <c r="G342" t="inlineStr">
        <is>
          <t>SÄVSJÖ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45066</v>
      </c>
      <c r="E343" s="1" t="n">
        <v>46276</v>
      </c>
      <c r="F343" t="inlineStr">
        <is>
          <t>JÖNKÖPINGS LÄN</t>
        </is>
      </c>
      <c r="G343" t="inlineStr">
        <is>
          <t>SÄVSJÖ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46276</v>
      </c>
      <c r="F344" t="inlineStr">
        <is>
          <t>JÖNKÖPINGS LÄN</t>
        </is>
      </c>
      <c r="G344" t="inlineStr">
        <is>
          <t>SÄVSJÖ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46276</v>
      </c>
      <c r="F345" t="inlineStr">
        <is>
          <t>JÖNKÖPINGS LÄN</t>
        </is>
      </c>
      <c r="G345" t="inlineStr">
        <is>
          <t>SÄVSJÖ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45366</v>
      </c>
      <c r="E346" s="1" t="n">
        <v>46276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46276</v>
      </c>
      <c r="F347" t="inlineStr">
        <is>
          <t>JÖNKÖPINGS LÄN</t>
        </is>
      </c>
      <c r="G347" t="inlineStr">
        <is>
          <t>SÄVSJÖ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46609-2023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45198</v>
      </c>
      <c r="E348" s="1" t="n">
        <v>46276</v>
      </c>
      <c r="F348" t="inlineStr">
        <is>
          <t>JÖNKÖPINGS LÄN</t>
        </is>
      </c>
      <c r="G348" t="inlineStr">
        <is>
          <t>SÄVSJÖ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46260</v>
      </c>
      <c r="E349" s="1" t="n">
        <v>46276</v>
      </c>
      <c r="F349" t="inlineStr">
        <is>
          <t>JÖNKÖPINGS LÄN</t>
        </is>
      </c>
      <c r="G349" t="inlineStr">
        <is>
          <t>SÄVSJÖ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46260</v>
      </c>
      <c r="E350" s="1" t="n">
        <v>46276</v>
      </c>
      <c r="F350" t="inlineStr">
        <is>
          <t>JÖNKÖPINGS LÄN</t>
        </is>
      </c>
      <c r="G350" t="inlineStr">
        <is>
          <t>SÄVSJÖ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62177-2023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46276</v>
      </c>
      <c r="F351" t="inlineStr">
        <is>
          <t>JÖNKÖPINGS LÄN</t>
        </is>
      </c>
      <c r="G351" t="inlineStr">
        <is>
          <t>SÄVSJÖ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46276</v>
      </c>
      <c r="F352" t="inlineStr">
        <is>
          <t>JÖNKÖPINGS LÄN</t>
        </is>
      </c>
      <c r="G352" t="inlineStr">
        <is>
          <t>SÄVSJÖ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35212-2026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46260</v>
      </c>
      <c r="E353" s="1" t="n">
        <v>46276</v>
      </c>
      <c r="F353" t="inlineStr">
        <is>
          <t>JÖNKÖPINGS LÄN</t>
        </is>
      </c>
      <c r="G353" t="inlineStr">
        <is>
          <t>SÄVSJÖ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46276</v>
      </c>
      <c r="F354" t="inlineStr">
        <is>
          <t>JÖNKÖPINGS LÄN</t>
        </is>
      </c>
      <c r="G354" t="inlineStr">
        <is>
          <t>SÄVSJÖ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45223</v>
      </c>
      <c r="E355" s="1" t="n">
        <v>46276</v>
      </c>
      <c r="F355" t="inlineStr">
        <is>
          <t>JÖNKÖPINGS LÄN</t>
        </is>
      </c>
      <c r="G355" t="inlineStr">
        <is>
          <t>SÄVSJÖ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46276</v>
      </c>
      <c r="F356" t="inlineStr">
        <is>
          <t>JÖNKÖPINGS LÄN</t>
        </is>
      </c>
      <c r="G356" t="inlineStr">
        <is>
          <t>SÄVSJÖ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46276</v>
      </c>
      <c r="F357" t="inlineStr">
        <is>
          <t>JÖNKÖPINGS LÄN</t>
        </is>
      </c>
      <c r="G357" t="inlineStr">
        <is>
          <t>SÄVSJÖ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45644</v>
      </c>
      <c r="E358" s="1" t="n">
        <v>46276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45573</v>
      </c>
      <c r="E359" s="1" t="n">
        <v>46276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46276</v>
      </c>
      <c r="F360" t="inlineStr">
        <is>
          <t>JÖNKÖPINGS LÄN</t>
        </is>
      </c>
      <c r="G360" t="inlineStr">
        <is>
          <t>SÄVSJÖ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46276</v>
      </c>
      <c r="F361" t="inlineStr">
        <is>
          <t>JÖNKÖPINGS LÄN</t>
        </is>
      </c>
      <c r="G361" t="inlineStr">
        <is>
          <t>SÄVSJÖ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46266</v>
      </c>
      <c r="E362" s="1" t="n">
        <v>46276</v>
      </c>
      <c r="F362" t="inlineStr">
        <is>
          <t>JÖNKÖPINGS LÄN</t>
        </is>
      </c>
      <c r="G362" t="inlineStr">
        <is>
          <t>SÄVSJÖ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61331-2024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46276</v>
      </c>
      <c r="F363" t="inlineStr">
        <is>
          <t>JÖNKÖPINGS LÄN</t>
        </is>
      </c>
      <c r="G363" t="inlineStr">
        <is>
          <t>SÄVSJÖ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45725</v>
      </c>
      <c r="E364" s="1" t="n">
        <v>46276</v>
      </c>
      <c r="F364" t="inlineStr">
        <is>
          <t>JÖNKÖPINGS LÄN</t>
        </is>
      </c>
      <c r="G364" t="inlineStr">
        <is>
          <t>SÄVSJÖ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45412</v>
      </c>
      <c r="E365" s="1" t="n">
        <v>46276</v>
      </c>
      <c r="F365" t="inlineStr">
        <is>
          <t>JÖNKÖPINGS LÄN</t>
        </is>
      </c>
      <c r="G365" t="inlineStr">
        <is>
          <t>SÄVSJÖ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31721-2026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46226</v>
      </c>
      <c r="E366" s="1" t="n">
        <v>46276</v>
      </c>
      <c r="F366" t="inlineStr">
        <is>
          <t>JÖNKÖPINGS LÄN</t>
        </is>
      </c>
      <c r="G366" t="inlineStr">
        <is>
          <t>SÄVSJÖ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23151-2025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46276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37079-2026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46273</v>
      </c>
      <c r="E368" s="1" t="n">
        <v>46276</v>
      </c>
      <c r="F368" t="inlineStr">
        <is>
          <t>JÖNKÖPINGS LÄN</t>
        </is>
      </c>
      <c r="G368" t="inlineStr">
        <is>
          <t>SÄVSJÖ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45611</v>
      </c>
      <c r="E369" s="1" t="n">
        <v>46276</v>
      </c>
      <c r="F369" t="inlineStr">
        <is>
          <t>JÖNKÖPINGS LÄN</t>
        </is>
      </c>
      <c r="G369" t="inlineStr">
        <is>
          <t>SÄVSJÖ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46276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46276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46276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46276</v>
      </c>
      <c r="F373" t="inlineStr">
        <is>
          <t>JÖNKÖPINGS LÄN</t>
        </is>
      </c>
      <c r="G373" t="inlineStr">
        <is>
          <t>SÄVSJÖ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61610-2024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46276</v>
      </c>
      <c r="F374" t="inlineStr">
        <is>
          <t>JÖNKÖPINGS LÄN</t>
        </is>
      </c>
      <c r="G374" t="inlineStr">
        <is>
          <t>SÄVSJÖ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46276</v>
      </c>
      <c r="F375" t="inlineStr">
        <is>
          <t>JÖNKÖPINGS LÄN</t>
        </is>
      </c>
      <c r="G375" t="inlineStr">
        <is>
          <t>SÄVSJÖ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46276</v>
      </c>
      <c r="F376" t="inlineStr">
        <is>
          <t>JÖNKÖPINGS LÄN</t>
        </is>
      </c>
      <c r="G376" t="inlineStr">
        <is>
          <t>SÄVSJÖ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6558-2022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44882</v>
      </c>
      <c r="E377" s="1" t="n">
        <v>46276</v>
      </c>
      <c r="F377" t="inlineStr">
        <is>
          <t>JÖNKÖPINGS LÄN</t>
        </is>
      </c>
      <c r="G377" t="inlineStr">
        <is>
          <t>SÄVSJÖ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2542-2023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45139</v>
      </c>
      <c r="E378" s="1" t="n">
        <v>46276</v>
      </c>
      <c r="F378" t="inlineStr">
        <is>
          <t>JÖNKÖPINGS LÄN</t>
        </is>
      </c>
      <c r="G378" t="inlineStr">
        <is>
          <t>SÄVSJÖ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1675-2023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46276</v>
      </c>
      <c r="F379" t="inlineStr">
        <is>
          <t>JÖNKÖPINGS LÄN</t>
        </is>
      </c>
      <c r="G379" t="inlineStr">
        <is>
          <t>SÄVSJÖ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46276</v>
      </c>
      <c r="F380" t="inlineStr">
        <is>
          <t>JÖNKÖPINGS LÄN</t>
        </is>
      </c>
      <c r="G380" t="inlineStr">
        <is>
          <t>SÄVSJÖ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2964-2023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45173</v>
      </c>
      <c r="E381" s="1" t="n">
        <v>46276</v>
      </c>
      <c r="F381" t="inlineStr">
        <is>
          <t>JÖNKÖPINGS LÄN</t>
        </is>
      </c>
      <c r="G381" t="inlineStr">
        <is>
          <t>SÄVSJÖ</t>
        </is>
      </c>
      <c r="I381" t="n">
        <v>54.6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2661-2023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46276</v>
      </c>
      <c r="F382" t="inlineStr">
        <is>
          <t>JÖNKÖPINGS LÄN</t>
        </is>
      </c>
      <c r="G382" t="inlineStr">
        <is>
          <t>SÄVSJÖ</t>
        </is>
      </c>
      <c r="I382" t="n">
        <v>21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10445-2021</t>
        </is>
      </c>
      <c r="B383" t="inlineStr">
        <is>
          <t>samrådsanmälan</t>
        </is>
      </c>
      <c r="C383" t="inlineStr">
        <is>
          <t>Skogsbilväg</t>
        </is>
      </c>
      <c r="D383" s="1" t="n">
        <v>44558</v>
      </c>
      <c r="E383" s="1" t="n">
        <v>46276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2660-2023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46276</v>
      </c>
      <c r="F384" t="inlineStr">
        <is>
          <t>JÖNKÖPINGS LÄN</t>
        </is>
      </c>
      <c r="G384" t="inlineStr">
        <is>
          <t>SÄVSJÖ</t>
        </is>
      </c>
      <c r="I384" t="n">
        <v>14.2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4880-2024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45620</v>
      </c>
      <c r="E385" s="1" t="n">
        <v>46276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4563-2024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45600</v>
      </c>
      <c r="E386" s="1" t="n">
        <v>46276</v>
      </c>
      <c r="F386" t="inlineStr">
        <is>
          <t>JÖNKÖPINGS LÄN</t>
        </is>
      </c>
      <c r="G386" t="inlineStr">
        <is>
          <t>SÄVSJÖ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2576-2023</t>
        </is>
      </c>
      <c r="B387" t="inlineStr">
        <is>
          <t>samrådsanmälan</t>
        </is>
      </c>
      <c r="C387" t="inlineStr">
        <is>
          <t>Stubbskörd</t>
        </is>
      </c>
      <c r="D387" s="1" t="n">
        <v>45141</v>
      </c>
      <c r="E387" s="1" t="n">
        <v>46276</v>
      </c>
      <c r="F387" t="inlineStr">
        <is>
          <t>JÖNKÖPINGS LÄN</t>
        </is>
      </c>
      <c r="G387" t="inlineStr">
        <is>
          <t>SÄVSJÖ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1237-2025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45762</v>
      </c>
      <c r="E388" s="1" t="n">
        <v>46276</v>
      </c>
      <c r="F388" t="inlineStr">
        <is>
          <t>JÖNKÖPINGS LÄN</t>
        </is>
      </c>
      <c r="G388" t="inlineStr">
        <is>
          <t>SÄVSJÖ</t>
        </is>
      </c>
      <c r="I388" t="n">
        <v>28.5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1374-2025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45776</v>
      </c>
      <c r="E389" s="1" t="n">
        <v>46276</v>
      </c>
      <c r="F389" t="inlineStr">
        <is>
          <t>JÖNKÖPINGS LÄN</t>
        </is>
      </c>
      <c r="G389" t="inlineStr">
        <is>
          <t>SÄVSJÖ</t>
        </is>
      </c>
      <c r="H389" t="inlineStr">
        <is>
          <t>Sveaskog</t>
        </is>
      </c>
      <c r="I389" t="n">
        <v>63.1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1459-2025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45786</v>
      </c>
      <c r="E390" s="1" t="n">
        <v>46276</v>
      </c>
      <c r="F390" t="inlineStr">
        <is>
          <t>JÖNKÖPINGS LÄN</t>
        </is>
      </c>
      <c r="G390" t="inlineStr">
        <is>
          <t>SÄVSJÖ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45785</v>
      </c>
      <c r="E391" s="1" t="n">
        <v>46276</v>
      </c>
      <c r="F391" t="inlineStr">
        <is>
          <t>JÖNKÖPINGS LÄN</t>
        </is>
      </c>
      <c r="G391" t="inlineStr">
        <is>
          <t>SÄVSJÖ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1570-2025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46276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57.8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46276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153.1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573-2025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46276</v>
      </c>
      <c r="F394" t="inlineStr">
        <is>
          <t>JÖNKÖPINGS LÄN</t>
        </is>
      </c>
      <c r="G394" t="inlineStr">
        <is>
          <t>SÄVSJÖ</t>
        </is>
      </c>
      <c r="I394" t="n">
        <v>34.5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578-2025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46276</v>
      </c>
      <c r="F395" t="inlineStr">
        <is>
          <t>JÖNKÖPINGS LÄN</t>
        </is>
      </c>
      <c r="G395" t="inlineStr">
        <is>
          <t>SÄVSJÖ</t>
        </is>
      </c>
      <c r="I395" t="n">
        <v>29.5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1812-2025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45818</v>
      </c>
      <c r="E396" s="1" t="n">
        <v>46276</v>
      </c>
      <c r="F396" t="inlineStr">
        <is>
          <t>JÖNKÖPINGS LÄN</t>
        </is>
      </c>
      <c r="G396" t="inlineStr">
        <is>
          <t>SÄVSJÖ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45840</v>
      </c>
      <c r="E397" s="1" t="n">
        <v>46276</v>
      </c>
      <c r="F397" t="inlineStr">
        <is>
          <t>JÖNKÖPINGS LÄN</t>
        </is>
      </c>
      <c r="G397" t="inlineStr">
        <is>
          <t>SÄVSJÖ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3270-2025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46276</v>
      </c>
      <c r="F398" t="inlineStr">
        <is>
          <t>JÖNKÖPINGS LÄN</t>
        </is>
      </c>
      <c r="G398" t="inlineStr">
        <is>
          <t>SÄVSJÖ</t>
        </is>
      </c>
      <c r="I398" t="n">
        <v>10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46276</v>
      </c>
      <c r="F399" t="inlineStr">
        <is>
          <t>JÖNKÖPINGS LÄN</t>
        </is>
      </c>
      <c r="G399" t="inlineStr">
        <is>
          <t>SÄVSJÖ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3268-2025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46276</v>
      </c>
      <c r="F400" t="inlineStr">
        <is>
          <t>JÖNKÖPINGS LÄN</t>
        </is>
      </c>
      <c r="G400" t="inlineStr">
        <is>
          <t>SÄVSJÖ</t>
        </is>
      </c>
      <c r="I400" t="n">
        <v>17.7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460-2026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46073</v>
      </c>
      <c r="E401" s="1" t="n">
        <v>46276</v>
      </c>
      <c r="F401" t="inlineStr">
        <is>
          <t>JÖNKÖPINGS LÄN</t>
        </is>
      </c>
      <c r="G401" t="inlineStr">
        <is>
          <t>SÄVSJÖ</t>
        </is>
      </c>
      <c r="I401" t="n">
        <v>36.7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687-2026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46276</v>
      </c>
      <c r="F402" t="inlineStr">
        <is>
          <t>JÖNKÖPINGS LÄN</t>
        </is>
      </c>
      <c r="G402" t="inlineStr">
        <is>
          <t>SÄVSJÖ</t>
        </is>
      </c>
      <c r="I402" t="n">
        <v>46.2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690-2026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46276</v>
      </c>
      <c r="F403" t="inlineStr">
        <is>
          <t>JÖNKÖPINGS LÄN</t>
        </is>
      </c>
      <c r="G403" t="inlineStr">
        <is>
          <t>SÄVSJÖ</t>
        </is>
      </c>
      <c r="I403" t="n">
        <v>47.4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873-2026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46106</v>
      </c>
      <c r="E404" s="1" t="n">
        <v>46276</v>
      </c>
      <c r="F404" t="inlineStr">
        <is>
          <t>JÖNKÖPINGS LÄN</t>
        </is>
      </c>
      <c r="G404" t="inlineStr">
        <is>
          <t>SÄVSJÖ</t>
        </is>
      </c>
      <c r="I404" t="n">
        <v>79.8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992-2026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46119</v>
      </c>
      <c r="E405" s="1" t="n">
        <v>46276</v>
      </c>
      <c r="F405" t="inlineStr">
        <is>
          <t>JÖNKÖPINGS LÄN</t>
        </is>
      </c>
      <c r="G405" t="inlineStr">
        <is>
          <t>SÄVSJÖ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1048-2026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46276</v>
      </c>
      <c r="F406" t="inlineStr">
        <is>
          <t>JÖNKÖPINGS LÄN</t>
        </is>
      </c>
      <c r="G406" t="inlineStr">
        <is>
          <t>SÄVSJÖ</t>
        </is>
      </c>
      <c r="I406" t="n">
        <v>35.8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2026-09-11T02:08:37Z</dcterms:created>
  <dcterms:modified xmlns:dcterms="http://purl.org/dc/terms/" xmlns:xsi="http://www.w3.org/2001/XMLSchema-instance" xsi:type="dcterms:W3CDTF">2026-09-11T02:08:37Z</dcterms:modified>
</cp:coreProperties>
</file>