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46298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46298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46298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46298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46298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46298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46298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46298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46298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46298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46298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46298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46298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46298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46298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46298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46298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46298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46298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35136-2024 artfynd.xlsx", "A 35136-2024")</f>
        <v/>
      </c>
      <c r="X21">
        <f>HYPERLINK("https://klasma.github.io/Logging_0684/kartor/A 35136-2024 karta.png", "A 35136-2024")</f>
        <v/>
      </c>
      <c r="Y21">
        <f>HYPERLINK("https://klasma.github.io/Logging_0684/kartor_geotiff/A 35136-2024 georefererad karta.tif", "A 35136-2024")</f>
        <v/>
      </c>
      <c r="AA21">
        <f>HYPERLINK("https://klasma.github.io/Logging_0684/klagomål/A 35136-2024 FSC-klagomål.docx", "A 35136-2024")</f>
        <v/>
      </c>
      <c r="AB21">
        <f>HYPERLINK("https://klasma.github.io/Logging_0684/klagomålsmail/A 35136-2024 FSC-klagomål mail.docx", "A 35136-2024")</f>
        <v/>
      </c>
      <c r="AC21">
        <f>HYPERLINK("https://klasma.github.io/Logging_0684/tillsyn/A 35136-2024 tillsynsbegäran.docx", "A 35136-2024")</f>
        <v/>
      </c>
      <c r="AD21">
        <f>HYPERLINK("https://klasma.github.io/Logging_0684/tillsynsmail/A 35136-2024 tillsynsbegäran mail.docx", "A 35136-2024")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46298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35891-2026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46266</v>
      </c>
      <c r="E23" s="1" t="n">
        <v>46298</v>
      </c>
      <c r="F23" t="inlineStr">
        <is>
          <t>JÖNKÖPINGS LÄN</t>
        </is>
      </c>
      <c r="G23" t="inlineStr">
        <is>
          <t>SÄVSJÖ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Pilfibbla</t>
        </is>
      </c>
      <c r="W23">
        <f>HYPERLINK("https://klasma.github.io/Logging_0684/artfynd/A 35891-2026 artfynd.xlsx", "A 35891-2026")</f>
        <v/>
      </c>
      <c r="X23">
        <f>HYPERLINK("https://klasma.github.io/Logging_0684/kartor/A 35891-2026 karta.png", "A 35891-2026")</f>
        <v/>
      </c>
      <c r="Y23">
        <f>HYPERLINK("https://klasma.github.io/Logging_0684/kartor_geotiff/A 35891-2026 georefererad karta.tif", "A 35891-2026")</f>
        <v/>
      </c>
      <c r="AA23">
        <f>HYPERLINK("https://klasma.github.io/Logging_0684/klagomål/A 35891-2026 FSC-klagomål.docx", "A 35891-2026")</f>
        <v/>
      </c>
      <c r="AB23">
        <f>HYPERLINK("https://klasma.github.io/Logging_0684/klagomålsmail/A 35891-2026 FSC-klagomål mail.docx", "A 35891-2026")</f>
        <v/>
      </c>
      <c r="AC23">
        <f>HYPERLINK("https://klasma.github.io/Logging_0684/tillsyn/A 35891-2026 tillsynsbegäran.docx", "A 35891-2026")</f>
        <v/>
      </c>
      <c r="AD23">
        <f>HYPERLINK("https://klasma.github.io/Logging_0684/tillsynsmail/A 35891-2026 tillsynsbegäran mail.docx", "A 35891-2026")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46298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46298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46298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46298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46298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46298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46298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46298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46298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46298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46298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46298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46298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46298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46298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46298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46298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46298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46298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46298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46298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46298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46298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46298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46298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46298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46298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46298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46298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46298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46298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46298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46298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46298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46298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46298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46298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46298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46298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46298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46298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46298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46298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46298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46298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46298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46298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46298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46298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44664</v>
      </c>
      <c r="E73" s="1" t="n">
        <v>46298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46298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46298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46298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45725</v>
      </c>
      <c r="E77" s="1" t="n">
        <v>46298</v>
      </c>
      <c r="F77" t="inlineStr">
        <is>
          <t>JÖNKÖPINGS LÄN</t>
        </is>
      </c>
      <c r="G77" t="inlineStr">
        <is>
          <t>SÄVSJÖ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46298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45412</v>
      </c>
      <c r="E79" s="1" t="n">
        <v>46298</v>
      </c>
      <c r="F79" t="inlineStr">
        <is>
          <t>JÖNKÖPINGS LÄN</t>
        </is>
      </c>
      <c r="G79" t="inlineStr">
        <is>
          <t>SÄVSJÖ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46298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46298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46298</v>
      </c>
      <c r="F82" t="inlineStr">
        <is>
          <t>JÖNKÖPINGS LÄN</t>
        </is>
      </c>
      <c r="G82" t="inlineStr">
        <is>
          <t>SÄVSJÖ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46298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46298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46298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46298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46008</v>
      </c>
      <c r="E87" s="1" t="n">
        <v>46298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46298</v>
      </c>
      <c r="F88" t="inlineStr">
        <is>
          <t>JÖNKÖPINGS LÄN</t>
        </is>
      </c>
      <c r="G88" t="inlineStr">
        <is>
          <t>SÄVSJÖ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46298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46298</v>
      </c>
      <c r="F90" t="inlineStr">
        <is>
          <t>JÖNKÖPINGS LÄN</t>
        </is>
      </c>
      <c r="G90" t="inlineStr">
        <is>
          <t>SÄVSJÖ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46298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46298</v>
      </c>
      <c r="F92" t="inlineStr">
        <is>
          <t>JÖNKÖPINGS LÄN</t>
        </is>
      </c>
      <c r="G92" t="inlineStr">
        <is>
          <t>SÄVSJÖ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46298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46298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46298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46017</v>
      </c>
      <c r="E96" s="1" t="n">
        <v>46298</v>
      </c>
      <c r="F96" t="inlineStr">
        <is>
          <t>JÖNKÖPINGS LÄN</t>
        </is>
      </c>
      <c r="G96" t="inlineStr">
        <is>
          <t>SÄVSJÖ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45350</v>
      </c>
      <c r="E97" s="1" t="n">
        <v>46298</v>
      </c>
      <c r="F97" t="inlineStr">
        <is>
          <t>JÖNKÖPINGS LÄN</t>
        </is>
      </c>
      <c r="G97" t="inlineStr">
        <is>
          <t>SÄVSJÖ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46298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46298</v>
      </c>
      <c r="F99" t="inlineStr">
        <is>
          <t>JÖNKÖPINGS LÄN</t>
        </is>
      </c>
      <c r="G99" t="inlineStr">
        <is>
          <t>SÄVSJÖ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46298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46298</v>
      </c>
      <c r="F101" t="inlineStr">
        <is>
          <t>JÖNKÖPINGS LÄN</t>
        </is>
      </c>
      <c r="G101" t="inlineStr">
        <is>
          <t>SÄVSJÖ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46298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46298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46298</v>
      </c>
      <c r="F104" t="inlineStr">
        <is>
          <t>JÖNKÖPINGS LÄN</t>
        </is>
      </c>
      <c r="G104" t="inlineStr">
        <is>
          <t>SÄVSJÖ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46298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46298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46298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46298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45518</v>
      </c>
      <c r="E109" s="1" t="n">
        <v>46298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46298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46298</v>
      </c>
      <c r="F111" t="inlineStr">
        <is>
          <t>JÖNKÖPINGS LÄN</t>
        </is>
      </c>
      <c r="G111" t="inlineStr">
        <is>
          <t>SÄVSJÖ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45634</v>
      </c>
      <c r="E112" s="1" t="n">
        <v>46298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45634</v>
      </c>
      <c r="E113" s="1" t="n">
        <v>46298</v>
      </c>
      <c r="F113" t="inlineStr">
        <is>
          <t>JÖNKÖPINGS LÄN</t>
        </is>
      </c>
      <c r="G113" t="inlineStr">
        <is>
          <t>SÄVSJÖ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46298</v>
      </c>
      <c r="F114" t="inlineStr">
        <is>
          <t>JÖNKÖPINGS LÄN</t>
        </is>
      </c>
      <c r="G114" t="inlineStr">
        <is>
          <t>SÄVSJÖ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46298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46298</v>
      </c>
      <c r="F116" t="inlineStr">
        <is>
          <t>JÖNKÖPINGS LÄN</t>
        </is>
      </c>
      <c r="G116" t="inlineStr">
        <is>
          <t>SÄVSJÖ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46298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45094</v>
      </c>
      <c r="E118" s="1" t="n">
        <v>46298</v>
      </c>
      <c r="F118" t="inlineStr">
        <is>
          <t>JÖNKÖPINGS LÄN</t>
        </is>
      </c>
      <c r="G118" t="inlineStr">
        <is>
          <t>SÄVSJÖ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46298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46298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46298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46298</v>
      </c>
      <c r="F122" t="inlineStr">
        <is>
          <t>JÖNKÖPINGS LÄN</t>
        </is>
      </c>
      <c r="G122" t="inlineStr">
        <is>
          <t>SÄVSJÖ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46298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46298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46066</v>
      </c>
      <c r="E125" s="1" t="n">
        <v>46298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46298</v>
      </c>
      <c r="F126" t="inlineStr">
        <is>
          <t>JÖNKÖPINGS LÄN</t>
        </is>
      </c>
      <c r="G126" t="inlineStr">
        <is>
          <t>SÄVSJÖ</t>
        </is>
      </c>
      <c r="H126" t="inlineStr">
        <is>
          <t>Kyrkan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46298</v>
      </c>
      <c r="F127" t="inlineStr">
        <is>
          <t>JÖNKÖPINGS LÄN</t>
        </is>
      </c>
      <c r="G127" t="inlineStr">
        <is>
          <t>SÄVSJÖ</t>
        </is>
      </c>
      <c r="H127" t="inlineStr">
        <is>
          <t>Kyrkan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46298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46298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46298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45067</v>
      </c>
      <c r="E131" s="1" t="n">
        <v>46298</v>
      </c>
      <c r="F131" t="inlineStr">
        <is>
          <t>JÖNKÖPINGS LÄN</t>
        </is>
      </c>
      <c r="G131" t="inlineStr">
        <is>
          <t>SÄVSJÖ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52363-2025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45953</v>
      </c>
      <c r="E132" s="1" t="n">
        <v>46298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46298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46298</v>
      </c>
      <c r="F134" t="inlineStr">
        <is>
          <t>JÖNKÖPINGS LÄN</t>
        </is>
      </c>
      <c r="G134" t="inlineStr">
        <is>
          <t>SÄVSJÖ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46298</v>
      </c>
      <c r="F135" t="inlineStr">
        <is>
          <t>JÖNKÖPINGS LÄN</t>
        </is>
      </c>
      <c r="G135" t="inlineStr">
        <is>
          <t>SÄVSJÖ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46298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46298</v>
      </c>
      <c r="F137" t="inlineStr">
        <is>
          <t>JÖNKÖPINGS LÄN</t>
        </is>
      </c>
      <c r="G137" t="inlineStr">
        <is>
          <t>SÄVSJÖ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45959</v>
      </c>
      <c r="E138" s="1" t="n">
        <v>46298</v>
      </c>
      <c r="F138" t="inlineStr">
        <is>
          <t>JÖNKÖPINGS LÄN</t>
        </is>
      </c>
      <c r="G138" t="inlineStr">
        <is>
          <t>SÄVSJÖ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46298</v>
      </c>
      <c r="F139" t="inlineStr">
        <is>
          <t>JÖNKÖPINGS LÄN</t>
        </is>
      </c>
      <c r="G139" t="inlineStr">
        <is>
          <t>SÄVSJÖ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46298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54275-2025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45964</v>
      </c>
      <c r="E141" s="1" t="n">
        <v>46298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46298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63920-2021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46298</v>
      </c>
      <c r="F143" t="inlineStr">
        <is>
          <t>JÖNKÖPINGS LÄN</t>
        </is>
      </c>
      <c r="G143" t="inlineStr">
        <is>
          <t>SÄVSJÖ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46298</v>
      </c>
      <c r="F144" t="inlineStr">
        <is>
          <t>JÖNKÖPINGS LÄN</t>
        </is>
      </c>
      <c r="G144" t="inlineStr">
        <is>
          <t>SÄVSJÖ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46298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46097</v>
      </c>
      <c r="E146" s="1" t="n">
        <v>46298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46298</v>
      </c>
      <c r="F147" t="inlineStr">
        <is>
          <t>JÖNKÖPINGS LÄN</t>
        </is>
      </c>
      <c r="G147" t="inlineStr">
        <is>
          <t>SÄVSJÖ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46298</v>
      </c>
      <c r="F148" t="inlineStr">
        <is>
          <t>JÖNKÖPINGS LÄN</t>
        </is>
      </c>
      <c r="G148" t="inlineStr">
        <is>
          <t>SÄVSJÖ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45228</v>
      </c>
      <c r="E149" s="1" t="n">
        <v>46298</v>
      </c>
      <c r="F149" t="inlineStr">
        <is>
          <t>JÖNKÖPINGS LÄN</t>
        </is>
      </c>
      <c r="G149" t="inlineStr">
        <is>
          <t>SÄVSJÖ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46298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46298</v>
      </c>
      <c r="F151" t="inlineStr">
        <is>
          <t>JÖNKÖPINGS LÄN</t>
        </is>
      </c>
      <c r="G151" t="inlineStr">
        <is>
          <t>SÄVSJÖ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46298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46298</v>
      </c>
      <c r="F153" t="inlineStr">
        <is>
          <t>JÖNKÖPINGS LÄN</t>
        </is>
      </c>
      <c r="G153" t="inlineStr">
        <is>
          <t>SÄVSJÖ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46298</v>
      </c>
      <c r="F154" t="inlineStr">
        <is>
          <t>JÖNKÖPINGS LÄN</t>
        </is>
      </c>
      <c r="G154" t="inlineStr">
        <is>
          <t>SÄVSJÖ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46298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46298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46298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46298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46298</v>
      </c>
      <c r="F159" t="inlineStr">
        <is>
          <t>JÖNKÖPINGS LÄN</t>
        </is>
      </c>
      <c r="G159" t="inlineStr">
        <is>
          <t>SÄVSJÖ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46298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46298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46298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46298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45102</v>
      </c>
      <c r="E164" s="1" t="n">
        <v>46298</v>
      </c>
      <c r="F164" t="inlineStr">
        <is>
          <t>JÖNKÖPINGS LÄN</t>
        </is>
      </c>
      <c r="G164" t="inlineStr">
        <is>
          <t>SÄVSJÖ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46298</v>
      </c>
      <c r="F165" t="inlineStr">
        <is>
          <t>JÖNKÖPINGS LÄN</t>
        </is>
      </c>
      <c r="G165" t="inlineStr">
        <is>
          <t>SÄVSJÖ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46298</v>
      </c>
      <c r="F166" t="inlineStr">
        <is>
          <t>JÖNKÖPINGS LÄN</t>
        </is>
      </c>
      <c r="G166" t="inlineStr">
        <is>
          <t>SÄVSJÖ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46298</v>
      </c>
      <c r="F167" t="inlineStr">
        <is>
          <t>JÖNKÖPINGS LÄN</t>
        </is>
      </c>
      <c r="G167" t="inlineStr">
        <is>
          <t>SÄVSJÖ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38914-2024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45547</v>
      </c>
      <c r="E168" s="1" t="n">
        <v>46298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45302</v>
      </c>
      <c r="E169" s="1" t="n">
        <v>46298</v>
      </c>
      <c r="F169" t="inlineStr">
        <is>
          <t>JÖNKÖPINGS LÄN</t>
        </is>
      </c>
      <c r="G169" t="inlineStr">
        <is>
          <t>SÄVSJÖ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61545-2021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46298</v>
      </c>
      <c r="F170" t="inlineStr">
        <is>
          <t>JÖNKÖPINGS LÄN</t>
        </is>
      </c>
      <c r="G170" t="inlineStr">
        <is>
          <t>SÄVSJÖ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46298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44838</v>
      </c>
      <c r="E172" s="1" t="n">
        <v>46298</v>
      </c>
      <c r="F172" t="inlineStr">
        <is>
          <t>JÖNKÖPINGS LÄN</t>
        </is>
      </c>
      <c r="G172" t="inlineStr">
        <is>
          <t>SÄVSJÖ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46298</v>
      </c>
      <c r="F173" t="inlineStr">
        <is>
          <t>JÖNKÖPINGS LÄN</t>
        </is>
      </c>
      <c r="G173" t="inlineStr">
        <is>
          <t>SÄVSJÖ</t>
        </is>
      </c>
      <c r="H173" t="inlineStr">
        <is>
          <t>Kyrkan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46298</v>
      </c>
      <c r="F174" t="inlineStr">
        <is>
          <t>JÖNKÖPINGS LÄN</t>
        </is>
      </c>
      <c r="G174" t="inlineStr">
        <is>
          <t>SÄVSJÖ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46298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46298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44929</v>
      </c>
      <c r="E177" s="1" t="n">
        <v>46298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45993</v>
      </c>
      <c r="E178" s="1" t="n">
        <v>46298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46298</v>
      </c>
      <c r="F179" t="inlineStr">
        <is>
          <t>JÖNKÖPINGS LÄN</t>
        </is>
      </c>
      <c r="G179" t="inlineStr">
        <is>
          <t>SÄVSJÖ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46298</v>
      </c>
      <c r="F180" t="inlineStr">
        <is>
          <t>JÖNKÖPINGS LÄN</t>
        </is>
      </c>
      <c r="G180" t="inlineStr">
        <is>
          <t>SÄVSJÖ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50627-2022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44866</v>
      </c>
      <c r="E181" s="1" t="n">
        <v>46298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46298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46298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46298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46298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46298</v>
      </c>
      <c r="F186" t="inlineStr">
        <is>
          <t>JÖNKÖPINGS LÄN</t>
        </is>
      </c>
      <c r="G186" t="inlineStr">
        <is>
          <t>SÄVSJÖ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46298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46298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46298</v>
      </c>
      <c r="F189" t="inlineStr">
        <is>
          <t>JÖNKÖPINGS LÄN</t>
        </is>
      </c>
      <c r="G189" t="inlineStr">
        <is>
          <t>SÄVSJÖ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46298</v>
      </c>
      <c r="F190" t="inlineStr">
        <is>
          <t>JÖNKÖPINGS LÄN</t>
        </is>
      </c>
      <c r="G190" t="inlineStr">
        <is>
          <t>SÄVSJÖ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46298</v>
      </c>
      <c r="F191" t="inlineStr">
        <is>
          <t>JÖNKÖPINGS LÄN</t>
        </is>
      </c>
      <c r="G191" t="inlineStr">
        <is>
          <t>SÄVSJÖ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46298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46298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46298</v>
      </c>
      <c r="F194" t="inlineStr">
        <is>
          <t>JÖNKÖPINGS LÄN</t>
        </is>
      </c>
      <c r="G194" t="inlineStr">
        <is>
          <t>SÄVSJÖ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46298</v>
      </c>
      <c r="F195" t="inlineStr">
        <is>
          <t>JÖNKÖPINGS LÄN</t>
        </is>
      </c>
      <c r="G195" t="inlineStr">
        <is>
          <t>SÄVSJÖ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46298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45879</v>
      </c>
      <c r="E197" s="1" t="n">
        <v>46298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46298</v>
      </c>
      <c r="F198" t="inlineStr">
        <is>
          <t>JÖNKÖPINGS LÄN</t>
        </is>
      </c>
      <c r="G198" t="inlineStr">
        <is>
          <t>SÄVSJÖ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45534</v>
      </c>
      <c r="E199" s="1" t="n">
        <v>46298</v>
      </c>
      <c r="F199" t="inlineStr">
        <is>
          <t>JÖNKÖPINGS LÄN</t>
        </is>
      </c>
      <c r="G199" t="inlineStr">
        <is>
          <t>SÄVSJÖ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45053</v>
      </c>
      <c r="E200" s="1" t="n">
        <v>46298</v>
      </c>
      <c r="F200" t="inlineStr">
        <is>
          <t>JÖNKÖPINGS LÄN</t>
        </is>
      </c>
      <c r="G200" t="inlineStr">
        <is>
          <t>SÄVSJÖ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46298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46298</v>
      </c>
      <c r="F202" t="inlineStr">
        <is>
          <t>JÖNKÖPINGS LÄN</t>
        </is>
      </c>
      <c r="G202" t="inlineStr">
        <is>
          <t>SÄVSJÖ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46298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45315</v>
      </c>
      <c r="E204" s="1" t="n">
        <v>46298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46298</v>
      </c>
      <c r="F205" t="inlineStr">
        <is>
          <t>JÖNKÖPINGS LÄN</t>
        </is>
      </c>
      <c r="G205" t="inlineStr">
        <is>
          <t>SÄVSJÖ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46298</v>
      </c>
      <c r="F206" t="inlineStr">
        <is>
          <t>JÖNKÖPINGS LÄN</t>
        </is>
      </c>
      <c r="G206" t="inlineStr">
        <is>
          <t>SÄVSJÖ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46298</v>
      </c>
      <c r="F207" t="inlineStr">
        <is>
          <t>JÖNKÖPINGS LÄN</t>
        </is>
      </c>
      <c r="G207" t="inlineStr">
        <is>
          <t>SÄVSJÖ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46298</v>
      </c>
      <c r="F208" t="inlineStr">
        <is>
          <t>JÖNKÖPINGS LÄN</t>
        </is>
      </c>
      <c r="G208" t="inlineStr">
        <is>
          <t>SÄVSJÖ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45110</v>
      </c>
      <c r="E209" s="1" t="n">
        <v>46298</v>
      </c>
      <c r="F209" t="inlineStr">
        <is>
          <t>JÖNKÖPINGS LÄN</t>
        </is>
      </c>
      <c r="G209" t="inlineStr">
        <is>
          <t>SÄVSJÖ</t>
        </is>
      </c>
      <c r="H209" t="inlineStr">
        <is>
          <t>Kommuner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46298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54827-2021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44474</v>
      </c>
      <c r="E211" s="1" t="n">
        <v>46298</v>
      </c>
      <c r="F211" t="inlineStr">
        <is>
          <t>JÖNKÖPINGS LÄN</t>
        </is>
      </c>
      <c r="G211" t="inlineStr">
        <is>
          <t>SÄVSJÖ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46298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46298</v>
      </c>
      <c r="F213" t="inlineStr">
        <is>
          <t>JÖNKÖPINGS LÄN</t>
        </is>
      </c>
      <c r="G213" t="inlineStr">
        <is>
          <t>SÄVSJÖ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46298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46298</v>
      </c>
      <c r="F215" t="inlineStr">
        <is>
          <t>JÖNKÖPINGS LÄN</t>
        </is>
      </c>
      <c r="G215" t="inlineStr">
        <is>
          <t>SÄVSJÖ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46298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46298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46298</v>
      </c>
      <c r="F218" t="inlineStr">
        <is>
          <t>JÖNKÖPINGS LÄN</t>
        </is>
      </c>
      <c r="G218" t="inlineStr">
        <is>
          <t>SÄVSJÖ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44935</v>
      </c>
      <c r="E219" s="1" t="n">
        <v>46298</v>
      </c>
      <c r="F219" t="inlineStr">
        <is>
          <t>JÖNKÖPINGS LÄN</t>
        </is>
      </c>
      <c r="G219" t="inlineStr">
        <is>
          <t>SÄVSJÖ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46298</v>
      </c>
      <c r="F220" t="inlineStr">
        <is>
          <t>JÖNKÖPINGS LÄN</t>
        </is>
      </c>
      <c r="G220" t="inlineStr">
        <is>
          <t>SÄVSJÖ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46298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46298</v>
      </c>
      <c r="F222" t="inlineStr">
        <is>
          <t>JÖNKÖPINGS LÄN</t>
        </is>
      </c>
      <c r="G222" t="inlineStr">
        <is>
          <t>SÄVSJÖ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44970</v>
      </c>
      <c r="E223" s="1" t="n">
        <v>46298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46298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50629-2022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44866</v>
      </c>
      <c r="E225" s="1" t="n">
        <v>46298</v>
      </c>
      <c r="F225" t="inlineStr">
        <is>
          <t>JÖNKÖPINGS LÄN</t>
        </is>
      </c>
      <c r="G225" t="inlineStr">
        <is>
          <t>SÄVSJÖ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46298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46298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46298</v>
      </c>
      <c r="F228" t="inlineStr">
        <is>
          <t>JÖNKÖPINGS LÄN</t>
        </is>
      </c>
      <c r="G228" t="inlineStr">
        <is>
          <t>SÄVSJÖ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46298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46298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46298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46298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46298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46298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46298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46298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46298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46298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46298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45301</v>
      </c>
      <c r="E240" s="1" t="n">
        <v>46298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46298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46298</v>
      </c>
      <c r="F242" t="inlineStr">
        <is>
          <t>JÖNKÖPINGS LÄN</t>
        </is>
      </c>
      <c r="G242" t="inlineStr">
        <is>
          <t>SÄVSJÖ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46298</v>
      </c>
      <c r="F243" t="inlineStr">
        <is>
          <t>JÖNKÖPINGS LÄN</t>
        </is>
      </c>
      <c r="G243" t="inlineStr">
        <is>
          <t>SÄVSJÖ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23816-2026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46165</v>
      </c>
      <c r="E244" s="1" t="n">
        <v>46298</v>
      </c>
      <c r="F244" t="inlineStr">
        <is>
          <t>JÖNKÖPINGS LÄN</t>
        </is>
      </c>
      <c r="G244" t="inlineStr">
        <is>
          <t>SÄVSJÖ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46298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46298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62961-2021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44505</v>
      </c>
      <c r="E247" s="1" t="n">
        <v>46298</v>
      </c>
      <c r="F247" t="inlineStr">
        <is>
          <t>JÖNKÖPINGS LÄN</t>
        </is>
      </c>
      <c r="G247" t="inlineStr">
        <is>
          <t>SÄVSJÖ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46298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46298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46298</v>
      </c>
      <c r="F250" t="inlineStr">
        <is>
          <t>JÖNKÖPINGS LÄN</t>
        </is>
      </c>
      <c r="G250" t="inlineStr">
        <is>
          <t>SÄVSJÖ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46298</v>
      </c>
      <c r="F251" t="inlineStr">
        <is>
          <t>JÖNKÖPINGS LÄN</t>
        </is>
      </c>
      <c r="G251" t="inlineStr">
        <is>
          <t>SÄVSJÖ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45669</v>
      </c>
      <c r="E252" s="1" t="n">
        <v>46298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30162-2023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45110</v>
      </c>
      <c r="E253" s="1" t="n">
        <v>46298</v>
      </c>
      <c r="F253" t="inlineStr">
        <is>
          <t>JÖNKÖPINGS LÄN</t>
        </is>
      </c>
      <c r="G253" t="inlineStr">
        <is>
          <t>SÄVSJÖ</t>
        </is>
      </c>
      <c r="H253" t="inlineStr">
        <is>
          <t>Kommuner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46298</v>
      </c>
      <c r="F254" t="inlineStr">
        <is>
          <t>JÖNKÖPINGS LÄN</t>
        </is>
      </c>
      <c r="G254" t="inlineStr">
        <is>
          <t>SÄVSJÖ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46298</v>
      </c>
      <c r="F255" t="inlineStr">
        <is>
          <t>JÖNKÖPINGS LÄN</t>
        </is>
      </c>
      <c r="G255" t="inlineStr">
        <is>
          <t>SÄVSJÖ</t>
        </is>
      </c>
      <c r="H255" t="inlineStr">
        <is>
          <t>Övriga Aktiebolag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46298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46298</v>
      </c>
      <c r="F257" t="inlineStr">
        <is>
          <t>JÖNKÖPINGS LÄN</t>
        </is>
      </c>
      <c r="G257" t="inlineStr">
        <is>
          <t>SÄVSJÖ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45067</v>
      </c>
      <c r="E258" s="1" t="n">
        <v>46298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46298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46298</v>
      </c>
      <c r="F260" t="inlineStr">
        <is>
          <t>JÖNKÖPINGS LÄN</t>
        </is>
      </c>
      <c r="G260" t="inlineStr">
        <is>
          <t>SÄVSJÖ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46298</v>
      </c>
      <c r="F261" t="inlineStr">
        <is>
          <t>JÖNKÖPINGS LÄN</t>
        </is>
      </c>
      <c r="G261" t="inlineStr">
        <is>
          <t>SÄVSJÖ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45771</v>
      </c>
      <c r="E262" s="1" t="n">
        <v>46298</v>
      </c>
      <c r="F262" t="inlineStr">
        <is>
          <t>JÖNKÖPINGS LÄN</t>
        </is>
      </c>
      <c r="G262" t="inlineStr">
        <is>
          <t>SÄVSJÖ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46298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46298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46298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46298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46298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46298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46298</v>
      </c>
      <c r="F269" t="inlineStr">
        <is>
          <t>JÖNKÖPINGS LÄN</t>
        </is>
      </c>
      <c r="G269" t="inlineStr">
        <is>
          <t>SÄVSJÖ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46298</v>
      </c>
      <c r="F270" t="inlineStr">
        <is>
          <t>JÖNKÖPINGS LÄN</t>
        </is>
      </c>
      <c r="G270" t="inlineStr">
        <is>
          <t>SÄVSJÖ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46298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44806</v>
      </c>
      <c r="E272" s="1" t="n">
        <v>46298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46298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46298</v>
      </c>
      <c r="F274" t="inlineStr">
        <is>
          <t>JÖNKÖPINGS LÄN</t>
        </is>
      </c>
      <c r="G274" t="inlineStr">
        <is>
          <t>SÄVSJÖ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46298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46298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45660</v>
      </c>
      <c r="E277" s="1" t="n">
        <v>46298</v>
      </c>
      <c r="F277" t="inlineStr">
        <is>
          <t>JÖNKÖPINGS LÄN</t>
        </is>
      </c>
      <c r="G277" t="inlineStr">
        <is>
          <t>SÄVSJÖ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46298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46298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46260</v>
      </c>
      <c r="E280" s="1" t="n">
        <v>46298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46298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44475</v>
      </c>
      <c r="E282" s="1" t="n">
        <v>46298</v>
      </c>
      <c r="F282" t="inlineStr">
        <is>
          <t>JÖNKÖPINGS LÄN</t>
        </is>
      </c>
      <c r="G282" t="inlineStr">
        <is>
          <t>SÄVSJÖ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46298</v>
      </c>
      <c r="F283" t="inlineStr">
        <is>
          <t>JÖNKÖPINGS LÄN</t>
        </is>
      </c>
      <c r="G283" t="inlineStr">
        <is>
          <t>SÄVSJÖ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46298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46298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46298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46298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46298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46298</v>
      </c>
      <c r="F289" t="inlineStr">
        <is>
          <t>JÖNKÖPINGS LÄN</t>
        </is>
      </c>
      <c r="G289" t="inlineStr">
        <is>
          <t>SÄVSJÖ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46298</v>
      </c>
      <c r="F290" t="inlineStr">
        <is>
          <t>JÖNKÖPINGS LÄN</t>
        </is>
      </c>
      <c r="G290" t="inlineStr">
        <is>
          <t>SÄVSJÖ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46266</v>
      </c>
      <c r="E291" s="1" t="n">
        <v>46298</v>
      </c>
      <c r="F291" t="inlineStr">
        <is>
          <t>JÖNKÖPINGS LÄN</t>
        </is>
      </c>
      <c r="G291" t="inlineStr">
        <is>
          <t>SÄVSJÖ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46298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46298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31721-2026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46226</v>
      </c>
      <c r="E294" s="1" t="n">
        <v>46298</v>
      </c>
      <c r="F294" t="inlineStr">
        <is>
          <t>JÖNKÖPINGS LÄN</t>
        </is>
      </c>
      <c r="G294" t="inlineStr">
        <is>
          <t>SÄVSJÖ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37079-2026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46273</v>
      </c>
      <c r="E295" s="1" t="n">
        <v>46298</v>
      </c>
      <c r="F295" t="inlineStr">
        <is>
          <t>JÖNKÖPINGS LÄN</t>
        </is>
      </c>
      <c r="G295" t="inlineStr">
        <is>
          <t>SÄVSJÖ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46298</v>
      </c>
      <c r="F296" t="inlineStr">
        <is>
          <t>JÖNKÖPINGS LÄN</t>
        </is>
      </c>
      <c r="G296" t="inlineStr">
        <is>
          <t>SÄVSJÖ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46298</v>
      </c>
      <c r="F297" t="inlineStr">
        <is>
          <t>JÖNKÖPINGS LÄN</t>
        </is>
      </c>
      <c r="G297" t="inlineStr">
        <is>
          <t>SÄVSJÖ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46298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46298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46298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46298</v>
      </c>
      <c r="F301" t="inlineStr">
        <is>
          <t>JÖNKÖPINGS LÄN</t>
        </is>
      </c>
      <c r="G301" t="inlineStr">
        <is>
          <t>SÄVSJÖ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45748</v>
      </c>
      <c r="E302" s="1" t="n">
        <v>46298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46298</v>
      </c>
      <c r="F303" t="inlineStr">
        <is>
          <t>JÖNKÖPINGS LÄN</t>
        </is>
      </c>
      <c r="G303" t="inlineStr">
        <is>
          <t>SÄVSJÖ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46298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46298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46298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46298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44872</v>
      </c>
      <c r="E308" s="1" t="n">
        <v>46298</v>
      </c>
      <c r="F308" t="inlineStr">
        <is>
          <t>JÖNKÖPINGS LÄN</t>
        </is>
      </c>
      <c r="G308" t="inlineStr">
        <is>
          <t>SÄVSJÖ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46298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46298</v>
      </c>
      <c r="F310" t="inlineStr">
        <is>
          <t>JÖNKÖPINGS LÄN</t>
        </is>
      </c>
      <c r="G310" t="inlineStr">
        <is>
          <t>SÄVSJÖ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46298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46298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46286</v>
      </c>
      <c r="E313" s="1" t="n">
        <v>46298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44590</v>
      </c>
      <c r="E314" s="1" t="n">
        <v>46298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46298</v>
      </c>
      <c r="F315" t="inlineStr">
        <is>
          <t>JÖNKÖPINGS LÄN</t>
        </is>
      </c>
      <c r="G315" t="inlineStr">
        <is>
          <t>SÄVSJÖ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46298</v>
      </c>
      <c r="F316" t="inlineStr">
        <is>
          <t>JÖNKÖPINGS LÄN</t>
        </is>
      </c>
      <c r="G316" t="inlineStr">
        <is>
          <t>SÄVSJÖ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38771-2026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46286</v>
      </c>
      <c r="E317" s="1" t="n">
        <v>46298</v>
      </c>
      <c r="F317" t="inlineStr">
        <is>
          <t>JÖNKÖPINGS LÄN</t>
        </is>
      </c>
      <c r="G317" t="inlineStr">
        <is>
          <t>SÄVSJÖ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46298</v>
      </c>
      <c r="F318" t="inlineStr">
        <is>
          <t>JÖNKÖPINGS LÄN</t>
        </is>
      </c>
      <c r="G318" t="inlineStr">
        <is>
          <t>SÄVSJÖ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45611</v>
      </c>
      <c r="E319" s="1" t="n">
        <v>46298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46298</v>
      </c>
      <c r="F320" t="inlineStr">
        <is>
          <t>JÖNKÖPINGS LÄN</t>
        </is>
      </c>
      <c r="G320" t="inlineStr">
        <is>
          <t>SÄVSJÖ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46298</v>
      </c>
      <c r="F321" t="inlineStr">
        <is>
          <t>JÖNKÖPINGS LÄN</t>
        </is>
      </c>
      <c r="G321" t="inlineStr">
        <is>
          <t>SÄVSJÖ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46298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46298</v>
      </c>
      <c r="F323" t="inlineStr">
        <is>
          <t>JÖNKÖPINGS LÄN</t>
        </is>
      </c>
      <c r="G323" t="inlineStr">
        <is>
          <t>SÄVSJÖ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45454</v>
      </c>
      <c r="E324" s="1" t="n">
        <v>46298</v>
      </c>
      <c r="F324" t="inlineStr">
        <is>
          <t>JÖNKÖPINGS LÄN</t>
        </is>
      </c>
      <c r="G324" t="inlineStr">
        <is>
          <t>SÄVSJÖ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46298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45253</v>
      </c>
      <c r="E326" s="1" t="n">
        <v>46298</v>
      </c>
      <c r="F326" t="inlineStr">
        <is>
          <t>JÖNKÖPINGS LÄN</t>
        </is>
      </c>
      <c r="G326" t="inlineStr">
        <is>
          <t>SÄVSJÖ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46298</v>
      </c>
      <c r="F327" t="inlineStr">
        <is>
          <t>JÖNKÖPINGS LÄN</t>
        </is>
      </c>
      <c r="G327" t="inlineStr">
        <is>
          <t>SÄVSJÖ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46248</v>
      </c>
      <c r="E328" s="1" t="n">
        <v>46298</v>
      </c>
      <c r="F328" t="inlineStr">
        <is>
          <t>JÖNKÖPINGS LÄN</t>
        </is>
      </c>
      <c r="G328" t="inlineStr">
        <is>
          <t>SÄVSJÖ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46298</v>
      </c>
      <c r="F329" t="inlineStr">
        <is>
          <t>JÖNKÖPINGS LÄN</t>
        </is>
      </c>
      <c r="G329" t="inlineStr">
        <is>
          <t>SÄVSJÖ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46298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46298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46298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46298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46298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46298</v>
      </c>
      <c r="F335" t="inlineStr">
        <is>
          <t>JÖNKÖPINGS LÄN</t>
        </is>
      </c>
      <c r="G335" t="inlineStr">
        <is>
          <t>SÄVSJÖ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46298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46298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46298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46298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46298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44944</v>
      </c>
      <c r="E341" s="1" t="n">
        <v>46298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45427</v>
      </c>
      <c r="E342" s="1" t="n">
        <v>46298</v>
      </c>
      <c r="F342" t="inlineStr">
        <is>
          <t>JÖNKÖPINGS LÄN</t>
        </is>
      </c>
      <c r="G342" t="inlineStr">
        <is>
          <t>SÄVSJÖ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44651</v>
      </c>
      <c r="E343" s="1" t="n">
        <v>46298</v>
      </c>
      <c r="F343" t="inlineStr">
        <is>
          <t>JÖNKÖPINGS LÄN</t>
        </is>
      </c>
      <c r="G343" t="inlineStr">
        <is>
          <t>SÄVSJÖ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46298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46298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46298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49292-2023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45210</v>
      </c>
      <c r="E347" s="1" t="n">
        <v>46298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45094</v>
      </c>
      <c r="E348" s="1" t="n">
        <v>46298</v>
      </c>
      <c r="F348" t="inlineStr">
        <is>
          <t>JÖNKÖPINGS LÄN</t>
        </is>
      </c>
      <c r="G348" t="inlineStr">
        <is>
          <t>SÄVSJÖ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45694</v>
      </c>
      <c r="E349" s="1" t="n">
        <v>46298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46298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46298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46298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46298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46298</v>
      </c>
      <c r="F354" t="inlineStr">
        <is>
          <t>JÖNKÖPINGS LÄN</t>
        </is>
      </c>
      <c r="G354" t="inlineStr">
        <is>
          <t>SÄVSJÖ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45623</v>
      </c>
      <c r="E355" s="1" t="n">
        <v>46298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45704</v>
      </c>
      <c r="E356" s="1" t="n">
        <v>46298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46298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46298</v>
      </c>
      <c r="F358" t="inlineStr">
        <is>
          <t>JÖNKÖPINGS LÄN</t>
        </is>
      </c>
      <c r="G358" t="inlineStr">
        <is>
          <t>SÄVSJÖ</t>
        </is>
      </c>
      <c r="I358" t="n">
        <v>19.9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46298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46298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46298</v>
      </c>
      <c r="F361" t="inlineStr">
        <is>
          <t>JÖNKÖPINGS LÄN</t>
        </is>
      </c>
      <c r="G361" t="inlineStr">
        <is>
          <t>SÄVSJÖ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46298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46298</v>
      </c>
      <c r="F363" t="inlineStr">
        <is>
          <t>JÖNKÖPINGS LÄN</t>
        </is>
      </c>
      <c r="G363" t="inlineStr">
        <is>
          <t>SÄVSJÖ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45261</v>
      </c>
      <c r="E364" s="1" t="n">
        <v>46298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46298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45301</v>
      </c>
      <c r="E366" s="1" t="n">
        <v>46298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46298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46298</v>
      </c>
      <c r="F368" t="inlineStr">
        <is>
          <t>JÖNKÖPINGS LÄN</t>
        </is>
      </c>
      <c r="G368" t="inlineStr">
        <is>
          <t>SÄVSJÖ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46298</v>
      </c>
      <c r="F369" t="inlineStr">
        <is>
          <t>JÖNKÖPINGS LÄN</t>
        </is>
      </c>
      <c r="G369" t="inlineStr">
        <is>
          <t>SÄVSJÖ</t>
        </is>
      </c>
      <c r="H369" t="inlineStr">
        <is>
          <t>Kyrkan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46298</v>
      </c>
      <c r="F370" t="inlineStr">
        <is>
          <t>JÖNKÖPINGS LÄN</t>
        </is>
      </c>
      <c r="G370" t="inlineStr">
        <is>
          <t>SÄVSJÖ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45118</v>
      </c>
      <c r="E371" s="1" t="n">
        <v>46298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46298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46298</v>
      </c>
      <c r="F373" t="inlineStr">
        <is>
          <t>JÖNKÖPINGS LÄN</t>
        </is>
      </c>
      <c r="G373" t="inlineStr">
        <is>
          <t>SÄVSJÖ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45066</v>
      </c>
      <c r="E374" s="1" t="n">
        <v>46298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46298</v>
      </c>
      <c r="F375" t="inlineStr">
        <is>
          <t>JÖNKÖPINGS LÄN</t>
        </is>
      </c>
      <c r="G375" t="inlineStr">
        <is>
          <t>SÄVSJÖ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46298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46298</v>
      </c>
      <c r="F377" t="inlineStr">
        <is>
          <t>JÖNKÖPINGS LÄN</t>
        </is>
      </c>
      <c r="G377" t="inlineStr">
        <is>
          <t>SÄVSJÖ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46298</v>
      </c>
      <c r="F378" t="inlineStr">
        <is>
          <t>JÖNKÖPINGS LÄN</t>
        </is>
      </c>
      <c r="G378" t="inlineStr">
        <is>
          <t>SÄVSJÖ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46298</v>
      </c>
      <c r="F379" t="inlineStr">
        <is>
          <t>JÖNKÖPINGS LÄN</t>
        </is>
      </c>
      <c r="G379" t="inlineStr">
        <is>
          <t>SÄVSJÖ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46298</v>
      </c>
      <c r="F380" t="inlineStr">
        <is>
          <t>JÖNKÖPINGS LÄN</t>
        </is>
      </c>
      <c r="G380" t="inlineStr">
        <is>
          <t>SÄVSJÖ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46298</v>
      </c>
      <c r="F381" t="inlineStr">
        <is>
          <t>JÖNKÖPINGS LÄN</t>
        </is>
      </c>
      <c r="G381" t="inlineStr">
        <is>
          <t>SÄVSJÖ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46298</v>
      </c>
      <c r="F382" t="inlineStr">
        <is>
          <t>JÖNKÖPINGS LÄN</t>
        </is>
      </c>
      <c r="G382" t="inlineStr">
        <is>
          <t>SÄVSJÖ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46298</v>
      </c>
      <c r="F383" t="inlineStr">
        <is>
          <t>JÖNKÖPINGS LÄN</t>
        </is>
      </c>
      <c r="G383" t="inlineStr">
        <is>
          <t>SÄVSJÖ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60805-2024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45644</v>
      </c>
      <c r="E384" s="1" t="n">
        <v>46298</v>
      </c>
      <c r="F384" t="inlineStr">
        <is>
          <t>JÖNKÖPINGS LÄN</t>
        </is>
      </c>
      <c r="G384" t="inlineStr">
        <is>
          <t>SÄVSJÖ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45573</v>
      </c>
      <c r="E385" s="1" t="n">
        <v>46298</v>
      </c>
      <c r="F385" t="inlineStr">
        <is>
          <t>JÖNKÖPINGS LÄN</t>
        </is>
      </c>
      <c r="G385" t="inlineStr">
        <is>
          <t>SÄVSJÖ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22733-2024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45448</v>
      </c>
      <c r="E386" s="1" t="n">
        <v>46298</v>
      </c>
      <c r="F386" t="inlineStr">
        <is>
          <t>JÖNKÖPINGS LÄN</t>
        </is>
      </c>
      <c r="G386" t="inlineStr">
        <is>
          <t>SÄVSJÖ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46298</v>
      </c>
      <c r="F387" t="inlineStr">
        <is>
          <t>JÖNKÖPINGS LÄN</t>
        </is>
      </c>
      <c r="G387" t="inlineStr">
        <is>
          <t>SÄVSJÖ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46298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46298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46298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46298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46298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46298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46298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46298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46298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46298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46298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46298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46298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46298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46298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46298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46298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46298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46298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46298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46298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46298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46298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46298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46298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46298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46298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46298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46298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46298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2026-10-03T02:01:04Z</dcterms:created>
  <dcterms:modified xmlns:dcterms="http://purl.org/dc/terms/" xmlns:xsi="http://www.w3.org/2001/XMLSchema-instance" xsi:type="dcterms:W3CDTF">2026-10-03T02:01:04Z</dcterms:modified>
</cp:coreProperties>
</file>