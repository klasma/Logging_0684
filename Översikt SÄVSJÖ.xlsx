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46257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46257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46257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46257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46257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46257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46257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61482-2024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45646</v>
      </c>
      <c r="E10" s="1" t="n">
        <v>46257</v>
      </c>
      <c r="F10" t="inlineStr">
        <is>
          <t>JÖNKÖPINGS LÄN</t>
        </is>
      </c>
      <c r="G10" t="inlineStr">
        <is>
          <t>SÄVSJÖ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61482-2024 artfynd.xlsx", "A 61482-2024")</f>
        <v/>
      </c>
      <c r="X10">
        <f>HYPERLINK("https://klasma.github.io/Logging_0684/kartor/A 61482-2024 karta.png", "A 61482-2024")</f>
        <v/>
      </c>
      <c r="Y10">
        <f>HYPERLINK("https://klasma.github.io/Logging_0684/kartor_geotiff/A 61482-2024 georefererad karta.tif", "A 61482-2024")</f>
        <v/>
      </c>
      <c r="AA10">
        <f>HYPERLINK("https://klasma.github.io/Logging_0684/klagomål/A 61482-2024 FSC-klagomål.docx", "A 61482-2024")</f>
        <v/>
      </c>
      <c r="AB10">
        <f>HYPERLINK("https://klasma.github.io/Logging_0684/klagomålsmail/A 61482-2024 FSC-klagomål mail.docx", "A 61482-2024")</f>
        <v/>
      </c>
      <c r="AC10">
        <f>HYPERLINK("https://klasma.github.io/Logging_0684/tillsyn/A 61482-2024 tillsynsbegäran.docx", "A 61482-2024")</f>
        <v/>
      </c>
      <c r="AD10">
        <f>HYPERLINK("https://klasma.github.io/Logging_0684/tillsynsmail/A 61482-2024 tillsynsbegäran mail.docx", "A 61482-2024")</f>
        <v/>
      </c>
    </row>
    <row r="11" ht="15" customHeight="1">
      <c r="A11" t="inlineStr">
        <is>
          <t>A 8198-2024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46257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Småfruktigt blågryn</t>
        </is>
      </c>
      <c r="W11">
        <f>HYPERLINK("https://klasma.github.io/Logging_0684/artfynd/A 8198-2024 artfynd.xlsx", "A 8198-2024")</f>
        <v/>
      </c>
      <c r="X11">
        <f>HYPERLINK("https://klasma.github.io/Logging_0684/kartor/A 8198-2024 karta.png", "A 8198-2024")</f>
        <v/>
      </c>
      <c r="Y11">
        <f>HYPERLINK("https://klasma.github.io/Logging_0684/kartor_geotiff/A 8198-2024 georefererad karta.tif", "A 8198-2024")</f>
        <v/>
      </c>
      <c r="AA11">
        <f>HYPERLINK("https://klasma.github.io/Logging_0684/klagomål/A 8198-2024 FSC-klagomål.docx", "A 8198-2024")</f>
        <v/>
      </c>
      <c r="AB11">
        <f>HYPERLINK("https://klasma.github.io/Logging_0684/klagomålsmail/A 8198-2024 FSC-klagomål mail.docx", "A 8198-2024")</f>
        <v/>
      </c>
      <c r="AC11">
        <f>HYPERLINK("https://klasma.github.io/Logging_0684/tillsyn/A 8198-2024 tillsynsbegäran.docx", "A 8198-2024")</f>
        <v/>
      </c>
      <c r="AD11">
        <f>HYPERLINK("https://klasma.github.io/Logging_0684/tillsynsmail/A 8198-2024 tillsynsbegäran mail.docx", "A 8198-2024")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46257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35136-2024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45530</v>
      </c>
      <c r="E13" s="1" t="n">
        <v>46257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35136-2024 artfynd.xlsx", "A 35136-2024")</f>
        <v/>
      </c>
      <c r="X13">
        <f>HYPERLINK("https://klasma.github.io/Logging_0684/kartor/A 35136-2024 karta.png", "A 35136-2024")</f>
        <v/>
      </c>
      <c r="Y13">
        <f>HYPERLINK("https://klasma.github.io/Logging_0684/kartor_geotiff/A 35136-2024 georefererad karta.tif", "A 35136-2024")</f>
        <v/>
      </c>
      <c r="AA13">
        <f>HYPERLINK("https://klasma.github.io/Logging_0684/klagomål/A 35136-2024 FSC-klagomål.docx", "A 35136-2024")</f>
        <v/>
      </c>
      <c r="AB13">
        <f>HYPERLINK("https://klasma.github.io/Logging_0684/klagomålsmail/A 35136-2024 FSC-klagomål mail.docx", "A 35136-2024")</f>
        <v/>
      </c>
      <c r="AC13">
        <f>HYPERLINK("https://klasma.github.io/Logging_0684/tillsyn/A 35136-2024 tillsynsbegäran.docx", "A 35136-2024")</f>
        <v/>
      </c>
      <c r="AD13">
        <f>HYPERLINK("https://klasma.github.io/Logging_0684/tillsynsmail/A 35136-2024 tillsynsbegäran mail.docx", "A 35136-2024")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46257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46257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46257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46257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46257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46257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46257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46257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46257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46257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46257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46257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46257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46257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46257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46257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46257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46257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46257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46257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46257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46257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46257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46257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46257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46257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46257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46257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46257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46257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46257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46257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46257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46257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46257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46257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46257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46257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46257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46257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46257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46257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46257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46257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46257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46257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46257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46257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46257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46257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46257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46257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46257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46257</v>
      </c>
      <c r="F67" t="inlineStr">
        <is>
          <t>JÖNKÖPINGS LÄN</t>
        </is>
      </c>
      <c r="G67" t="inlineStr">
        <is>
          <t>SÄVSJÖ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46257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46257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45548</v>
      </c>
      <c r="E70" s="1" t="n">
        <v>46257</v>
      </c>
      <c r="F70" t="inlineStr">
        <is>
          <t>JÖNKÖPINGS LÄN</t>
        </is>
      </c>
      <c r="G70" t="inlineStr">
        <is>
          <t>SÄVSJÖ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46257</v>
      </c>
      <c r="F71" t="inlineStr">
        <is>
          <t>JÖNKÖPINGS LÄN</t>
        </is>
      </c>
      <c r="G71" t="inlineStr">
        <is>
          <t>SÄVSJÖ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45365</v>
      </c>
      <c r="E72" s="1" t="n">
        <v>46257</v>
      </c>
      <c r="F72" t="inlineStr">
        <is>
          <t>JÖNKÖPINGS LÄN</t>
        </is>
      </c>
      <c r="G72" t="inlineStr">
        <is>
          <t>SÄVSJÖ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46257</v>
      </c>
      <c r="F73" t="inlineStr">
        <is>
          <t>JÖNKÖPINGS LÄN</t>
        </is>
      </c>
      <c r="G73" t="inlineStr">
        <is>
          <t>SÄVSJÖ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45460</v>
      </c>
      <c r="E74" s="1" t="n">
        <v>46257</v>
      </c>
      <c r="F74" t="inlineStr">
        <is>
          <t>JÖNKÖPINGS LÄN</t>
        </is>
      </c>
      <c r="G74" t="inlineStr">
        <is>
          <t>SÄVSJÖ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44929</v>
      </c>
      <c r="E75" s="1" t="n">
        <v>46257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46257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50627-2022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44866</v>
      </c>
      <c r="E77" s="1" t="n">
        <v>46257</v>
      </c>
      <c r="F77" t="inlineStr">
        <is>
          <t>JÖNKÖPINGS LÄN</t>
        </is>
      </c>
      <c r="G77" t="inlineStr">
        <is>
          <t>SÄVSJÖ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46257</v>
      </c>
      <c r="F78" t="inlineStr">
        <is>
          <t>JÖNKÖPINGS LÄN</t>
        </is>
      </c>
      <c r="G78" t="inlineStr">
        <is>
          <t>SÄVSJÖ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46257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45226</v>
      </c>
      <c r="E80" s="1" t="n">
        <v>46257</v>
      </c>
      <c r="F80" t="inlineStr">
        <is>
          <t>JÖNKÖPINGS LÄN</t>
        </is>
      </c>
      <c r="G80" t="inlineStr">
        <is>
          <t>SÄVSJÖ</t>
        </is>
      </c>
      <c r="H80" t="inlineStr">
        <is>
          <t>Kyrkan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46257</v>
      </c>
      <c r="F81" t="inlineStr">
        <is>
          <t>JÖNKÖPINGS LÄN</t>
        </is>
      </c>
      <c r="G81" t="inlineStr">
        <is>
          <t>SÄVSJÖ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46257</v>
      </c>
      <c r="F82" t="inlineStr">
        <is>
          <t>JÖNKÖPINGS LÄN</t>
        </is>
      </c>
      <c r="G82" t="inlineStr">
        <is>
          <t>SÄVSJÖ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46257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34287-2024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46257</v>
      </c>
      <c r="F84" t="inlineStr">
        <is>
          <t>JÖNKÖPINGS LÄN</t>
        </is>
      </c>
      <c r="G84" t="inlineStr">
        <is>
          <t>SÄVSJÖ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11337-2025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46257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46257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10865-2023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44991</v>
      </c>
      <c r="E87" s="1" t="n">
        <v>46257</v>
      </c>
      <c r="F87" t="inlineStr">
        <is>
          <t>JÖNKÖPINGS LÄN</t>
        </is>
      </c>
      <c r="G87" t="inlineStr">
        <is>
          <t>SÄVSJÖ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46307-2021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44442</v>
      </c>
      <c r="E88" s="1" t="n">
        <v>46257</v>
      </c>
      <c r="F88" t="inlineStr">
        <is>
          <t>JÖNKÖPINGS LÄN</t>
        </is>
      </c>
      <c r="G88" t="inlineStr">
        <is>
          <t>SÄVSJÖ</t>
        </is>
      </c>
      <c r="H88" t="inlineStr">
        <is>
          <t>Kommuner</t>
        </is>
      </c>
      <c r="I88" t="n">
        <v>25.6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46257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46257</v>
      </c>
      <c r="F90" t="inlineStr">
        <is>
          <t>JÖNKÖPINGS LÄN</t>
        </is>
      </c>
      <c r="G90" t="inlineStr">
        <is>
          <t>SÄVSJÖ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46257</v>
      </c>
      <c r="F91" t="inlineStr">
        <is>
          <t>JÖNKÖPINGS LÄN</t>
        </is>
      </c>
      <c r="G91" t="inlineStr">
        <is>
          <t>SÄVSJÖ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45634</v>
      </c>
      <c r="E92" s="1" t="n">
        <v>46257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45433</v>
      </c>
      <c r="E93" s="1" t="n">
        <v>46257</v>
      </c>
      <c r="F93" t="inlineStr">
        <is>
          <t>JÖNKÖPINGS LÄN</t>
        </is>
      </c>
      <c r="G93" t="inlineStr">
        <is>
          <t>SÄVSJÖ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46257</v>
      </c>
      <c r="F94" t="inlineStr">
        <is>
          <t>JÖNKÖPINGS LÄN</t>
        </is>
      </c>
      <c r="G94" t="inlineStr">
        <is>
          <t>SÄVSJÖ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46257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46257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46257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45534</v>
      </c>
      <c r="E98" s="1" t="n">
        <v>46257</v>
      </c>
      <c r="F98" t="inlineStr">
        <is>
          <t>JÖNKÖPINGS LÄN</t>
        </is>
      </c>
      <c r="G98" t="inlineStr">
        <is>
          <t>SÄVSJÖ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45053</v>
      </c>
      <c r="E99" s="1" t="n">
        <v>46257</v>
      </c>
      <c r="F99" t="inlineStr">
        <is>
          <t>JÖNKÖPINGS LÄN</t>
        </is>
      </c>
      <c r="G99" t="inlineStr">
        <is>
          <t>SÄVSJÖ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45086</v>
      </c>
      <c r="E100" s="1" t="n">
        <v>46257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29386-2025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46257</v>
      </c>
      <c r="F101" t="inlineStr">
        <is>
          <t>JÖNKÖPINGS LÄN</t>
        </is>
      </c>
      <c r="G101" t="inlineStr">
        <is>
          <t>SÄVSJÖ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46257</v>
      </c>
      <c r="F102" t="inlineStr">
        <is>
          <t>JÖNKÖPINGS LÄN</t>
        </is>
      </c>
      <c r="G102" t="inlineStr">
        <is>
          <t>SÄVSJÖ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46257</v>
      </c>
      <c r="F103" t="inlineStr">
        <is>
          <t>JÖNKÖPINGS LÄN</t>
        </is>
      </c>
      <c r="G103" t="inlineStr">
        <is>
          <t>SÄVSJÖ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46257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46257</v>
      </c>
      <c r="F105" t="inlineStr">
        <is>
          <t>JÖNKÖPINGS LÄN</t>
        </is>
      </c>
      <c r="G105" t="inlineStr">
        <is>
          <t>SÄVSJÖ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46257</v>
      </c>
      <c r="F106" t="inlineStr">
        <is>
          <t>JÖNKÖPINGS LÄN</t>
        </is>
      </c>
      <c r="G106" t="inlineStr">
        <is>
          <t>SÄVSJÖ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46257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45593</v>
      </c>
      <c r="E108" s="1" t="n">
        <v>46257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46257</v>
      </c>
      <c r="F109" t="inlineStr">
        <is>
          <t>JÖNKÖPINGS LÄN</t>
        </is>
      </c>
      <c r="G109" t="inlineStr">
        <is>
          <t>SÄVSJÖ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46257</v>
      </c>
      <c r="F110" t="inlineStr">
        <is>
          <t>JÖNKÖPINGS LÄN</t>
        </is>
      </c>
      <c r="G110" t="inlineStr">
        <is>
          <t>SÄVSJÖ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46257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46257</v>
      </c>
      <c r="F112" t="inlineStr">
        <is>
          <t>JÖNKÖPINGS LÄN</t>
        </is>
      </c>
      <c r="G112" t="inlineStr">
        <is>
          <t>SÄVSJÖ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46257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45001</v>
      </c>
      <c r="E114" s="1" t="n">
        <v>46257</v>
      </c>
      <c r="F114" t="inlineStr">
        <is>
          <t>JÖNKÖPINGS LÄN</t>
        </is>
      </c>
      <c r="G114" t="inlineStr">
        <is>
          <t>SÄVSJÖ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46257</v>
      </c>
      <c r="F115" t="inlineStr">
        <is>
          <t>JÖNKÖPINGS LÄN</t>
        </is>
      </c>
      <c r="G115" t="inlineStr">
        <is>
          <t>SÄVSJÖ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40111-2022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46257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45015</v>
      </c>
      <c r="E117" s="1" t="n">
        <v>46257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45419</v>
      </c>
      <c r="E118" s="1" t="n">
        <v>46257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46257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46257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46257</v>
      </c>
      <c r="F121" t="inlineStr">
        <is>
          <t>JÖNKÖPINGS LÄN</t>
        </is>
      </c>
      <c r="G121" t="inlineStr">
        <is>
          <t>SÄVSJÖ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45320</v>
      </c>
      <c r="E122" s="1" t="n">
        <v>46257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46257</v>
      </c>
      <c r="F123" t="inlineStr">
        <is>
          <t>JÖNKÖPINGS LÄN</t>
        </is>
      </c>
      <c r="G123" t="inlineStr">
        <is>
          <t>SÄVSJÖ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45037</v>
      </c>
      <c r="E124" s="1" t="n">
        <v>46257</v>
      </c>
      <c r="F124" t="inlineStr">
        <is>
          <t>JÖNKÖPINGS LÄN</t>
        </is>
      </c>
      <c r="G124" t="inlineStr">
        <is>
          <t>SÄVSJÖ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46257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46257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46257</v>
      </c>
      <c r="F127" t="inlineStr">
        <is>
          <t>JÖNKÖPINGS LÄN</t>
        </is>
      </c>
      <c r="G127" t="inlineStr">
        <is>
          <t>SÄVSJÖ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46257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46257</v>
      </c>
      <c r="F129" t="inlineStr">
        <is>
          <t>JÖNKÖPINGS LÄN</t>
        </is>
      </c>
      <c r="G129" t="inlineStr">
        <is>
          <t>SÄVSJÖ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46257</v>
      </c>
      <c r="F130" t="inlineStr">
        <is>
          <t>JÖNKÖPINGS LÄN</t>
        </is>
      </c>
      <c r="G130" t="inlineStr">
        <is>
          <t>SÄVSJÖ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46257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46257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46257</v>
      </c>
      <c r="F133" t="inlineStr">
        <is>
          <t>JÖNKÖPINGS LÄN</t>
        </is>
      </c>
      <c r="G133" t="inlineStr">
        <is>
          <t>SÄVSJÖ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46257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7285-2023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44970</v>
      </c>
      <c r="E135" s="1" t="n">
        <v>46257</v>
      </c>
      <c r="F135" t="inlineStr">
        <is>
          <t>JÖNKÖPINGS LÄN</t>
        </is>
      </c>
      <c r="G135" t="inlineStr">
        <is>
          <t>SÄVSJÖ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50629-2022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44866</v>
      </c>
      <c r="E136" s="1" t="n">
        <v>46257</v>
      </c>
      <c r="F136" t="inlineStr">
        <is>
          <t>JÖNKÖPINGS LÄN</t>
        </is>
      </c>
      <c r="G136" t="inlineStr">
        <is>
          <t>SÄVSJÖ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46257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46257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46257</v>
      </c>
      <c r="F139" t="inlineStr">
        <is>
          <t>JÖNKÖPINGS LÄN</t>
        </is>
      </c>
      <c r="G139" t="inlineStr">
        <is>
          <t>SÄVSJÖ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7917-2024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45350</v>
      </c>
      <c r="E140" s="1" t="n">
        <v>46257</v>
      </c>
      <c r="F140" t="inlineStr">
        <is>
          <t>JÖNKÖPINGS LÄN</t>
        </is>
      </c>
      <c r="G140" t="inlineStr">
        <is>
          <t>SÄVSJÖ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44988</v>
      </c>
      <c r="E141" s="1" t="n">
        <v>46257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46257</v>
      </c>
      <c r="F142" t="inlineStr">
        <is>
          <t>JÖNKÖPINGS LÄN</t>
        </is>
      </c>
      <c r="G142" t="inlineStr">
        <is>
          <t>SÄVSJÖ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46257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46257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46257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52363-2025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45953</v>
      </c>
      <c r="E146" s="1" t="n">
        <v>46257</v>
      </c>
      <c r="F146" t="inlineStr">
        <is>
          <t>JÖNKÖPINGS LÄN</t>
        </is>
      </c>
      <c r="G146" t="inlineStr">
        <is>
          <t>SÄVSJÖ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45534</v>
      </c>
      <c r="E147" s="1" t="n">
        <v>46257</v>
      </c>
      <c r="F147" t="inlineStr">
        <is>
          <t>JÖNKÖPINGS LÄN</t>
        </is>
      </c>
      <c r="G147" t="inlineStr">
        <is>
          <t>SÄVSJÖ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46257</v>
      </c>
      <c r="F148" t="inlineStr">
        <is>
          <t>JÖNKÖPINGS LÄN</t>
        </is>
      </c>
      <c r="G148" t="inlineStr">
        <is>
          <t>SÄVSJÖ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46257</v>
      </c>
      <c r="F149" t="inlineStr">
        <is>
          <t>JÖNKÖPINGS LÄN</t>
        </is>
      </c>
      <c r="G149" t="inlineStr">
        <is>
          <t>SÄVSJÖ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46257</v>
      </c>
      <c r="F150" t="inlineStr">
        <is>
          <t>JÖNKÖPINGS LÄN</t>
        </is>
      </c>
      <c r="G150" t="inlineStr">
        <is>
          <t>SÄVSJÖ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46257</v>
      </c>
      <c r="F151" t="inlineStr">
        <is>
          <t>JÖNKÖPINGS LÄN</t>
        </is>
      </c>
      <c r="G151" t="inlineStr">
        <is>
          <t>SÄVSJÖ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46257</v>
      </c>
      <c r="F152" t="inlineStr">
        <is>
          <t>JÖNKÖPINGS LÄN</t>
        </is>
      </c>
      <c r="G152" t="inlineStr">
        <is>
          <t>SÄVSJÖ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46257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46257</v>
      </c>
      <c r="F154" t="inlineStr">
        <is>
          <t>JÖNKÖPINGS LÄN</t>
        </is>
      </c>
      <c r="G154" t="inlineStr">
        <is>
          <t>SÄVSJÖ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46257</v>
      </c>
      <c r="F155" t="inlineStr">
        <is>
          <t>JÖNKÖPINGS LÄN</t>
        </is>
      </c>
      <c r="G155" t="inlineStr">
        <is>
          <t>SÄVSJÖ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46257</v>
      </c>
      <c r="F156" t="inlineStr">
        <is>
          <t>JÖNKÖPINGS LÄN</t>
        </is>
      </c>
      <c r="G156" t="inlineStr">
        <is>
          <t>SÄVSJÖ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46257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46257</v>
      </c>
      <c r="F158" t="inlineStr">
        <is>
          <t>JÖNKÖPINGS LÄN</t>
        </is>
      </c>
      <c r="G158" t="inlineStr">
        <is>
          <t>SÄVSJÖ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46257</v>
      </c>
      <c r="F159" t="inlineStr">
        <is>
          <t>JÖNKÖPINGS LÄN</t>
        </is>
      </c>
      <c r="G159" t="inlineStr">
        <is>
          <t>SÄVSJÖ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45197</v>
      </c>
      <c r="E160" s="1" t="n">
        <v>46257</v>
      </c>
      <c r="F160" t="inlineStr">
        <is>
          <t>JÖNKÖPINGS LÄN</t>
        </is>
      </c>
      <c r="G160" t="inlineStr">
        <is>
          <t>SÄVSJÖ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55801-2021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46257</v>
      </c>
      <c r="F161" t="inlineStr">
        <is>
          <t>JÖNKÖPINGS LÄN</t>
        </is>
      </c>
      <c r="G161" t="inlineStr">
        <is>
          <t>SÄVSJÖ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45964</v>
      </c>
      <c r="E162" s="1" t="n">
        <v>46257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46257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46257</v>
      </c>
      <c r="F164" t="inlineStr">
        <is>
          <t>JÖNKÖPINGS LÄN</t>
        </is>
      </c>
      <c r="G164" t="inlineStr">
        <is>
          <t>SÄVSJÖ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46257</v>
      </c>
      <c r="F165" t="inlineStr">
        <is>
          <t>JÖNKÖPINGS LÄN</t>
        </is>
      </c>
      <c r="G165" t="inlineStr">
        <is>
          <t>SÄVSJÖ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46257</v>
      </c>
      <c r="F166" t="inlineStr">
        <is>
          <t>JÖNKÖPINGS LÄN</t>
        </is>
      </c>
      <c r="G166" t="inlineStr">
        <is>
          <t>SÄVSJÖ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45634</v>
      </c>
      <c r="E167" s="1" t="n">
        <v>46257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45634</v>
      </c>
      <c r="E168" s="1" t="n">
        <v>46257</v>
      </c>
      <c r="F168" t="inlineStr">
        <is>
          <t>JÖNKÖPINGS LÄN</t>
        </is>
      </c>
      <c r="G168" t="inlineStr">
        <is>
          <t>SÄVSJÖ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46257</v>
      </c>
      <c r="F169" t="inlineStr">
        <is>
          <t>JÖNKÖPINGS LÄN</t>
        </is>
      </c>
      <c r="G169" t="inlineStr">
        <is>
          <t>SÄVSJÖ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46257</v>
      </c>
      <c r="F170" t="inlineStr">
        <is>
          <t>JÖNKÖPINGS LÄN</t>
        </is>
      </c>
      <c r="G170" t="inlineStr">
        <is>
          <t>SÄVSJÖ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46257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45407</v>
      </c>
      <c r="E172" s="1" t="n">
        <v>46257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46257</v>
      </c>
      <c r="F173" t="inlineStr">
        <is>
          <t>JÖNKÖPINGS LÄN</t>
        </is>
      </c>
      <c r="G173" t="inlineStr">
        <is>
          <t>SÄVSJÖ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907-2024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45301</v>
      </c>
      <c r="E174" s="1" t="n">
        <v>46257</v>
      </c>
      <c r="F174" t="inlineStr">
        <is>
          <t>JÖNKÖPINGS LÄN</t>
        </is>
      </c>
      <c r="G174" t="inlineStr">
        <is>
          <t>SÄVSJÖ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46257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46257</v>
      </c>
      <c r="F176" t="inlineStr">
        <is>
          <t>JÖNKÖPINGS LÄN</t>
        </is>
      </c>
      <c r="G176" t="inlineStr">
        <is>
          <t>SÄVSJÖ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46257</v>
      </c>
      <c r="F177" t="inlineStr">
        <is>
          <t>JÖNKÖPINGS LÄN</t>
        </is>
      </c>
      <c r="G177" t="inlineStr">
        <is>
          <t>SÄVSJÖ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46257</v>
      </c>
      <c r="F178" t="inlineStr">
        <is>
          <t>JÖNKÖPINGS LÄN</t>
        </is>
      </c>
      <c r="G178" t="inlineStr">
        <is>
          <t>SÄVSJÖ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45315</v>
      </c>
      <c r="E179" s="1" t="n">
        <v>46257</v>
      </c>
      <c r="F179" t="inlineStr">
        <is>
          <t>JÖNKÖPINGS LÄN</t>
        </is>
      </c>
      <c r="G179" t="inlineStr">
        <is>
          <t>SÄVSJÖ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45094</v>
      </c>
      <c r="E180" s="1" t="n">
        <v>46257</v>
      </c>
      <c r="F180" t="inlineStr">
        <is>
          <t>JÖNKÖPINGS LÄN</t>
        </is>
      </c>
      <c r="G180" t="inlineStr">
        <is>
          <t>SÄVSJÖ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46257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45455</v>
      </c>
      <c r="E182" s="1" t="n">
        <v>46257</v>
      </c>
      <c r="F182" t="inlineStr">
        <is>
          <t>JÖNKÖPINGS LÄN</t>
        </is>
      </c>
      <c r="G182" t="inlineStr">
        <is>
          <t>SÄVSJÖ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62961-2021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44505</v>
      </c>
      <c r="E183" s="1" t="n">
        <v>46257</v>
      </c>
      <c r="F183" t="inlineStr">
        <is>
          <t>JÖNKÖPINGS LÄN</t>
        </is>
      </c>
      <c r="G183" t="inlineStr">
        <is>
          <t>SÄVSJÖ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45446</v>
      </c>
      <c r="E184" s="1" t="n">
        <v>46257</v>
      </c>
      <c r="F184" t="inlineStr">
        <is>
          <t>JÖNKÖPINGS LÄN</t>
        </is>
      </c>
      <c r="G184" t="inlineStr">
        <is>
          <t>SÄVSJÖ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46257</v>
      </c>
      <c r="F185" t="inlineStr">
        <is>
          <t>JÖNKÖPINGS LÄN</t>
        </is>
      </c>
      <c r="G185" t="inlineStr">
        <is>
          <t>SÄVSJÖ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45978</v>
      </c>
      <c r="E186" s="1" t="n">
        <v>46257</v>
      </c>
      <c r="F186" t="inlineStr">
        <is>
          <t>JÖNKÖPINGS LÄN</t>
        </is>
      </c>
      <c r="G186" t="inlineStr">
        <is>
          <t>SÄVSJÖ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46257</v>
      </c>
      <c r="F187" t="inlineStr">
        <is>
          <t>JÖNKÖPINGS LÄN</t>
        </is>
      </c>
      <c r="G187" t="inlineStr">
        <is>
          <t>SÄVSJÖ</t>
        </is>
      </c>
      <c r="H187" t="inlineStr">
        <is>
          <t>Kyrkan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46257</v>
      </c>
      <c r="F188" t="inlineStr">
        <is>
          <t>JÖNKÖPINGS LÄN</t>
        </is>
      </c>
      <c r="G188" t="inlineStr">
        <is>
          <t>SÄVSJÖ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46257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46257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46257</v>
      </c>
      <c r="F191" t="inlineStr">
        <is>
          <t>JÖNKÖPINGS LÄN</t>
        </is>
      </c>
      <c r="G191" t="inlineStr">
        <is>
          <t>SÄVSJÖ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46257</v>
      </c>
      <c r="F192" t="inlineStr">
        <is>
          <t>JÖNKÖPINGS LÄN</t>
        </is>
      </c>
      <c r="G192" t="inlineStr">
        <is>
          <t>SÄVSJÖ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46257</v>
      </c>
      <c r="F193" t="inlineStr">
        <is>
          <t>JÖNKÖPINGS LÄN</t>
        </is>
      </c>
      <c r="G193" t="inlineStr">
        <is>
          <t>SÄVSJÖ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46257</v>
      </c>
      <c r="F194" t="inlineStr">
        <is>
          <t>JÖNKÖPINGS LÄN</t>
        </is>
      </c>
      <c r="G194" t="inlineStr">
        <is>
          <t>SÄVSJÖ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45669</v>
      </c>
      <c r="E195" s="1" t="n">
        <v>46257</v>
      </c>
      <c r="F195" t="inlineStr">
        <is>
          <t>JÖNKÖPINGS LÄN</t>
        </is>
      </c>
      <c r="G195" t="inlineStr">
        <is>
          <t>SÄVSJÖ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46257</v>
      </c>
      <c r="F196" t="inlineStr">
        <is>
          <t>JÖNKÖPINGS LÄN</t>
        </is>
      </c>
      <c r="G196" t="inlineStr">
        <is>
          <t>SÄVSJÖ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51998-2024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45607</v>
      </c>
      <c r="E197" s="1" t="n">
        <v>46257</v>
      </c>
      <c r="F197" t="inlineStr">
        <is>
          <t>JÖNKÖPINGS LÄN</t>
        </is>
      </c>
      <c r="G197" t="inlineStr">
        <is>
          <t>SÄVSJÖ</t>
        </is>
      </c>
      <c r="H197" t="inlineStr">
        <is>
          <t>Övriga Aktiebolag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46257</v>
      </c>
      <c r="F198" t="inlineStr">
        <is>
          <t>JÖNKÖPINGS LÄN</t>
        </is>
      </c>
      <c r="G198" t="inlineStr">
        <is>
          <t>SÄVSJÖ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45768</v>
      </c>
      <c r="E199" s="1" t="n">
        <v>46257</v>
      </c>
      <c r="F199" t="inlineStr">
        <is>
          <t>JÖNKÖPINGS LÄN</t>
        </is>
      </c>
      <c r="G199" t="inlineStr">
        <is>
          <t>SÄVSJÖ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46257</v>
      </c>
      <c r="F200" t="inlineStr">
        <is>
          <t>JÖNKÖPINGS LÄN</t>
        </is>
      </c>
      <c r="G200" t="inlineStr">
        <is>
          <t>SÄVSJÖ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45418</v>
      </c>
      <c r="E201" s="1" t="n">
        <v>46257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60331-2025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45993</v>
      </c>
      <c r="E202" s="1" t="n">
        <v>46257</v>
      </c>
      <c r="F202" t="inlineStr">
        <is>
          <t>JÖNKÖPINGS LÄN</t>
        </is>
      </c>
      <c r="G202" t="inlineStr">
        <is>
          <t>SÄVSJÖ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46257</v>
      </c>
      <c r="F203" t="inlineStr">
        <is>
          <t>JÖNKÖPINGS LÄN</t>
        </is>
      </c>
      <c r="G203" t="inlineStr">
        <is>
          <t>SÄVSJÖ</t>
        </is>
      </c>
      <c r="H203" t="inlineStr">
        <is>
          <t>Kyrkan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45067</v>
      </c>
      <c r="E204" s="1" t="n">
        <v>46257</v>
      </c>
      <c r="F204" t="inlineStr">
        <is>
          <t>JÖNKÖPINGS LÄN</t>
        </is>
      </c>
      <c r="G204" t="inlineStr">
        <is>
          <t>SÄVSJÖ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32177-2022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44781</v>
      </c>
      <c r="E205" s="1" t="n">
        <v>46257</v>
      </c>
      <c r="F205" t="inlineStr">
        <is>
          <t>JÖNKÖPINGS LÄN</t>
        </is>
      </c>
      <c r="G205" t="inlineStr">
        <is>
          <t>SÄVSJÖ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46257</v>
      </c>
      <c r="F206" t="inlineStr">
        <is>
          <t>JÖNKÖPINGS LÄN</t>
        </is>
      </c>
      <c r="G206" t="inlineStr">
        <is>
          <t>SÄVSJÖ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45067</v>
      </c>
      <c r="E207" s="1" t="n">
        <v>46257</v>
      </c>
      <c r="F207" t="inlineStr">
        <is>
          <t>JÖNKÖPINGS LÄN</t>
        </is>
      </c>
      <c r="G207" t="inlineStr">
        <is>
          <t>SÄVSJÖ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30162-2023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45110</v>
      </c>
      <c r="E208" s="1" t="n">
        <v>46257</v>
      </c>
      <c r="F208" t="inlineStr">
        <is>
          <t>JÖNKÖPINGS LÄN</t>
        </is>
      </c>
      <c r="G208" t="inlineStr">
        <is>
          <t>SÄVSJÖ</t>
        </is>
      </c>
      <c r="H208" t="inlineStr">
        <is>
          <t>Kommuner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54827-2021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44474</v>
      </c>
      <c r="E209" s="1" t="n">
        <v>46257</v>
      </c>
      <c r="F209" t="inlineStr">
        <is>
          <t>JÖNKÖPINGS LÄN</t>
        </is>
      </c>
      <c r="G209" t="inlineStr">
        <is>
          <t>SÄVSJÖ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46257</v>
      </c>
      <c r="F210" t="inlineStr">
        <is>
          <t>JÖNKÖPINGS LÄN</t>
        </is>
      </c>
      <c r="G210" t="inlineStr">
        <is>
          <t>SÄVSJÖ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46257</v>
      </c>
      <c r="F211" t="inlineStr">
        <is>
          <t>JÖNKÖPINGS LÄN</t>
        </is>
      </c>
      <c r="G211" t="inlineStr">
        <is>
          <t>SÄVSJÖ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46257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19769-2025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46257</v>
      </c>
      <c r="F213" t="inlineStr">
        <is>
          <t>JÖNKÖPINGS LÄN</t>
        </is>
      </c>
      <c r="G213" t="inlineStr">
        <is>
          <t>SÄVSJÖ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47405-2021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44447</v>
      </c>
      <c r="E214" s="1" t="n">
        <v>46257</v>
      </c>
      <c r="F214" t="inlineStr">
        <is>
          <t>JÖNKÖPINGS LÄN</t>
        </is>
      </c>
      <c r="G214" t="inlineStr">
        <is>
          <t>SÄVSJÖ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46257</v>
      </c>
      <c r="F215" t="inlineStr">
        <is>
          <t>JÖNKÖPINGS LÄN</t>
        </is>
      </c>
      <c r="G215" t="inlineStr">
        <is>
          <t>SÄVSJÖ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44601</v>
      </c>
      <c r="E216" s="1" t="n">
        <v>46257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45755</v>
      </c>
      <c r="E217" s="1" t="n">
        <v>46257</v>
      </c>
      <c r="F217" t="inlineStr">
        <is>
          <t>JÖNKÖPINGS LÄN</t>
        </is>
      </c>
      <c r="G217" t="inlineStr">
        <is>
          <t>SÄVSJÖ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62870-2025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46008</v>
      </c>
      <c r="E218" s="1" t="n">
        <v>46257</v>
      </c>
      <c r="F218" t="inlineStr">
        <is>
          <t>JÖNKÖPINGS LÄN</t>
        </is>
      </c>
      <c r="G218" t="inlineStr">
        <is>
          <t>SÄVSJÖ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46257</v>
      </c>
      <c r="F219" t="inlineStr">
        <is>
          <t>JÖNKÖPINGS LÄN</t>
        </is>
      </c>
      <c r="G219" t="inlineStr">
        <is>
          <t>SÄVSJÖ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46257</v>
      </c>
      <c r="F220" t="inlineStr">
        <is>
          <t>JÖNKÖPINGS LÄN</t>
        </is>
      </c>
      <c r="G220" t="inlineStr">
        <is>
          <t>SÄVSJÖ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63920-2021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44509</v>
      </c>
      <c r="E221" s="1" t="n">
        <v>46257</v>
      </c>
      <c r="F221" t="inlineStr">
        <is>
          <t>JÖNKÖPINGS LÄN</t>
        </is>
      </c>
      <c r="G221" t="inlineStr">
        <is>
          <t>SÄVSJÖ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46257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46257</v>
      </c>
      <c r="F223" t="inlineStr">
        <is>
          <t>JÖNKÖPINGS LÄN</t>
        </is>
      </c>
      <c r="G223" t="inlineStr">
        <is>
          <t>SÄVSJÖ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63599-2025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46257</v>
      </c>
      <c r="F224" t="inlineStr">
        <is>
          <t>JÖNKÖPINGS LÄN</t>
        </is>
      </c>
      <c r="G224" t="inlineStr">
        <is>
          <t>SÄVSJÖ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46257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46257</v>
      </c>
      <c r="F226" t="inlineStr">
        <is>
          <t>JÖNKÖPINGS LÄN</t>
        </is>
      </c>
      <c r="G226" t="inlineStr">
        <is>
          <t>SÄVSJÖ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46257</v>
      </c>
      <c r="F227" t="inlineStr">
        <is>
          <t>JÖNKÖPINGS LÄN</t>
        </is>
      </c>
      <c r="G227" t="inlineStr">
        <is>
          <t>SÄVSJÖ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46257</v>
      </c>
      <c r="F228" t="inlineStr">
        <is>
          <t>JÖNKÖPINGS LÄN</t>
        </is>
      </c>
      <c r="G228" t="inlineStr">
        <is>
          <t>SÄVSJÖ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46017</v>
      </c>
      <c r="E229" s="1" t="n">
        <v>46257</v>
      </c>
      <c r="F229" t="inlineStr">
        <is>
          <t>JÖNKÖPINGS LÄN</t>
        </is>
      </c>
      <c r="G229" t="inlineStr">
        <is>
          <t>SÄVSJÖ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63752-2025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46017</v>
      </c>
      <c r="E230" s="1" t="n">
        <v>46257</v>
      </c>
      <c r="F230" t="inlineStr">
        <is>
          <t>JÖNKÖPINGS LÄN</t>
        </is>
      </c>
      <c r="G230" t="inlineStr">
        <is>
          <t>SÄVSJÖ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46257</v>
      </c>
      <c r="F231" t="inlineStr">
        <is>
          <t>JÖNKÖPINGS LÄN</t>
        </is>
      </c>
      <c r="G231" t="inlineStr">
        <is>
          <t>SÄVSJÖ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45228</v>
      </c>
      <c r="E232" s="1" t="n">
        <v>46257</v>
      </c>
      <c r="F232" t="inlineStr">
        <is>
          <t>JÖNKÖPINGS LÄN</t>
        </is>
      </c>
      <c r="G232" t="inlineStr">
        <is>
          <t>SÄVSJÖ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46257</v>
      </c>
      <c r="F233" t="inlineStr">
        <is>
          <t>JÖNKÖPINGS LÄN</t>
        </is>
      </c>
      <c r="G233" t="inlineStr">
        <is>
          <t>SÄVSJÖ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45601</v>
      </c>
      <c r="E234" s="1" t="n">
        <v>46257</v>
      </c>
      <c r="F234" t="inlineStr">
        <is>
          <t>JÖNKÖPINGS LÄN</t>
        </is>
      </c>
      <c r="G234" t="inlineStr">
        <is>
          <t>SÄVSJÖ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39730-2023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46257</v>
      </c>
      <c r="F235" t="inlineStr">
        <is>
          <t>JÖNKÖPINGS LÄN</t>
        </is>
      </c>
      <c r="G235" t="inlineStr">
        <is>
          <t>SÄVSJÖ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44995</v>
      </c>
      <c r="E236" s="1" t="n">
        <v>46257</v>
      </c>
      <c r="F236" t="inlineStr">
        <is>
          <t>JÖNKÖPINGS LÄN</t>
        </is>
      </c>
      <c r="G236" t="inlineStr">
        <is>
          <t>SÄVSJÖ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46257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46257</v>
      </c>
      <c r="F238" t="inlineStr">
        <is>
          <t>JÖNKÖPINGS LÄN</t>
        </is>
      </c>
      <c r="G238" t="inlineStr">
        <is>
          <t>SÄVSJÖ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46257</v>
      </c>
      <c r="F239" t="inlineStr">
        <is>
          <t>JÖNKÖPINGS LÄN</t>
        </is>
      </c>
      <c r="G239" t="inlineStr">
        <is>
          <t>SÄVSJÖ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46257</v>
      </c>
      <c r="F240" t="inlineStr">
        <is>
          <t>JÖNKÖPINGS LÄN</t>
        </is>
      </c>
      <c r="G240" t="inlineStr">
        <is>
          <t>SÄVSJÖ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45679</v>
      </c>
      <c r="E241" s="1" t="n">
        <v>46257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46257</v>
      </c>
      <c r="F242" t="inlineStr">
        <is>
          <t>JÖNKÖPINGS LÄN</t>
        </is>
      </c>
      <c r="G242" t="inlineStr">
        <is>
          <t>SÄVSJÖ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46257</v>
      </c>
      <c r="F243" t="inlineStr">
        <is>
          <t>JÖNKÖPINGS LÄN</t>
        </is>
      </c>
      <c r="G243" t="inlineStr">
        <is>
          <t>SÄVSJÖ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45102</v>
      </c>
      <c r="E244" s="1" t="n">
        <v>46257</v>
      </c>
      <c r="F244" t="inlineStr">
        <is>
          <t>JÖNKÖPINGS LÄN</t>
        </is>
      </c>
      <c r="G244" t="inlineStr">
        <is>
          <t>SÄVSJÖ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45371</v>
      </c>
      <c r="E245" s="1" t="n">
        <v>46257</v>
      </c>
      <c r="F245" t="inlineStr">
        <is>
          <t>JÖNKÖPINGS LÄN</t>
        </is>
      </c>
      <c r="G245" t="inlineStr">
        <is>
          <t>SÄVSJÖ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46257</v>
      </c>
      <c r="F246" t="inlineStr">
        <is>
          <t>JÖNKÖPINGS LÄN</t>
        </is>
      </c>
      <c r="G246" t="inlineStr">
        <is>
          <t>SÄVSJÖ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38914-2024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45547</v>
      </c>
      <c r="E247" s="1" t="n">
        <v>46257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45302</v>
      </c>
      <c r="E248" s="1" t="n">
        <v>46257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61545-2021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46257</v>
      </c>
      <c r="F249" t="inlineStr">
        <is>
          <t>JÖNKÖPINGS LÄN</t>
        </is>
      </c>
      <c r="G249" t="inlineStr">
        <is>
          <t>SÄVSJÖ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43976-2022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46257</v>
      </c>
      <c r="F250" t="inlineStr">
        <is>
          <t>JÖNKÖPINGS LÄN</t>
        </is>
      </c>
      <c r="G250" t="inlineStr">
        <is>
          <t>SÄVSJÖ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46257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46257</v>
      </c>
      <c r="F252" t="inlineStr">
        <is>
          <t>JÖNKÖPINGS LÄN</t>
        </is>
      </c>
      <c r="G252" t="inlineStr">
        <is>
          <t>SÄVSJÖ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46257</v>
      </c>
      <c r="F253" t="inlineStr">
        <is>
          <t>JÖNKÖPINGS LÄN</t>
        </is>
      </c>
      <c r="G253" t="inlineStr">
        <is>
          <t>SÄVSJÖ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46257</v>
      </c>
      <c r="F254" t="inlineStr">
        <is>
          <t>JÖNKÖPINGS LÄN</t>
        </is>
      </c>
      <c r="G254" t="inlineStr">
        <is>
          <t>SÄVSJÖ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23816-2026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46165</v>
      </c>
      <c r="E255" s="1" t="n">
        <v>46257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46257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55258-2021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44475</v>
      </c>
      <c r="E257" s="1" t="n">
        <v>46257</v>
      </c>
      <c r="F257" t="inlineStr">
        <is>
          <t>JÖNKÖPINGS LÄN</t>
        </is>
      </c>
      <c r="G257" t="inlineStr">
        <is>
          <t>SÄVSJÖ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16842-2024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45411</v>
      </c>
      <c r="E258" s="1" t="n">
        <v>46257</v>
      </c>
      <c r="F258" t="inlineStr">
        <is>
          <t>JÖNKÖPINGS LÄN</t>
        </is>
      </c>
      <c r="G258" t="inlineStr">
        <is>
          <t>SÄVSJÖ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46257</v>
      </c>
      <c r="F259" t="inlineStr">
        <is>
          <t>JÖNKÖPINGS LÄN</t>
        </is>
      </c>
      <c r="G259" t="inlineStr">
        <is>
          <t>SÄVSJÖ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44510</v>
      </c>
      <c r="E260" s="1" t="n">
        <v>46257</v>
      </c>
      <c r="F260" t="inlineStr">
        <is>
          <t>JÖNKÖPINGS LÄN</t>
        </is>
      </c>
      <c r="G260" t="inlineStr">
        <is>
          <t>SÄVSJÖ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62421-2023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45268</v>
      </c>
      <c r="E261" s="1" t="n">
        <v>46257</v>
      </c>
      <c r="F261" t="inlineStr">
        <is>
          <t>JÖNKÖPINGS LÄN</t>
        </is>
      </c>
      <c r="G261" t="inlineStr">
        <is>
          <t>SÄVSJÖ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45881</v>
      </c>
      <c r="E262" s="1" t="n">
        <v>46257</v>
      </c>
      <c r="F262" t="inlineStr">
        <is>
          <t>JÖNKÖPINGS LÄN</t>
        </is>
      </c>
      <c r="G262" t="inlineStr">
        <is>
          <t>SÄVSJÖ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46257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46257</v>
      </c>
      <c r="F264" t="inlineStr">
        <is>
          <t>JÖNKÖPINGS LÄN</t>
        </is>
      </c>
      <c r="G264" t="inlineStr">
        <is>
          <t>SÄVSJÖ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46257</v>
      </c>
      <c r="F265" t="inlineStr">
        <is>
          <t>JÖNKÖPINGS LÄN</t>
        </is>
      </c>
      <c r="G265" t="inlineStr">
        <is>
          <t>SÄVSJÖ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30162-2023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45110</v>
      </c>
      <c r="E266" s="1" t="n">
        <v>46257</v>
      </c>
      <c r="F266" t="inlineStr">
        <is>
          <t>JÖNKÖPINGS LÄN</t>
        </is>
      </c>
      <c r="G266" t="inlineStr">
        <is>
          <t>SÄVSJÖ</t>
        </is>
      </c>
      <c r="H266" t="inlineStr">
        <is>
          <t>Kommuner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45884</v>
      </c>
      <c r="E267" s="1" t="n">
        <v>46257</v>
      </c>
      <c r="F267" t="inlineStr">
        <is>
          <t>JÖNKÖPINGS LÄN</t>
        </is>
      </c>
      <c r="G267" t="inlineStr">
        <is>
          <t>SÄVSJÖ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46257</v>
      </c>
      <c r="F268" t="inlineStr">
        <is>
          <t>JÖNKÖPINGS LÄN</t>
        </is>
      </c>
      <c r="G268" t="inlineStr">
        <is>
          <t>SÄVSJÖ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46257</v>
      </c>
      <c r="F269" t="inlineStr">
        <is>
          <t>JÖNKÖPINGS LÄN</t>
        </is>
      </c>
      <c r="G269" t="inlineStr">
        <is>
          <t>SÄVSJÖ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46257</v>
      </c>
      <c r="F270" t="inlineStr">
        <is>
          <t>JÖNKÖPINGS LÄN</t>
        </is>
      </c>
      <c r="G270" t="inlineStr">
        <is>
          <t>SÄVSJÖ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46257</v>
      </c>
      <c r="F271" t="inlineStr">
        <is>
          <t>JÖNKÖPINGS LÄN</t>
        </is>
      </c>
      <c r="G271" t="inlineStr">
        <is>
          <t>SÄVSJÖ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46257</v>
      </c>
      <c r="F272" t="inlineStr">
        <is>
          <t>JÖNKÖPINGS LÄN</t>
        </is>
      </c>
      <c r="G272" t="inlineStr">
        <is>
          <t>SÄVSJÖ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46257</v>
      </c>
      <c r="F273" t="inlineStr">
        <is>
          <t>JÖNKÖPINGS LÄN</t>
        </is>
      </c>
      <c r="G273" t="inlineStr">
        <is>
          <t>SÄVSJÖ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46070</v>
      </c>
      <c r="E274" s="1" t="n">
        <v>46257</v>
      </c>
      <c r="F274" t="inlineStr">
        <is>
          <t>JÖNKÖPINGS LÄN</t>
        </is>
      </c>
      <c r="G274" t="inlineStr">
        <is>
          <t>SÄVSJÖ</t>
        </is>
      </c>
      <c r="H274" t="inlineStr">
        <is>
          <t>Kyrkan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46257</v>
      </c>
      <c r="F275" t="inlineStr">
        <is>
          <t>JÖNKÖPINGS LÄN</t>
        </is>
      </c>
      <c r="G275" t="inlineStr">
        <is>
          <t>SÄVSJÖ</t>
        </is>
      </c>
      <c r="H275" t="inlineStr">
        <is>
          <t>Kyrkan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20915-2023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45061</v>
      </c>
      <c r="E276" s="1" t="n">
        <v>46257</v>
      </c>
      <c r="F276" t="inlineStr">
        <is>
          <t>JÖNKÖPINGS LÄN</t>
        </is>
      </c>
      <c r="G276" t="inlineStr">
        <is>
          <t>SÄVSJÖ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45748</v>
      </c>
      <c r="E277" s="1" t="n">
        <v>46257</v>
      </c>
      <c r="F277" t="inlineStr">
        <is>
          <t>JÖNKÖPINGS LÄN</t>
        </is>
      </c>
      <c r="G277" t="inlineStr">
        <is>
          <t>SÄVSJÖ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46257</v>
      </c>
      <c r="F278" t="inlineStr">
        <is>
          <t>JÖNKÖPINGS LÄN</t>
        </is>
      </c>
      <c r="G278" t="inlineStr">
        <is>
          <t>SÄVSJÖ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46257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49449-2023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46257</v>
      </c>
      <c r="F280" t="inlineStr">
        <is>
          <t>JÖNKÖPINGS LÄN</t>
        </is>
      </c>
      <c r="G280" t="inlineStr">
        <is>
          <t>SÄVSJÖ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45301</v>
      </c>
      <c r="E281" s="1" t="n">
        <v>46257</v>
      </c>
      <c r="F281" t="inlineStr">
        <is>
          <t>JÖNKÖPINGS LÄN</t>
        </is>
      </c>
      <c r="G281" t="inlineStr">
        <is>
          <t>SÄVSJÖ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63308-2023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45274</v>
      </c>
      <c r="E282" s="1" t="n">
        <v>46257</v>
      </c>
      <c r="F282" t="inlineStr">
        <is>
          <t>JÖNKÖPINGS LÄN</t>
        </is>
      </c>
      <c r="G282" t="inlineStr">
        <is>
          <t>SÄVSJÖ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46257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46087</v>
      </c>
      <c r="E284" s="1" t="n">
        <v>46257</v>
      </c>
      <c r="F284" t="inlineStr">
        <is>
          <t>JÖNKÖPINGS LÄN</t>
        </is>
      </c>
      <c r="G284" t="inlineStr">
        <is>
          <t>SÄVSJÖ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46257</v>
      </c>
      <c r="F285" t="inlineStr">
        <is>
          <t>JÖNKÖPINGS LÄN</t>
        </is>
      </c>
      <c r="G285" t="inlineStr">
        <is>
          <t>SÄVSJÖ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46257</v>
      </c>
      <c r="F286" t="inlineStr">
        <is>
          <t>JÖNKÖPINGS LÄN</t>
        </is>
      </c>
      <c r="G286" t="inlineStr">
        <is>
          <t>SÄVSJÖ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46257</v>
      </c>
      <c r="F287" t="inlineStr">
        <is>
          <t>JÖNKÖPINGS LÄN</t>
        </is>
      </c>
      <c r="G287" t="inlineStr">
        <is>
          <t>SÄVSJÖ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31721-2026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46226</v>
      </c>
      <c r="E288" s="1" t="n">
        <v>46257</v>
      </c>
      <c r="F288" t="inlineStr">
        <is>
          <t>JÖNKÖPINGS LÄN</t>
        </is>
      </c>
      <c r="G288" t="inlineStr">
        <is>
          <t>SÄVSJÖ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46257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46097</v>
      </c>
      <c r="E290" s="1" t="n">
        <v>46257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46257</v>
      </c>
      <c r="F291" t="inlineStr">
        <is>
          <t>JÖNKÖPINGS LÄN</t>
        </is>
      </c>
      <c r="G291" t="inlineStr">
        <is>
          <t>SÄVSJÖ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44590</v>
      </c>
      <c r="E292" s="1" t="n">
        <v>46257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46257</v>
      </c>
      <c r="F293" t="inlineStr">
        <is>
          <t>JÖNKÖPINGS LÄN</t>
        </is>
      </c>
      <c r="G293" t="inlineStr">
        <is>
          <t>SÄVSJÖ</t>
        </is>
      </c>
      <c r="H293" t="inlineStr">
        <is>
          <t>Kommuner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46257</v>
      </c>
      <c r="F294" t="inlineStr">
        <is>
          <t>JÖNKÖPINGS LÄN</t>
        </is>
      </c>
      <c r="G294" t="inlineStr">
        <is>
          <t>SÄVSJÖ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46257</v>
      </c>
      <c r="F295" t="inlineStr">
        <is>
          <t>JÖNKÖPINGS LÄN</t>
        </is>
      </c>
      <c r="G295" t="inlineStr">
        <is>
          <t>SÄVSJÖ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46257</v>
      </c>
      <c r="F296" t="inlineStr">
        <is>
          <t>JÖNKÖPINGS LÄN</t>
        </is>
      </c>
      <c r="G296" t="inlineStr">
        <is>
          <t>SÄVSJÖ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46257</v>
      </c>
      <c r="F297" t="inlineStr">
        <is>
          <t>JÖNKÖPINGS LÄN</t>
        </is>
      </c>
      <c r="G297" t="inlineStr">
        <is>
          <t>SÄVSJÖ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52965-2024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46257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14620-2026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46257</v>
      </c>
      <c r="F299" t="inlineStr">
        <is>
          <t>JÖNKÖPINGS LÄN</t>
        </is>
      </c>
      <c r="G299" t="inlineStr">
        <is>
          <t>SÄVSJÖ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46257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46257</v>
      </c>
      <c r="F301" t="inlineStr">
        <is>
          <t>JÖNKÖPINGS LÄN</t>
        </is>
      </c>
      <c r="G301" t="inlineStr">
        <is>
          <t>SÄVSJÖ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44972</v>
      </c>
      <c r="E302" s="1" t="n">
        <v>46257</v>
      </c>
      <c r="F302" t="inlineStr">
        <is>
          <t>JÖNKÖPINGS LÄN</t>
        </is>
      </c>
      <c r="G302" t="inlineStr">
        <is>
          <t>SÄVSJÖ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45146</v>
      </c>
      <c r="E303" s="1" t="n">
        <v>46257</v>
      </c>
      <c r="F303" t="inlineStr">
        <is>
          <t>JÖNKÖPINGS LÄN</t>
        </is>
      </c>
      <c r="G303" t="inlineStr">
        <is>
          <t>SÄVSJÖ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23637-2024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45454</v>
      </c>
      <c r="E304" s="1" t="n">
        <v>46257</v>
      </c>
      <c r="F304" t="inlineStr">
        <is>
          <t>JÖNKÖPINGS LÄN</t>
        </is>
      </c>
      <c r="G304" t="inlineStr">
        <is>
          <t>SÄVSJÖ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46257</v>
      </c>
      <c r="F305" t="inlineStr">
        <is>
          <t>JÖNKÖPINGS LÄN</t>
        </is>
      </c>
      <c r="G305" t="inlineStr">
        <is>
          <t>SÄVSJÖ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46257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46257</v>
      </c>
      <c r="F307" t="inlineStr">
        <is>
          <t>JÖNKÖPINGS LÄN</t>
        </is>
      </c>
      <c r="G307" t="inlineStr">
        <is>
          <t>SÄVSJÖ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46257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46257</v>
      </c>
      <c r="F309" t="inlineStr">
        <is>
          <t>JÖNKÖPINGS LÄN</t>
        </is>
      </c>
      <c r="G309" t="inlineStr">
        <is>
          <t>SÄVSJÖ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45029</v>
      </c>
      <c r="E310" s="1" t="n">
        <v>46257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46257</v>
      </c>
      <c r="F311" t="inlineStr">
        <is>
          <t>JÖNKÖPINGS LÄN</t>
        </is>
      </c>
      <c r="G311" t="inlineStr">
        <is>
          <t>SÄVSJÖ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45160</v>
      </c>
      <c r="E312" s="1" t="n">
        <v>46257</v>
      </c>
      <c r="F312" t="inlineStr">
        <is>
          <t>JÖNKÖPINGS LÄN</t>
        </is>
      </c>
      <c r="G312" t="inlineStr">
        <is>
          <t>SÄVSJÖ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46257</v>
      </c>
      <c r="F313" t="inlineStr">
        <is>
          <t>JÖNKÖPINGS LÄN</t>
        </is>
      </c>
      <c r="G313" t="inlineStr">
        <is>
          <t>SÄVSJÖ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18089-2026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46257</v>
      </c>
      <c r="F314" t="inlineStr">
        <is>
          <t>JÖNKÖPINGS LÄN</t>
        </is>
      </c>
      <c r="G314" t="inlineStr">
        <is>
          <t>SÄVSJÖ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46257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46257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46257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44944</v>
      </c>
      <c r="E318" s="1" t="n">
        <v>46257</v>
      </c>
      <c r="F318" t="inlineStr">
        <is>
          <t>JÖNKÖPINGS LÄN</t>
        </is>
      </c>
      <c r="G318" t="inlineStr">
        <is>
          <t>SÄVSJÖ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45427</v>
      </c>
      <c r="E319" s="1" t="n">
        <v>46257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44651</v>
      </c>
      <c r="E320" s="1" t="n">
        <v>46257</v>
      </c>
      <c r="F320" t="inlineStr">
        <is>
          <t>JÖNKÖPINGS LÄN</t>
        </is>
      </c>
      <c r="G320" t="inlineStr">
        <is>
          <t>SÄVSJÖ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45785</v>
      </c>
      <c r="E321" s="1" t="n">
        <v>46257</v>
      </c>
      <c r="F321" t="inlineStr">
        <is>
          <t>JÖNKÖPINGS LÄN</t>
        </is>
      </c>
      <c r="G321" t="inlineStr">
        <is>
          <t>SÄVSJÖ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46257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49292-2023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45210</v>
      </c>
      <c r="E323" s="1" t="n">
        <v>46257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45094</v>
      </c>
      <c r="E324" s="1" t="n">
        <v>46257</v>
      </c>
      <c r="F324" t="inlineStr">
        <is>
          <t>JÖNKÖPINGS LÄN</t>
        </is>
      </c>
      <c r="G324" t="inlineStr">
        <is>
          <t>SÄVSJÖ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46257</v>
      </c>
      <c r="F325" t="inlineStr">
        <is>
          <t>JÖNKÖPINGS LÄN</t>
        </is>
      </c>
      <c r="G325" t="inlineStr">
        <is>
          <t>SÄVSJÖ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45694</v>
      </c>
      <c r="E326" s="1" t="n">
        <v>46257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46257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44839</v>
      </c>
      <c r="E328" s="1" t="n">
        <v>46257</v>
      </c>
      <c r="F328" t="inlineStr">
        <is>
          <t>JÖNKÖPINGS LÄN</t>
        </is>
      </c>
      <c r="G328" t="inlineStr">
        <is>
          <t>SÄVSJÖ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46257</v>
      </c>
      <c r="F329" t="inlineStr">
        <is>
          <t>JÖNKÖPINGS LÄN</t>
        </is>
      </c>
      <c r="G329" t="inlineStr">
        <is>
          <t>SÄVSJÖ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55909-2024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45623</v>
      </c>
      <c r="E330" s="1" t="n">
        <v>46257</v>
      </c>
      <c r="F330" t="inlineStr">
        <is>
          <t>JÖNKÖPINGS LÄN</t>
        </is>
      </c>
      <c r="G330" t="inlineStr">
        <is>
          <t>SÄVSJÖ</t>
        </is>
      </c>
      <c r="H330" t="inlineStr">
        <is>
          <t>Kommuner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45879</v>
      </c>
      <c r="E331" s="1" t="n">
        <v>46257</v>
      </c>
      <c r="F331" t="inlineStr">
        <is>
          <t>JÖNKÖPINGS LÄN</t>
        </is>
      </c>
      <c r="G331" t="inlineStr">
        <is>
          <t>SÄVSJÖ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45704</v>
      </c>
      <c r="E332" s="1" t="n">
        <v>46257</v>
      </c>
      <c r="F332" t="inlineStr">
        <is>
          <t>JÖNKÖPINGS LÄN</t>
        </is>
      </c>
      <c r="G332" t="inlineStr">
        <is>
          <t>SÄVSJÖ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45317</v>
      </c>
      <c r="E333" s="1" t="n">
        <v>46257</v>
      </c>
      <c r="F333" t="inlineStr">
        <is>
          <t>JÖNKÖPINGS LÄN</t>
        </is>
      </c>
      <c r="G333" t="inlineStr">
        <is>
          <t>SÄVSJÖ</t>
        </is>
      </c>
      <c r="I333" t="n">
        <v>19.9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46257</v>
      </c>
      <c r="F334" t="inlineStr">
        <is>
          <t>JÖNKÖPINGS LÄN</t>
        </is>
      </c>
      <c r="G334" t="inlineStr">
        <is>
          <t>SÄVSJÖ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45371</v>
      </c>
      <c r="E335" s="1" t="n">
        <v>46257</v>
      </c>
      <c r="F335" t="inlineStr">
        <is>
          <t>JÖNKÖPINGS LÄN</t>
        </is>
      </c>
      <c r="G335" t="inlineStr">
        <is>
          <t>SÄVSJÖ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53916-2021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44469</v>
      </c>
      <c r="E336" s="1" t="n">
        <v>46257</v>
      </c>
      <c r="F336" t="inlineStr">
        <is>
          <t>JÖNKÖPINGS LÄN</t>
        </is>
      </c>
      <c r="G336" t="inlineStr">
        <is>
          <t>SÄVSJÖ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46257</v>
      </c>
      <c r="F337" t="inlineStr">
        <is>
          <t>JÖNKÖPINGS LÄN</t>
        </is>
      </c>
      <c r="G337" t="inlineStr">
        <is>
          <t>SÄVSJÖ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46257</v>
      </c>
      <c r="F338" t="inlineStr">
        <is>
          <t>JÖNKÖPINGS LÄN</t>
        </is>
      </c>
      <c r="G338" t="inlineStr">
        <is>
          <t>SÄVSJÖ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45275</v>
      </c>
      <c r="E339" s="1" t="n">
        <v>46257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54600-2022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44883</v>
      </c>
      <c r="E340" s="1" t="n">
        <v>46257</v>
      </c>
      <c r="F340" t="inlineStr">
        <is>
          <t>JÖNKÖPINGS LÄN</t>
        </is>
      </c>
      <c r="G340" t="inlineStr">
        <is>
          <t>SÄVSJÖ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45261</v>
      </c>
      <c r="E341" s="1" t="n">
        <v>46257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55254-2021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44475</v>
      </c>
      <c r="E342" s="1" t="n">
        <v>46257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45301</v>
      </c>
      <c r="E343" s="1" t="n">
        <v>46257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46257</v>
      </c>
      <c r="F344" t="inlineStr">
        <is>
          <t>JÖNKÖPINGS LÄN</t>
        </is>
      </c>
      <c r="G344" t="inlineStr">
        <is>
          <t>SÄVSJÖ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46257</v>
      </c>
      <c r="F345" t="inlineStr">
        <is>
          <t>JÖNKÖPINGS LÄN</t>
        </is>
      </c>
      <c r="G345" t="inlineStr">
        <is>
          <t>SÄVSJÖ</t>
        </is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46257</v>
      </c>
      <c r="F346" t="inlineStr">
        <is>
          <t>JÖNKÖPINGS LÄN</t>
        </is>
      </c>
      <c r="G346" t="inlineStr">
        <is>
          <t>SÄVSJÖ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46257</v>
      </c>
      <c r="F347" t="inlineStr">
        <is>
          <t>JÖNKÖPINGS LÄN</t>
        </is>
      </c>
      <c r="G347" t="inlineStr">
        <is>
          <t>SÄVSJÖ</t>
        </is>
      </c>
      <c r="H347" t="inlineStr">
        <is>
          <t>Kyrkan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46257</v>
      </c>
      <c r="F348" t="inlineStr">
        <is>
          <t>JÖNKÖPINGS LÄN</t>
        </is>
      </c>
      <c r="G348" t="inlineStr">
        <is>
          <t>SÄVSJÖ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31788-2023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46257</v>
      </c>
      <c r="F349" t="inlineStr">
        <is>
          <t>JÖNKÖPINGS LÄN</t>
        </is>
      </c>
      <c r="G349" t="inlineStr">
        <is>
          <t>SÄVSJÖ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46257</v>
      </c>
      <c r="F350" t="inlineStr">
        <is>
          <t>JÖNKÖPINGS LÄN</t>
        </is>
      </c>
      <c r="G350" t="inlineStr">
        <is>
          <t>SÄVSJÖ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46257</v>
      </c>
      <c r="F351" t="inlineStr">
        <is>
          <t>JÖNKÖPINGS LÄN</t>
        </is>
      </c>
      <c r="G351" t="inlineStr">
        <is>
          <t>SÄVSJÖ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21788-2023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45066</v>
      </c>
      <c r="E352" s="1" t="n">
        <v>46257</v>
      </c>
      <c r="F352" t="inlineStr">
        <is>
          <t>JÖNKÖPINGS LÄN</t>
        </is>
      </c>
      <c r="G352" t="inlineStr">
        <is>
          <t>SÄVSJÖ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46257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46257</v>
      </c>
      <c r="F354" t="inlineStr">
        <is>
          <t>JÖNKÖPINGS LÄN</t>
        </is>
      </c>
      <c r="G354" t="inlineStr">
        <is>
          <t>SÄVSJÖ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44957</v>
      </c>
      <c r="E355" s="1" t="n">
        <v>46257</v>
      </c>
      <c r="F355" t="inlineStr">
        <is>
          <t>JÖNKÖPINGS LÄN</t>
        </is>
      </c>
      <c r="G355" t="inlineStr">
        <is>
          <t>SÄVSJÖ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45366</v>
      </c>
      <c r="E356" s="1" t="n">
        <v>46257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46257</v>
      </c>
      <c r="F357" t="inlineStr">
        <is>
          <t>JÖNKÖPINGS LÄN</t>
        </is>
      </c>
      <c r="G357" t="inlineStr">
        <is>
          <t>SÄVSJÖ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45267</v>
      </c>
      <c r="E358" s="1" t="n">
        <v>46257</v>
      </c>
      <c r="F358" t="inlineStr">
        <is>
          <t>JÖNKÖPINGS LÄN</t>
        </is>
      </c>
      <c r="G358" t="inlineStr">
        <is>
          <t>SÄVSJÖ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46257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46125</v>
      </c>
      <c r="E360" s="1" t="n">
        <v>46257</v>
      </c>
      <c r="F360" t="inlineStr">
        <is>
          <t>JÖNKÖPINGS LÄN</t>
        </is>
      </c>
      <c r="G360" t="inlineStr">
        <is>
          <t>SÄVSJÖ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45104</v>
      </c>
      <c r="E361" s="1" t="n">
        <v>46257</v>
      </c>
      <c r="F361" t="inlineStr">
        <is>
          <t>JÖNKÖPINGS LÄN</t>
        </is>
      </c>
      <c r="G361" t="inlineStr">
        <is>
          <t>SÄVSJÖ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46257</v>
      </c>
      <c r="F362" t="inlineStr">
        <is>
          <t>JÖNKÖPINGS LÄN</t>
        </is>
      </c>
      <c r="G362" t="inlineStr">
        <is>
          <t>SÄVSJÖ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17308-2024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45414</v>
      </c>
      <c r="E363" s="1" t="n">
        <v>46257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60805-2024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45644</v>
      </c>
      <c r="E364" s="1" t="n">
        <v>46257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44397-2024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45573</v>
      </c>
      <c r="E365" s="1" t="n">
        <v>46257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46257</v>
      </c>
      <c r="F366" t="inlineStr">
        <is>
          <t>JÖNKÖPINGS LÄN</t>
        </is>
      </c>
      <c r="G366" t="inlineStr">
        <is>
          <t>SÄVSJÖ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45646</v>
      </c>
      <c r="E367" s="1" t="n">
        <v>46257</v>
      </c>
      <c r="F367" t="inlineStr">
        <is>
          <t>JÖNKÖPINGS LÄN</t>
        </is>
      </c>
      <c r="G367" t="inlineStr">
        <is>
          <t>SÄVSJÖ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45725</v>
      </c>
      <c r="E368" s="1" t="n">
        <v>46257</v>
      </c>
      <c r="F368" t="inlineStr">
        <is>
          <t>JÖNKÖPINGS LÄN</t>
        </is>
      </c>
      <c r="G368" t="inlineStr">
        <is>
          <t>SÄVSJÖ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17127-2024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45412</v>
      </c>
      <c r="E369" s="1" t="n">
        <v>46257</v>
      </c>
      <c r="F369" t="inlineStr">
        <is>
          <t>JÖNKÖPINGS LÄN</t>
        </is>
      </c>
      <c r="G369" t="inlineStr">
        <is>
          <t>SÄVSJÖ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46257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46257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46257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61610-2024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46257</v>
      </c>
      <c r="F373" t="inlineStr">
        <is>
          <t>JÖNKÖPINGS LÄN</t>
        </is>
      </c>
      <c r="G373" t="inlineStr">
        <is>
          <t>SÄVSJÖ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12794-2025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46257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6558-2022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44882</v>
      </c>
      <c r="E375" s="1" t="n">
        <v>46257</v>
      </c>
      <c r="F375" t="inlineStr">
        <is>
          <t>JÖNKÖPINGS LÄN</t>
        </is>
      </c>
      <c r="G375" t="inlineStr">
        <is>
          <t>SÄVSJÖ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2542-2023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45139</v>
      </c>
      <c r="E376" s="1" t="n">
        <v>46257</v>
      </c>
      <c r="F376" t="inlineStr">
        <is>
          <t>JÖNKÖPINGS LÄN</t>
        </is>
      </c>
      <c r="G376" t="inlineStr">
        <is>
          <t>SÄVSJÖ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1675-2023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46257</v>
      </c>
      <c r="F377" t="inlineStr">
        <is>
          <t>JÖNKÖPINGS LÄN</t>
        </is>
      </c>
      <c r="G377" t="inlineStr">
        <is>
          <t>SÄVSJÖ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46257</v>
      </c>
      <c r="F378" t="inlineStr">
        <is>
          <t>JÖNKÖPINGS LÄN</t>
        </is>
      </c>
      <c r="G378" t="inlineStr">
        <is>
          <t>SÄVSJÖ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2964-2023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45173</v>
      </c>
      <c r="E379" s="1" t="n">
        <v>46257</v>
      </c>
      <c r="F379" t="inlineStr">
        <is>
          <t>JÖNKÖPINGS LÄN</t>
        </is>
      </c>
      <c r="G379" t="inlineStr">
        <is>
          <t>SÄVSJÖ</t>
        </is>
      </c>
      <c r="I379" t="n">
        <v>54.6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2661-2023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46257</v>
      </c>
      <c r="F380" t="inlineStr">
        <is>
          <t>JÖNKÖPINGS LÄN</t>
        </is>
      </c>
      <c r="G380" t="inlineStr">
        <is>
          <t>SÄVSJÖ</t>
        </is>
      </c>
      <c r="I380" t="n">
        <v>21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10445-2021</t>
        </is>
      </c>
      <c r="B381" t="inlineStr">
        <is>
          <t>samrådsanmälan</t>
        </is>
      </c>
      <c r="C381" t="inlineStr">
        <is>
          <t>Skogsbilväg</t>
        </is>
      </c>
      <c r="D381" s="1" t="n">
        <v>44558</v>
      </c>
      <c r="E381" s="1" t="n">
        <v>46257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46257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46257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46257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46257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46257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46257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46257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46257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46257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46257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46257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46257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46257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46257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46257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46257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46257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46257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46257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46257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46257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46257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46257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2026-08-23T01:52:53Z</dcterms:created>
  <dcterms:modified xmlns:dcterms="http://purl.org/dc/terms/" xmlns:xsi="http://www.w3.org/2001/XMLSchema-instance" xsi:type="dcterms:W3CDTF">2026-08-23T01:52:53Z</dcterms:modified>
</cp:coreProperties>
</file>