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46236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46236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46236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46236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46236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46236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46236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34214-2025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46236</v>
      </c>
      <c r="F10" t="inlineStr">
        <is>
          <t>JÖNKÖPINGS LÄN</t>
        </is>
      </c>
      <c r="G10" t="inlineStr">
        <is>
          <t>SÄVSJÖ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1</v>
      </c>
      <c r="V10" s="2" t="inlineStr">
        <is>
          <t>Lungrot</t>
        </is>
      </c>
      <c r="W10">
        <f>HYPERLINK("https://klasma.github.io/Logging_0684/artfynd/A 34214-2025 artfynd.xlsx", "A 34214-2025")</f>
        <v/>
      </c>
      <c r="X10">
        <f>HYPERLINK("https://klasma.github.io/Logging_0684/kartor/A 34214-2025 karta.png", "A 34214-2025")</f>
        <v/>
      </c>
      <c r="Y10">
        <f>HYPERLINK("https://klasma.github.io/Logging_0684/kartor_geotiff/A 34214-2025 georefererad karta.tif", "A 34214-2025")</f>
        <v/>
      </c>
      <c r="AA10">
        <f>HYPERLINK("https://klasma.github.io/Logging_0684/klagomål/A 34214-2025 FSC-klagomål.docx", "A 34214-2025")</f>
        <v/>
      </c>
      <c r="AB10">
        <f>HYPERLINK("https://klasma.github.io/Logging_0684/klagomålsmail/A 34214-2025 FSC-klagomål mail.docx", "A 34214-2025")</f>
        <v/>
      </c>
      <c r="AC10">
        <f>HYPERLINK("https://klasma.github.io/Logging_0684/tillsyn/A 34214-2025 tillsynsbegäran.docx", "A 34214-2025")</f>
        <v/>
      </c>
      <c r="AD10">
        <f>HYPERLINK("https://klasma.github.io/Logging_0684/tillsynsmail/A 34214-2025 tillsynsbegäran mail.docx", "A 34214-2025")</f>
        <v/>
      </c>
    </row>
    <row r="11" ht="15" customHeight="1">
      <c r="A11" t="inlineStr">
        <is>
          <t>A 61556-2025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46001</v>
      </c>
      <c r="E11" s="1" t="n">
        <v>46236</v>
      </c>
      <c r="F11" t="inlineStr">
        <is>
          <t>JÖNKÖPINGS LÄN</t>
        </is>
      </c>
      <c r="G11" t="inlineStr">
        <is>
          <t>SÄVSJÖ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HYPERLINK("https://klasma.github.io/Logging_0684/artfynd/A 61556-2025 artfynd.xlsx", "A 61556-2025")</f>
        <v/>
      </c>
      <c r="X11">
        <f>HYPERLINK("https://klasma.github.io/Logging_0684/kartor/A 61556-2025 karta.png", "A 61556-2025")</f>
        <v/>
      </c>
      <c r="Y11">
        <f>HYPERLINK("https://klasma.github.io/Logging_0684/kartor_geotiff/A 61556-2025 georefererad karta.tif", "A 61556-2025")</f>
        <v/>
      </c>
      <c r="AA11">
        <f>HYPERLINK("https://klasma.github.io/Logging_0684/klagomål/A 61556-2025 FSC-klagomål.docx", "A 61556-2025")</f>
        <v/>
      </c>
      <c r="AB11">
        <f>HYPERLINK("https://klasma.github.io/Logging_0684/klagomålsmail/A 61556-2025 FSC-klagomål mail.docx", "A 61556-2025")</f>
        <v/>
      </c>
      <c r="AC11">
        <f>HYPERLINK("https://klasma.github.io/Logging_0684/tillsyn/A 61556-2025 tillsynsbegäran.docx", "A 61556-2025")</f>
        <v/>
      </c>
      <c r="AD11">
        <f>HYPERLINK("https://klasma.github.io/Logging_0684/tillsynsmail/A 61556-2025 tillsynsbegäran mail.docx", "A 61556-2025")</f>
        <v/>
      </c>
      <c r="AE11">
        <f>HYPERLINK("https://klasma.github.io/Logging_0684/fåglar/A 61556-2025 prioriterade fågelarter.docx", "A 61556-2025")</f>
        <v/>
      </c>
    </row>
    <row r="12" ht="15" customHeight="1">
      <c r="A12" t="inlineStr">
        <is>
          <t>A 35136-2024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45530</v>
      </c>
      <c r="E12" s="1" t="n">
        <v>46236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35136-2024 artfynd.xlsx", "A 35136-2024")</f>
        <v/>
      </c>
      <c r="X12">
        <f>HYPERLINK("https://klasma.github.io/Logging_0684/kartor/A 35136-2024 karta.png", "A 35136-2024")</f>
        <v/>
      </c>
      <c r="Y12">
        <f>HYPERLINK("https://klasma.github.io/Logging_0684/kartor_geotiff/A 35136-2024 georefererad karta.tif", "A 35136-2024")</f>
        <v/>
      </c>
      <c r="AA12">
        <f>HYPERLINK("https://klasma.github.io/Logging_0684/klagomål/A 35136-2024 FSC-klagomål.docx", "A 35136-2024")</f>
        <v/>
      </c>
      <c r="AB12">
        <f>HYPERLINK("https://klasma.github.io/Logging_0684/klagomålsmail/A 35136-2024 FSC-klagomål mail.docx", "A 35136-2024")</f>
        <v/>
      </c>
      <c r="AC12">
        <f>HYPERLINK("https://klasma.github.io/Logging_0684/tillsyn/A 35136-2024 tillsynsbegäran.docx", "A 35136-2024")</f>
        <v/>
      </c>
      <c r="AD12">
        <f>HYPERLINK("https://klasma.github.io/Logging_0684/tillsynsmail/A 35136-2024 tillsynsbegäran mail.docx", "A 35136-2024")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46236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46236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46236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46236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46236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10775-2025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45722</v>
      </c>
      <c r="E18" s="1" t="n">
        <v>46236</v>
      </c>
      <c r="F18" t="inlineStr">
        <is>
          <t>JÖNKÖPINGS LÄN</t>
        </is>
      </c>
      <c r="G18" t="inlineStr">
        <is>
          <t>SÄVSJÖ</t>
        </is>
      </c>
      <c r="I18" t="n">
        <v>10.1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Solvända</t>
        </is>
      </c>
      <c r="W18">
        <f>HYPERLINK("https://klasma.github.io/Logging_0684/artfynd/A 10775-2025 artfynd.xlsx", "A 10775-2025")</f>
        <v/>
      </c>
      <c r="X18">
        <f>HYPERLINK("https://klasma.github.io/Logging_0684/kartor/A 10775-2025 karta.png", "A 10775-2025")</f>
        <v/>
      </c>
      <c r="Y18">
        <f>HYPERLINK("https://klasma.github.io/Logging_0684/kartor_geotiff/A 10775-2025 georefererad karta.tif", "A 10775-2025")</f>
        <v/>
      </c>
      <c r="AA18">
        <f>HYPERLINK("https://klasma.github.io/Logging_0684/klagomål/A 10775-2025 FSC-klagomål.docx", "A 10775-2025")</f>
        <v/>
      </c>
      <c r="AB18">
        <f>HYPERLINK("https://klasma.github.io/Logging_0684/klagomålsmail/A 10775-2025 FSC-klagomål mail.docx", "A 10775-2025")</f>
        <v/>
      </c>
      <c r="AC18">
        <f>HYPERLINK("https://klasma.github.io/Logging_0684/tillsyn/A 10775-2025 tillsynsbegäran.docx", "A 10775-2025")</f>
        <v/>
      </c>
      <c r="AD18">
        <f>HYPERLINK("https://klasma.github.io/Logging_0684/tillsynsmail/A 10775-2025 tillsynsbegäran mail.docx", "A 10775-2025")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46236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46236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46236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HYPERLINK("https://klasma.github.io/Logging_0684/artfynd/A 10046-2025 artfynd.xlsx", "A 10046-2025")</f>
        <v/>
      </c>
      <c r="X21">
        <f>HYPERLINK("https://klasma.github.io/Logging_0684/kartor/A 10046-2025 karta.png", "A 10046-2025")</f>
        <v/>
      </c>
      <c r="Y21">
        <f>HYPERLINK("https://klasma.github.io/Logging_0684/kartor_geotiff/A 10046-2025 georefererad karta.tif", "A 10046-2025")</f>
        <v/>
      </c>
      <c r="AA21">
        <f>HYPERLINK("https://klasma.github.io/Logging_0684/klagomål/A 10046-2025 FSC-klagomål.docx", "A 10046-2025")</f>
        <v/>
      </c>
      <c r="AB21">
        <f>HYPERLINK("https://klasma.github.io/Logging_0684/klagomålsmail/A 10046-2025 FSC-klagomål mail.docx", "A 10046-2025")</f>
        <v/>
      </c>
      <c r="AC21">
        <f>HYPERLINK("https://klasma.github.io/Logging_0684/tillsyn/A 10046-2025 tillsynsbegäran.docx", "A 10046-2025")</f>
        <v/>
      </c>
      <c r="AD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46236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46236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46236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46236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46236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46236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46236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46236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46236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46236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46236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46236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46236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46236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46236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46236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46236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46236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46236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46236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46236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46236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46236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7762-2022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44608</v>
      </c>
      <c r="E45" s="1" t="n">
        <v>46236</v>
      </c>
      <c r="F45" t="inlineStr">
        <is>
          <t>JÖNKÖPINGS LÄN</t>
        </is>
      </c>
      <c r="G45" t="inlineStr">
        <is>
          <t>SÄVSJÖ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45155-2022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44844</v>
      </c>
      <c r="E46" s="1" t="n">
        <v>46236</v>
      </c>
      <c r="F46" t="inlineStr">
        <is>
          <t>JÖNKÖPINGS LÄN</t>
        </is>
      </c>
      <c r="G46" t="inlineStr">
        <is>
          <t>SÄVSJÖ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46236</v>
      </c>
      <c r="F47" t="inlineStr">
        <is>
          <t>JÖNKÖPINGS LÄN</t>
        </is>
      </c>
      <c r="G47" t="inlineStr">
        <is>
          <t>SÄVSJÖ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46236</v>
      </c>
      <c r="F48" t="inlineStr">
        <is>
          <t>JÖNKÖPINGS LÄN</t>
        </is>
      </c>
      <c r="G48" t="inlineStr">
        <is>
          <t>SÄVSJÖ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46236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44862</v>
      </c>
      <c r="E50" s="1" t="n">
        <v>46236</v>
      </c>
      <c r="F50" t="inlineStr">
        <is>
          <t>JÖNKÖPINGS LÄN</t>
        </is>
      </c>
      <c r="G50" t="inlineStr">
        <is>
          <t>SÄVSJÖ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46236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46236</v>
      </c>
      <c r="F52" t="inlineStr">
        <is>
          <t>JÖNKÖPINGS LÄN</t>
        </is>
      </c>
      <c r="G52" t="inlineStr">
        <is>
          <t>SÄVSJÖ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46236</v>
      </c>
      <c r="F53" t="inlineStr">
        <is>
          <t>JÖNKÖPINGS LÄN</t>
        </is>
      </c>
      <c r="G53" t="inlineStr">
        <is>
          <t>SÄVSJÖ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66396-2021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44518</v>
      </c>
      <c r="E54" s="1" t="n">
        <v>46236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44833</v>
      </c>
      <c r="E55" s="1" t="n">
        <v>46236</v>
      </c>
      <c r="F55" t="inlineStr">
        <is>
          <t>JÖNKÖPINGS LÄN</t>
        </is>
      </c>
      <c r="G55" t="inlineStr">
        <is>
          <t>SÄVSJÖ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46236</v>
      </c>
      <c r="F56" t="inlineStr">
        <is>
          <t>JÖNKÖPINGS LÄN</t>
        </is>
      </c>
      <c r="G56" t="inlineStr">
        <is>
          <t>SÄVSJÖ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46236</v>
      </c>
      <c r="F57" t="inlineStr">
        <is>
          <t>JÖNKÖPINGS LÄN</t>
        </is>
      </c>
      <c r="G57" t="inlineStr">
        <is>
          <t>SÄVSJÖ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44791</v>
      </c>
      <c r="E58" s="1" t="n">
        <v>46236</v>
      </c>
      <c r="F58" t="inlineStr">
        <is>
          <t>JÖNKÖPINGS LÄN</t>
        </is>
      </c>
      <c r="G58" t="inlineStr">
        <is>
          <t>SÄVSJÖ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46236</v>
      </c>
      <c r="F59" t="inlineStr">
        <is>
          <t>JÖNKÖPINGS LÄN</t>
        </is>
      </c>
      <c r="G59" t="inlineStr">
        <is>
          <t>SÄVSJÖ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46236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44412</v>
      </c>
      <c r="E61" s="1" t="n">
        <v>46236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46236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46236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10592-2022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46236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44445</v>
      </c>
      <c r="E65" s="1" t="n">
        <v>46236</v>
      </c>
      <c r="F65" t="inlineStr">
        <is>
          <t>JÖNKÖPINGS LÄN</t>
        </is>
      </c>
      <c r="G65" t="inlineStr">
        <is>
          <t>SÄVSJÖ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20603-2022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44700</v>
      </c>
      <c r="E66" s="1" t="n">
        <v>46236</v>
      </c>
      <c r="F66" t="inlineStr">
        <is>
          <t>JÖNKÖPINGS LÄN</t>
        </is>
      </c>
      <c r="G66" t="inlineStr">
        <is>
          <t>SÄVSJÖ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46236</v>
      </c>
      <c r="F67" t="inlineStr">
        <is>
          <t>JÖNKÖPINGS LÄN</t>
        </is>
      </c>
      <c r="G67" t="inlineStr">
        <is>
          <t>SÄVSJÖ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46236</v>
      </c>
      <c r="F68" t="inlineStr">
        <is>
          <t>JÖNKÖPINGS LÄN</t>
        </is>
      </c>
      <c r="G68" t="inlineStr">
        <is>
          <t>SÄVSJÖ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45244</v>
      </c>
      <c r="E69" s="1" t="n">
        <v>46236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44664</v>
      </c>
      <c r="E70" s="1" t="n">
        <v>46236</v>
      </c>
      <c r="F70" t="inlineStr">
        <is>
          <t>JÖNKÖPINGS LÄN</t>
        </is>
      </c>
      <c r="G70" t="inlineStr">
        <is>
          <t>SÄVSJÖ</t>
        </is>
      </c>
      <c r="H70" t="inlineStr">
        <is>
          <t>Kommuner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46236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45226</v>
      </c>
      <c r="E72" s="1" t="n">
        <v>46236</v>
      </c>
      <c r="F72" t="inlineStr">
        <is>
          <t>JÖNKÖPINGS LÄN</t>
        </is>
      </c>
      <c r="G72" t="inlineStr">
        <is>
          <t>SÄVSJÖ</t>
        </is>
      </c>
      <c r="H72" t="inlineStr">
        <is>
          <t>Kyrkan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46236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45008</v>
      </c>
      <c r="E74" s="1" t="n">
        <v>46236</v>
      </c>
      <c r="F74" t="inlineStr">
        <is>
          <t>JÖNKÖPINGS LÄN</t>
        </is>
      </c>
      <c r="G74" t="inlineStr">
        <is>
          <t>SÄVSJÖ</t>
        </is>
      </c>
      <c r="H74" t="inlineStr">
        <is>
          <t>Kommuner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23885-2024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45455</v>
      </c>
      <c r="E75" s="1" t="n">
        <v>46236</v>
      </c>
      <c r="F75" t="inlineStr">
        <is>
          <t>JÖNKÖPINGS LÄN</t>
        </is>
      </c>
      <c r="G75" t="inlineStr">
        <is>
          <t>SÄVSJÖ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46236</v>
      </c>
      <c r="F76" t="inlineStr">
        <is>
          <t>JÖNKÖPINGS LÄN</t>
        </is>
      </c>
      <c r="G76" t="inlineStr">
        <is>
          <t>SÄVSJÖ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71610-2021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44541</v>
      </c>
      <c r="E77" s="1" t="n">
        <v>46236</v>
      </c>
      <c r="F77" t="inlineStr">
        <is>
          <t>JÖNKÖPINGS LÄN</t>
        </is>
      </c>
      <c r="G77" t="inlineStr">
        <is>
          <t>SÄVSJÖ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46236</v>
      </c>
      <c r="F78" t="inlineStr">
        <is>
          <t>JÖNKÖPINGS LÄN</t>
        </is>
      </c>
      <c r="G78" t="inlineStr">
        <is>
          <t>SÄVSJÖ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55258-2021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44475</v>
      </c>
      <c r="E79" s="1" t="n">
        <v>46236</v>
      </c>
      <c r="F79" t="inlineStr">
        <is>
          <t>JÖNKÖPINGS LÄN</t>
        </is>
      </c>
      <c r="G79" t="inlineStr">
        <is>
          <t>SÄVSJÖ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44951</v>
      </c>
      <c r="E80" s="1" t="n">
        <v>46236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44798</v>
      </c>
      <c r="E81" s="1" t="n">
        <v>46236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46236</v>
      </c>
      <c r="F82" t="inlineStr">
        <is>
          <t>JÖNKÖPINGS LÄN</t>
        </is>
      </c>
      <c r="G82" t="inlineStr">
        <is>
          <t>SÄVSJÖ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46236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46236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44972</v>
      </c>
      <c r="E85" s="1" t="n">
        <v>46236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46236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45669</v>
      </c>
      <c r="E87" s="1" t="n">
        <v>46236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46236</v>
      </c>
      <c r="F88" t="inlineStr">
        <is>
          <t>JÖNKÖPINGS LÄN</t>
        </is>
      </c>
      <c r="G88" t="inlineStr">
        <is>
          <t>SÄVSJÖ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46236</v>
      </c>
      <c r="F89" t="inlineStr">
        <is>
          <t>JÖNKÖPINGS LÄN</t>
        </is>
      </c>
      <c r="G89" t="inlineStr">
        <is>
          <t>SÄVSJÖ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46236</v>
      </c>
      <c r="F90" t="inlineStr">
        <is>
          <t>JÖNKÖPINGS LÄN</t>
        </is>
      </c>
      <c r="G90" t="inlineStr">
        <is>
          <t>SÄVSJÖ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46236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46236</v>
      </c>
      <c r="F92" t="inlineStr">
        <is>
          <t>JÖNKÖPINGS LÄN</t>
        </is>
      </c>
      <c r="G92" t="inlineStr">
        <is>
          <t>SÄVSJÖ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46236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55254-2021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44475</v>
      </c>
      <c r="E94" s="1" t="n">
        <v>46236</v>
      </c>
      <c r="F94" t="inlineStr">
        <is>
          <t>JÖNKÖPINGS LÄN</t>
        </is>
      </c>
      <c r="G94" t="inlineStr">
        <is>
          <t>SÄVSJÖ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45881</v>
      </c>
      <c r="E95" s="1" t="n">
        <v>46236</v>
      </c>
      <c r="F95" t="inlineStr">
        <is>
          <t>JÖNKÖPINGS LÄN</t>
        </is>
      </c>
      <c r="G95" t="inlineStr">
        <is>
          <t>SÄVSJÖ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45534</v>
      </c>
      <c r="E96" s="1" t="n">
        <v>46236</v>
      </c>
      <c r="F96" t="inlineStr">
        <is>
          <t>JÖNKÖPINGS LÄN</t>
        </is>
      </c>
      <c r="G96" t="inlineStr">
        <is>
          <t>SÄVSJÖ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46236</v>
      </c>
      <c r="F97" t="inlineStr">
        <is>
          <t>JÖNKÖPINGS LÄN</t>
        </is>
      </c>
      <c r="G97" t="inlineStr">
        <is>
          <t>SÄVSJÖ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46236</v>
      </c>
      <c r="F98" t="inlineStr">
        <is>
          <t>JÖNKÖPINGS LÄN</t>
        </is>
      </c>
      <c r="G98" t="inlineStr">
        <is>
          <t>SÄVSJÖ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46236</v>
      </c>
      <c r="F99" t="inlineStr">
        <is>
          <t>JÖNKÖPINGS LÄN</t>
        </is>
      </c>
      <c r="G99" t="inlineStr">
        <is>
          <t>SÄVSJÖ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45660</v>
      </c>
      <c r="E100" s="1" t="n">
        <v>46236</v>
      </c>
      <c r="F100" t="inlineStr">
        <is>
          <t>JÖNKÖPINGS LÄN</t>
        </is>
      </c>
      <c r="G100" t="inlineStr">
        <is>
          <t>SÄVSJÖ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46236</v>
      </c>
      <c r="F101" t="inlineStr">
        <is>
          <t>JÖNKÖPINGS LÄN</t>
        </is>
      </c>
      <c r="G101" t="inlineStr">
        <is>
          <t>SÄVSJÖ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45446</v>
      </c>
      <c r="E102" s="1" t="n">
        <v>46236</v>
      </c>
      <c r="F102" t="inlineStr">
        <is>
          <t>JÖNKÖPINGS LÄN</t>
        </is>
      </c>
      <c r="G102" t="inlineStr">
        <is>
          <t>SÄVSJÖ</t>
        </is>
      </c>
      <c r="I102" t="n">
        <v>5.3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46236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46236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16403-2023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46236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46236</v>
      </c>
      <c r="F106" t="inlineStr">
        <is>
          <t>JÖNKÖPINGS LÄN</t>
        </is>
      </c>
      <c r="G106" t="inlineStr">
        <is>
          <t>SÄVSJÖ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45454</v>
      </c>
      <c r="E107" s="1" t="n">
        <v>46236</v>
      </c>
      <c r="F107" t="inlineStr">
        <is>
          <t>JÖNKÖPINGS LÄN</t>
        </is>
      </c>
      <c r="G107" t="inlineStr">
        <is>
          <t>SÄVSJÖ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45110</v>
      </c>
      <c r="E108" s="1" t="n">
        <v>46236</v>
      </c>
      <c r="F108" t="inlineStr">
        <is>
          <t>JÖNKÖPINGS LÄN</t>
        </is>
      </c>
      <c r="G108" t="inlineStr">
        <is>
          <t>SÄVSJÖ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46236</v>
      </c>
      <c r="F109" t="inlineStr">
        <is>
          <t>JÖNKÖPINGS LÄN</t>
        </is>
      </c>
      <c r="G109" t="inlineStr">
        <is>
          <t>SÄVSJÖ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46236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46236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46236</v>
      </c>
      <c r="F112" t="inlineStr">
        <is>
          <t>JÖNKÖPINGS LÄN</t>
        </is>
      </c>
      <c r="G112" t="inlineStr">
        <is>
          <t>SÄVSJÖ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46236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46236</v>
      </c>
      <c r="F114" t="inlineStr">
        <is>
          <t>JÖNKÖPINGS LÄN</t>
        </is>
      </c>
      <c r="G114" t="inlineStr">
        <is>
          <t>SÄVSJÖ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45671</v>
      </c>
      <c r="E115" s="1" t="n">
        <v>46236</v>
      </c>
      <c r="F115" t="inlineStr">
        <is>
          <t>JÖNKÖPINGS LÄN</t>
        </is>
      </c>
      <c r="G115" t="inlineStr">
        <is>
          <t>SÄVSJÖ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44590</v>
      </c>
      <c r="E116" s="1" t="n">
        <v>46236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45320</v>
      </c>
      <c r="E117" s="1" t="n">
        <v>46236</v>
      </c>
      <c r="F117" t="inlineStr">
        <is>
          <t>JÖNKÖPINGS LÄN</t>
        </is>
      </c>
      <c r="G117" t="inlineStr">
        <is>
          <t>SÄVSJÖ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45320</v>
      </c>
      <c r="E118" s="1" t="n">
        <v>46236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46236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46236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46236</v>
      </c>
      <c r="F121" t="inlineStr">
        <is>
          <t>JÖNKÖPINGS LÄN</t>
        </is>
      </c>
      <c r="G121" t="inlineStr">
        <is>
          <t>SÄVSJÖ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46236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44447</v>
      </c>
      <c r="E123" s="1" t="n">
        <v>46236</v>
      </c>
      <c r="F123" t="inlineStr">
        <is>
          <t>JÖNKÖPINGS LÄN</t>
        </is>
      </c>
      <c r="G123" t="inlineStr">
        <is>
          <t>SÄVSJÖ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46236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46236</v>
      </c>
      <c r="F125" t="inlineStr">
        <is>
          <t>JÖNKÖPINGS LÄN</t>
        </is>
      </c>
      <c r="G125" t="inlineStr">
        <is>
          <t>SÄVSJÖ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46236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20915-2023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45061</v>
      </c>
      <c r="E127" s="1" t="n">
        <v>46236</v>
      </c>
      <c r="F127" t="inlineStr">
        <is>
          <t>JÖNKÖPINGS LÄN</t>
        </is>
      </c>
      <c r="G127" t="inlineStr">
        <is>
          <t>SÄVSJÖ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45037</v>
      </c>
      <c r="E128" s="1" t="n">
        <v>46236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22066-2025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46236</v>
      </c>
      <c r="F129" t="inlineStr">
        <is>
          <t>JÖNKÖPINGS LÄN</t>
        </is>
      </c>
      <c r="G129" t="inlineStr">
        <is>
          <t>SÄVSJÖ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50493-2024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46236</v>
      </c>
      <c r="F130" t="inlineStr">
        <is>
          <t>JÖNKÖPINGS LÄN</t>
        </is>
      </c>
      <c r="G130" t="inlineStr">
        <is>
          <t>SÄVSJÖ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46236</v>
      </c>
      <c r="F131" t="inlineStr">
        <is>
          <t>JÖNKÖPINGS LÄN</t>
        </is>
      </c>
      <c r="G131" t="inlineStr">
        <is>
          <t>SÄVSJÖ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44957</v>
      </c>
      <c r="E132" s="1" t="n">
        <v>46236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45698</v>
      </c>
      <c r="E133" s="1" t="n">
        <v>46236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44893</v>
      </c>
      <c r="E134" s="1" t="n">
        <v>46236</v>
      </c>
      <c r="F134" t="inlineStr">
        <is>
          <t>JÖNKÖPINGS LÄN</t>
        </is>
      </c>
      <c r="G134" t="inlineStr">
        <is>
          <t>SÄVSJÖ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46236</v>
      </c>
      <c r="F135" t="inlineStr">
        <is>
          <t>JÖNKÖPINGS LÄN</t>
        </is>
      </c>
      <c r="G135" t="inlineStr">
        <is>
          <t>SÄVSJÖ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46236</v>
      </c>
      <c r="F136" t="inlineStr">
        <is>
          <t>JÖNKÖPINGS LÄN</t>
        </is>
      </c>
      <c r="G136" t="inlineStr">
        <is>
          <t>SÄVSJÖ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46236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29558-2023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46236</v>
      </c>
      <c r="F138" t="inlineStr">
        <is>
          <t>JÖNKÖPINGS LÄN</t>
        </is>
      </c>
      <c r="G138" t="inlineStr">
        <is>
          <t>SÄVSJÖ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46236</v>
      </c>
      <c r="F139" t="inlineStr">
        <is>
          <t>JÖNKÖPINGS LÄN</t>
        </is>
      </c>
      <c r="G139" t="inlineStr">
        <is>
          <t>SÄVSJÖ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46236</v>
      </c>
      <c r="F140" t="inlineStr">
        <is>
          <t>JÖNKÖPINGS LÄN</t>
        </is>
      </c>
      <c r="G140" t="inlineStr">
        <is>
          <t>SÄVSJÖ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46236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46236</v>
      </c>
      <c r="F142" t="inlineStr">
        <is>
          <t>JÖNKÖPINGS LÄN</t>
        </is>
      </c>
      <c r="G142" t="inlineStr">
        <is>
          <t>SÄVSJÖ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45268</v>
      </c>
      <c r="E143" s="1" t="n">
        <v>46236</v>
      </c>
      <c r="F143" t="inlineStr">
        <is>
          <t>JÖNKÖPINGS LÄN</t>
        </is>
      </c>
      <c r="G143" t="inlineStr">
        <is>
          <t>SÄVSJÖ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46236</v>
      </c>
      <c r="F144" t="inlineStr">
        <is>
          <t>JÖNKÖPINGS LÄN</t>
        </is>
      </c>
      <c r="G144" t="inlineStr">
        <is>
          <t>SÄVSJÖ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7285-2023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44970</v>
      </c>
      <c r="E145" s="1" t="n">
        <v>46236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46236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46236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49292-2023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45210</v>
      </c>
      <c r="E148" s="1" t="n">
        <v>46236</v>
      </c>
      <c r="F148" t="inlineStr">
        <is>
          <t>JÖNKÖPINGS LÄN</t>
        </is>
      </c>
      <c r="G148" t="inlineStr">
        <is>
          <t>SÄVSJÖ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62178-2023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46236</v>
      </c>
      <c r="F149" t="inlineStr">
        <is>
          <t>JÖNKÖPINGS LÄN</t>
        </is>
      </c>
      <c r="G149" t="inlineStr">
        <is>
          <t>SÄVSJÖ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45953</v>
      </c>
      <c r="E150" s="1" t="n">
        <v>46236</v>
      </c>
      <c r="F150" t="inlineStr">
        <is>
          <t>JÖNKÖPINGS LÄN</t>
        </is>
      </c>
      <c r="G150" t="inlineStr">
        <is>
          <t>SÄVSJÖ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46236</v>
      </c>
      <c r="F151" t="inlineStr">
        <is>
          <t>JÖNKÖPINGS LÄN</t>
        </is>
      </c>
      <c r="G151" t="inlineStr">
        <is>
          <t>SÄVSJÖ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46236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46236</v>
      </c>
      <c r="F153" t="inlineStr">
        <is>
          <t>JÖNKÖPINGS LÄN</t>
        </is>
      </c>
      <c r="G153" t="inlineStr">
        <is>
          <t>SÄVSJÖ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46236</v>
      </c>
      <c r="F154" t="inlineStr">
        <is>
          <t>JÖNKÖPINGS LÄN</t>
        </is>
      </c>
      <c r="G154" t="inlineStr">
        <is>
          <t>SÄVSJÖ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46236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27713-2023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45098</v>
      </c>
      <c r="E156" s="1" t="n">
        <v>46236</v>
      </c>
      <c r="F156" t="inlineStr">
        <is>
          <t>JÖNKÖPINGS LÄN</t>
        </is>
      </c>
      <c r="G156" t="inlineStr">
        <is>
          <t>SÄVSJÖ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46236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46236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46236</v>
      </c>
      <c r="F159" t="inlineStr">
        <is>
          <t>JÖNKÖPINGS LÄN</t>
        </is>
      </c>
      <c r="G159" t="inlineStr">
        <is>
          <t>SÄVSJÖ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46236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45634</v>
      </c>
      <c r="E161" s="1" t="n">
        <v>46236</v>
      </c>
      <c r="F161" t="inlineStr">
        <is>
          <t>JÖNKÖPINGS LÄN</t>
        </is>
      </c>
      <c r="G161" t="inlineStr">
        <is>
          <t>SÄVSJÖ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46236</v>
      </c>
      <c r="F162" t="inlineStr">
        <is>
          <t>JÖNKÖPINGS LÄN</t>
        </is>
      </c>
      <c r="G162" t="inlineStr">
        <is>
          <t>SÄVSJÖ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44414</v>
      </c>
      <c r="E163" s="1" t="n">
        <v>46236</v>
      </c>
      <c r="F163" t="inlineStr">
        <is>
          <t>JÖNKÖPINGS LÄN</t>
        </is>
      </c>
      <c r="G163" t="inlineStr">
        <is>
          <t>SÄVSJÖ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54275-2025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45964</v>
      </c>
      <c r="E164" s="1" t="n">
        <v>46236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44426</v>
      </c>
      <c r="E165" s="1" t="n">
        <v>46236</v>
      </c>
      <c r="F165" t="inlineStr">
        <is>
          <t>JÖNKÖPINGS LÄN</t>
        </is>
      </c>
      <c r="G165" t="inlineStr">
        <is>
          <t>SÄVSJÖ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46236</v>
      </c>
      <c r="F166" t="inlineStr">
        <is>
          <t>JÖNKÖPINGS LÄN</t>
        </is>
      </c>
      <c r="G166" t="inlineStr">
        <is>
          <t>SÄVSJÖ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54759-2025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46236</v>
      </c>
      <c r="F167" t="inlineStr">
        <is>
          <t>JÖNKÖPINGS LÄN</t>
        </is>
      </c>
      <c r="G167" t="inlineStr">
        <is>
          <t>SÄVSJÖ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46236</v>
      </c>
      <c r="F168" t="inlineStr">
        <is>
          <t>JÖNKÖPINGS LÄN</t>
        </is>
      </c>
      <c r="G168" t="inlineStr">
        <is>
          <t>SÄVSJÖ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46236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46236</v>
      </c>
      <c r="F170" t="inlineStr">
        <is>
          <t>JÖNKÖPINGS LÄN</t>
        </is>
      </c>
      <c r="G170" t="inlineStr">
        <is>
          <t>SÄVSJÖ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45067</v>
      </c>
      <c r="E171" s="1" t="n">
        <v>46236</v>
      </c>
      <c r="F171" t="inlineStr">
        <is>
          <t>JÖNKÖPINGS LÄN</t>
        </is>
      </c>
      <c r="G171" t="inlineStr">
        <is>
          <t>SÄVSJÖ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44501</v>
      </c>
      <c r="E172" s="1" t="n">
        <v>46236</v>
      </c>
      <c r="F172" t="inlineStr">
        <is>
          <t>JÖNKÖPINGS LÄN</t>
        </is>
      </c>
      <c r="G172" t="inlineStr">
        <is>
          <t>SÄVSJÖ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46236</v>
      </c>
      <c r="F173" t="inlineStr">
        <is>
          <t>JÖNKÖPINGS LÄN</t>
        </is>
      </c>
      <c r="G173" t="inlineStr">
        <is>
          <t>SÄVSJÖ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44995</v>
      </c>
      <c r="E174" s="1" t="n">
        <v>46236</v>
      </c>
      <c r="F174" t="inlineStr">
        <is>
          <t>JÖNKÖPINGS LÄN</t>
        </is>
      </c>
      <c r="G174" t="inlineStr">
        <is>
          <t>SÄVSJÖ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46236</v>
      </c>
      <c r="F175" t="inlineStr">
        <is>
          <t>JÖNKÖPINGS LÄN</t>
        </is>
      </c>
      <c r="G175" t="inlineStr">
        <is>
          <t>SÄVSJÖ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46236</v>
      </c>
      <c r="F176" t="inlineStr">
        <is>
          <t>JÖNKÖPINGS LÄN</t>
        </is>
      </c>
      <c r="G176" t="inlineStr">
        <is>
          <t>SÄVSJÖ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63308-2023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45274</v>
      </c>
      <c r="E177" s="1" t="n">
        <v>46236</v>
      </c>
      <c r="F177" t="inlineStr">
        <is>
          <t>JÖNKÖPINGS LÄN</t>
        </is>
      </c>
      <c r="G177" t="inlineStr">
        <is>
          <t>SÄVSJÖ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46236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46236</v>
      </c>
      <c r="F179" t="inlineStr">
        <is>
          <t>JÖNKÖPINGS LÄN</t>
        </is>
      </c>
      <c r="G179" t="inlineStr">
        <is>
          <t>SÄVSJÖ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46236</v>
      </c>
      <c r="F180" t="inlineStr">
        <is>
          <t>JÖNKÖPINGS LÄN</t>
        </is>
      </c>
      <c r="G180" t="inlineStr">
        <is>
          <t>SÄVSJÖ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46236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45768</v>
      </c>
      <c r="E182" s="1" t="n">
        <v>46236</v>
      </c>
      <c r="F182" t="inlineStr">
        <is>
          <t>JÖNKÖPINGS LÄN</t>
        </is>
      </c>
      <c r="G182" t="inlineStr">
        <is>
          <t>SÄVSJÖ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46236</v>
      </c>
      <c r="F183" t="inlineStr">
        <is>
          <t>JÖNKÖPINGS LÄN</t>
        </is>
      </c>
      <c r="G183" t="inlineStr">
        <is>
          <t>SÄVSJÖ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46236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46236</v>
      </c>
      <c r="F185" t="inlineStr">
        <is>
          <t>JÖNKÖPINGS LÄN</t>
        </is>
      </c>
      <c r="G185" t="inlineStr">
        <is>
          <t>SÄVSJÖ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46236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46236</v>
      </c>
      <c r="F187" t="inlineStr">
        <is>
          <t>JÖNKÖPINGS LÄN</t>
        </is>
      </c>
      <c r="G187" t="inlineStr">
        <is>
          <t>SÄVSJÖ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45079</v>
      </c>
      <c r="E188" s="1" t="n">
        <v>46236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46236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50627-2022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44866</v>
      </c>
      <c r="E190" s="1" t="n">
        <v>46236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46236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46236</v>
      </c>
      <c r="F192" t="inlineStr">
        <is>
          <t>JÖNKÖPINGS LÄN</t>
        </is>
      </c>
      <c r="G192" t="inlineStr">
        <is>
          <t>SÄVSJÖ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23776-2026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46236</v>
      </c>
      <c r="F193" t="inlineStr">
        <is>
          <t>JÖNKÖPINGS LÄN</t>
        </is>
      </c>
      <c r="G193" t="inlineStr">
        <is>
          <t>SÄVSJÖ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46236</v>
      </c>
      <c r="F194" t="inlineStr">
        <is>
          <t>JÖNKÖPINGS LÄN</t>
        </is>
      </c>
      <c r="G194" t="inlineStr">
        <is>
          <t>SÄVSJÖ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46236</v>
      </c>
      <c r="F195" t="inlineStr">
        <is>
          <t>JÖNKÖPINGS LÄN</t>
        </is>
      </c>
      <c r="G195" t="inlineStr">
        <is>
          <t>SÄVSJÖ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46236</v>
      </c>
      <c r="F196" t="inlineStr">
        <is>
          <t>JÖNKÖPINGS LÄN</t>
        </is>
      </c>
      <c r="G196" t="inlineStr">
        <is>
          <t>SÄVSJÖ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46236</v>
      </c>
      <c r="F197" t="inlineStr">
        <is>
          <t>JÖNKÖPINGS LÄN</t>
        </is>
      </c>
      <c r="G197" t="inlineStr">
        <is>
          <t>SÄVSJÖ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45317</v>
      </c>
      <c r="E198" s="1" t="n">
        <v>46236</v>
      </c>
      <c r="F198" t="inlineStr">
        <is>
          <t>JÖNKÖPINGS LÄN</t>
        </is>
      </c>
      <c r="G198" t="inlineStr">
        <is>
          <t>SÄVSJÖ</t>
        </is>
      </c>
      <c r="I198" t="n">
        <v>19.9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11266-2024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46236</v>
      </c>
      <c r="F199" t="inlineStr">
        <is>
          <t>JÖNKÖPINGS LÄN</t>
        </is>
      </c>
      <c r="G199" t="inlineStr">
        <is>
          <t>SÄVSJÖ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45066</v>
      </c>
      <c r="E200" s="1" t="n">
        <v>46236</v>
      </c>
      <c r="F200" t="inlineStr">
        <is>
          <t>JÖNKÖPINGS LÄN</t>
        </is>
      </c>
      <c r="G200" t="inlineStr">
        <is>
          <t>SÄVSJÖ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46307-2021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44442</v>
      </c>
      <c r="E201" s="1" t="n">
        <v>46236</v>
      </c>
      <c r="F201" t="inlineStr">
        <is>
          <t>JÖNKÖPINGS LÄN</t>
        </is>
      </c>
      <c r="G201" t="inlineStr">
        <is>
          <t>SÄVSJÖ</t>
        </is>
      </c>
      <c r="H201" t="inlineStr">
        <is>
          <t>Kommuner</t>
        </is>
      </c>
      <c r="I201" t="n">
        <v>25.6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46236</v>
      </c>
      <c r="F202" t="inlineStr">
        <is>
          <t>JÖNKÖPINGS LÄN</t>
        </is>
      </c>
      <c r="G202" t="inlineStr">
        <is>
          <t>SÄVSJÖ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60331-2025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45993</v>
      </c>
      <c r="E203" s="1" t="n">
        <v>46236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46236</v>
      </c>
      <c r="F204" t="inlineStr">
        <is>
          <t>JÖNKÖPINGS LÄN</t>
        </is>
      </c>
      <c r="G204" t="inlineStr">
        <is>
          <t>SÄVSJÖ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46236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46236</v>
      </c>
      <c r="F206" t="inlineStr">
        <is>
          <t>JÖNKÖPINGS LÄN</t>
        </is>
      </c>
      <c r="G206" t="inlineStr">
        <is>
          <t>SÄVSJÖ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46236</v>
      </c>
      <c r="F207" t="inlineStr">
        <is>
          <t>JÖNKÖPINGS LÄN</t>
        </is>
      </c>
      <c r="G207" t="inlineStr">
        <is>
          <t>SÄVSJÖ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23816-2026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46165</v>
      </c>
      <c r="E208" s="1" t="n">
        <v>46236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45094</v>
      </c>
      <c r="E209" s="1" t="n">
        <v>46236</v>
      </c>
      <c r="F209" t="inlineStr">
        <is>
          <t>JÖNKÖPINGS LÄN</t>
        </is>
      </c>
      <c r="G209" t="inlineStr">
        <is>
          <t>SÄVSJÖ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46236</v>
      </c>
      <c r="F210" t="inlineStr">
        <is>
          <t>JÖNKÖPINGS LÄN</t>
        </is>
      </c>
      <c r="G210" t="inlineStr">
        <is>
          <t>SÄVSJÖ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45094</v>
      </c>
      <c r="E211" s="1" t="n">
        <v>46236</v>
      </c>
      <c r="F211" t="inlineStr">
        <is>
          <t>JÖNKÖPINGS LÄN</t>
        </is>
      </c>
      <c r="G211" t="inlineStr">
        <is>
          <t>SÄVSJÖ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46236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45407</v>
      </c>
      <c r="E213" s="1" t="n">
        <v>46236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45407</v>
      </c>
      <c r="E214" s="1" t="n">
        <v>46236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46236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46236</v>
      </c>
      <c r="F216" t="inlineStr">
        <is>
          <t>JÖNKÖPINGS LÄN</t>
        </is>
      </c>
      <c r="G216" t="inlineStr">
        <is>
          <t>SÄVSJÖ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46236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64126-2021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44510</v>
      </c>
      <c r="E218" s="1" t="n">
        <v>46236</v>
      </c>
      <c r="F218" t="inlineStr">
        <is>
          <t>JÖNKÖPINGS LÄN</t>
        </is>
      </c>
      <c r="G218" t="inlineStr">
        <is>
          <t>SÄVSJÖ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45212</v>
      </c>
      <c r="E219" s="1" t="n">
        <v>46236</v>
      </c>
      <c r="F219" t="inlineStr">
        <is>
          <t>JÖNKÖPINGS LÄN</t>
        </is>
      </c>
      <c r="G219" t="inlineStr">
        <is>
          <t>SÄVSJÖ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46236</v>
      </c>
      <c r="F220" t="inlineStr">
        <is>
          <t>JÖNKÖPINGS LÄN</t>
        </is>
      </c>
      <c r="G220" t="inlineStr">
        <is>
          <t>SÄVSJÖ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46014</v>
      </c>
      <c r="E221" s="1" t="n">
        <v>46236</v>
      </c>
      <c r="F221" t="inlineStr">
        <is>
          <t>JÖNKÖPINGS LÄN</t>
        </is>
      </c>
      <c r="G221" t="inlineStr">
        <is>
          <t>SÄVSJÖ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46014</v>
      </c>
      <c r="E222" s="1" t="n">
        <v>46236</v>
      </c>
      <c r="F222" t="inlineStr">
        <is>
          <t>JÖNKÖPINGS LÄN</t>
        </is>
      </c>
      <c r="G222" t="inlineStr">
        <is>
          <t>SÄVSJÖ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46236</v>
      </c>
      <c r="F223" t="inlineStr">
        <is>
          <t>JÖNKÖPINGS LÄN</t>
        </is>
      </c>
      <c r="G223" t="inlineStr">
        <is>
          <t>SÄVSJÖ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46236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46236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46236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45102</v>
      </c>
      <c r="E227" s="1" t="n">
        <v>46236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50629-2022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44866</v>
      </c>
      <c r="E228" s="1" t="n">
        <v>46236</v>
      </c>
      <c r="F228" t="inlineStr">
        <is>
          <t>JÖNKÖPINGS LÄN</t>
        </is>
      </c>
      <c r="G228" t="inlineStr">
        <is>
          <t>SÄVSJÖ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46236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46236</v>
      </c>
      <c r="F230" t="inlineStr">
        <is>
          <t>JÖNKÖPINGS LÄN</t>
        </is>
      </c>
      <c r="G230" t="inlineStr">
        <is>
          <t>SÄVSJÖ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45228</v>
      </c>
      <c r="E231" s="1" t="n">
        <v>46236</v>
      </c>
      <c r="F231" t="inlineStr">
        <is>
          <t>JÖNKÖPINGS LÄN</t>
        </is>
      </c>
      <c r="G231" t="inlineStr">
        <is>
          <t>SÄVSJÖ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46236</v>
      </c>
      <c r="F232" t="inlineStr">
        <is>
          <t>JÖNKÖPINGS LÄN</t>
        </is>
      </c>
      <c r="G232" t="inlineStr">
        <is>
          <t>SÄVSJÖ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46236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46017</v>
      </c>
      <c r="E234" s="1" t="n">
        <v>46236</v>
      </c>
      <c r="F234" t="inlineStr">
        <is>
          <t>JÖNKÖPINGS LÄN</t>
        </is>
      </c>
      <c r="G234" t="inlineStr">
        <is>
          <t>SÄVSJÖ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62961-2021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44505</v>
      </c>
      <c r="E235" s="1" t="n">
        <v>46236</v>
      </c>
      <c r="F235" t="inlineStr">
        <is>
          <t>JÖNKÖPINGS LÄN</t>
        </is>
      </c>
      <c r="G235" t="inlineStr">
        <is>
          <t>SÄVSJÖ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46236</v>
      </c>
      <c r="F236" t="inlineStr">
        <is>
          <t>JÖNKÖPINGS LÄN</t>
        </is>
      </c>
      <c r="G236" t="inlineStr">
        <is>
          <t>SÄVSJÖ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11263-2024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46236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62177-2023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46236</v>
      </c>
      <c r="F238" t="inlineStr">
        <is>
          <t>JÖNKÖPINGS LÄN</t>
        </is>
      </c>
      <c r="G238" t="inlineStr">
        <is>
          <t>SÄVSJÖ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46236</v>
      </c>
      <c r="F239" t="inlineStr">
        <is>
          <t>JÖNKÖPINGS LÄN</t>
        </is>
      </c>
      <c r="G239" t="inlineStr">
        <is>
          <t>SÄVSJÖ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46236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46236</v>
      </c>
      <c r="F241" t="inlineStr">
        <is>
          <t>JÖNKÖPINGS LÄN</t>
        </is>
      </c>
      <c r="G241" t="inlineStr">
        <is>
          <t>SÄVSJÖ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45166</v>
      </c>
      <c r="E242" s="1" t="n">
        <v>46236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46236</v>
      </c>
      <c r="F243" t="inlineStr">
        <is>
          <t>JÖNKÖPINGS LÄN</t>
        </is>
      </c>
      <c r="G243" t="inlineStr">
        <is>
          <t>SÄVSJÖ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46236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51809-2024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46236</v>
      </c>
      <c r="F245" t="inlineStr">
        <is>
          <t>JÖNKÖPINGS LÄN</t>
        </is>
      </c>
      <c r="G245" t="inlineStr">
        <is>
          <t>SÄVSJÖ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46236</v>
      </c>
      <c r="F246" t="inlineStr">
        <is>
          <t>JÖNKÖPINGS LÄN</t>
        </is>
      </c>
      <c r="G246" t="inlineStr">
        <is>
          <t>SÄVSJÖ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17768-2023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46236</v>
      </c>
      <c r="F247" t="inlineStr">
        <is>
          <t>JÖNKÖPINGS LÄN</t>
        </is>
      </c>
      <c r="G247" t="inlineStr">
        <is>
          <t>SÄVSJÖ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45634</v>
      </c>
      <c r="E248" s="1" t="n">
        <v>46236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45634</v>
      </c>
      <c r="E249" s="1" t="n">
        <v>46236</v>
      </c>
      <c r="F249" t="inlineStr">
        <is>
          <t>JÖNKÖPINGS LÄN</t>
        </is>
      </c>
      <c r="G249" t="inlineStr">
        <is>
          <t>SÄVSJÖ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46236</v>
      </c>
      <c r="F250" t="inlineStr">
        <is>
          <t>JÖNKÖPINGS LÄN</t>
        </is>
      </c>
      <c r="G250" t="inlineStr">
        <is>
          <t>SÄVSJÖ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46236</v>
      </c>
      <c r="F251" t="inlineStr">
        <is>
          <t>JÖNKÖPINGS LÄN</t>
        </is>
      </c>
      <c r="G251" t="inlineStr">
        <is>
          <t>SÄVSJÖ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44988</v>
      </c>
      <c r="E252" s="1" t="n">
        <v>46236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55801-2021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44476</v>
      </c>
      <c r="E253" s="1" t="n">
        <v>46236</v>
      </c>
      <c r="F253" t="inlineStr">
        <is>
          <t>JÖNKÖPINGS LÄN</t>
        </is>
      </c>
      <c r="G253" t="inlineStr">
        <is>
          <t>SÄVSJÖ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46236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27015-2023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45094</v>
      </c>
      <c r="E255" s="1" t="n">
        <v>46236</v>
      </c>
      <c r="F255" t="inlineStr">
        <is>
          <t>JÖNKÖPINGS LÄN</t>
        </is>
      </c>
      <c r="G255" t="inlineStr">
        <is>
          <t>SÄVSJÖ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45611</v>
      </c>
      <c r="E256" s="1" t="n">
        <v>46236</v>
      </c>
      <c r="F256" t="inlineStr">
        <is>
          <t>JÖNKÖPINGS LÄN</t>
        </is>
      </c>
      <c r="G256" t="inlineStr">
        <is>
          <t>SÄVSJÖ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46236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45518</v>
      </c>
      <c r="E258" s="1" t="n">
        <v>46236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31721-2026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46226</v>
      </c>
      <c r="E259" s="1" t="n">
        <v>46236</v>
      </c>
      <c r="F259" t="inlineStr">
        <is>
          <t>JÖNKÖPINGS LÄN</t>
        </is>
      </c>
      <c r="G259" t="inlineStr">
        <is>
          <t>SÄVSJÖ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46236</v>
      </c>
      <c r="F260" t="inlineStr">
        <is>
          <t>JÖNKÖPINGS LÄN</t>
        </is>
      </c>
      <c r="G260" t="inlineStr">
        <is>
          <t>SÄVSJÖ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51998-2024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45607</v>
      </c>
      <c r="E261" s="1" t="n">
        <v>46236</v>
      </c>
      <c r="F261" t="inlineStr">
        <is>
          <t>JÖNKÖPINGS LÄN</t>
        </is>
      </c>
      <c r="G261" t="inlineStr">
        <is>
          <t>SÄVSJÖ</t>
        </is>
      </c>
      <c r="H261" t="inlineStr">
        <is>
          <t>Övriga Aktiebolag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46236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46236</v>
      </c>
      <c r="F263" t="inlineStr">
        <is>
          <t>JÖNKÖPINGS LÄN</t>
        </is>
      </c>
      <c r="G263" t="inlineStr">
        <is>
          <t>SÄVSJÖ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46236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46236</v>
      </c>
      <c r="F265" t="inlineStr">
        <is>
          <t>JÖNKÖPINGS LÄN</t>
        </is>
      </c>
      <c r="G265" t="inlineStr">
        <is>
          <t>SÄVSJÖ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46236</v>
      </c>
      <c r="F266" t="inlineStr">
        <is>
          <t>JÖNKÖPINGS LÄN</t>
        </is>
      </c>
      <c r="G266" t="inlineStr">
        <is>
          <t>SÄVSJÖ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46236</v>
      </c>
      <c r="F267" t="inlineStr">
        <is>
          <t>JÖNKÖPINGS LÄN</t>
        </is>
      </c>
      <c r="G267" t="inlineStr">
        <is>
          <t>SÄVSJÖ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46236</v>
      </c>
      <c r="F268" t="inlineStr">
        <is>
          <t>JÖNKÖPINGS LÄN</t>
        </is>
      </c>
      <c r="G268" t="inlineStr">
        <is>
          <t>SÄVSJÖ</t>
        </is>
      </c>
      <c r="H268" t="inlineStr">
        <is>
          <t>Kyrkan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45534</v>
      </c>
      <c r="E269" s="1" t="n">
        <v>46236</v>
      </c>
      <c r="F269" t="inlineStr">
        <is>
          <t>JÖNKÖPINGS LÄN</t>
        </is>
      </c>
      <c r="G269" t="inlineStr">
        <is>
          <t>SÄVSJÖ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46236</v>
      </c>
      <c r="F270" t="inlineStr">
        <is>
          <t>JÖNKÖPINGS LÄN</t>
        </is>
      </c>
      <c r="G270" t="inlineStr">
        <is>
          <t>SÄVSJÖ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46236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46236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46236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46236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46236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46070</v>
      </c>
      <c r="E276" s="1" t="n">
        <v>46236</v>
      </c>
      <c r="F276" t="inlineStr">
        <is>
          <t>JÖNKÖPINGS LÄN</t>
        </is>
      </c>
      <c r="G276" t="inlineStr">
        <is>
          <t>SÄVSJÖ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45054</v>
      </c>
      <c r="E277" s="1" t="n">
        <v>46236</v>
      </c>
      <c r="F277" t="inlineStr">
        <is>
          <t>JÖNKÖPINGS LÄN</t>
        </is>
      </c>
      <c r="G277" t="inlineStr">
        <is>
          <t>SÄVSJÖ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21795-2023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45067</v>
      </c>
      <c r="E278" s="1" t="n">
        <v>46236</v>
      </c>
      <c r="F278" t="inlineStr">
        <is>
          <t>JÖNKÖPINGS LÄN</t>
        </is>
      </c>
      <c r="G278" t="inlineStr">
        <is>
          <t>SÄVSJÖ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46236</v>
      </c>
      <c r="F279" t="inlineStr">
        <is>
          <t>JÖNKÖPINGS LÄN</t>
        </is>
      </c>
      <c r="G279" t="inlineStr">
        <is>
          <t>SÄVSJÖ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46236</v>
      </c>
      <c r="F280" t="inlineStr">
        <is>
          <t>JÖNKÖPINGS LÄN</t>
        </is>
      </c>
      <c r="G280" t="inlineStr">
        <is>
          <t>SÄVSJÖ</t>
        </is>
      </c>
      <c r="H280" t="inlineStr">
        <is>
          <t>Sveaskog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46236</v>
      </c>
      <c r="F281" t="inlineStr">
        <is>
          <t>JÖNKÖPINGS LÄN</t>
        </is>
      </c>
      <c r="G281" t="inlineStr">
        <is>
          <t>SÄVSJÖ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46236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46236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46236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46236</v>
      </c>
      <c r="F285" t="inlineStr">
        <is>
          <t>JÖNKÖPINGS LÄN</t>
        </is>
      </c>
      <c r="G285" t="inlineStr">
        <is>
          <t>SÄVSJÖ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46236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46236</v>
      </c>
      <c r="F287" t="inlineStr">
        <is>
          <t>JÖNKÖPINGS LÄN</t>
        </is>
      </c>
      <c r="G287" t="inlineStr">
        <is>
          <t>SÄVSJÖ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46236</v>
      </c>
      <c r="F288" t="inlineStr">
        <is>
          <t>JÖNKÖPINGS LÄN</t>
        </is>
      </c>
      <c r="G288" t="inlineStr">
        <is>
          <t>SÄVSJÖ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45334</v>
      </c>
      <c r="E289" s="1" t="n">
        <v>46236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46236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46236</v>
      </c>
      <c r="F291" t="inlineStr">
        <is>
          <t>JÖNKÖPINGS LÄN</t>
        </is>
      </c>
      <c r="G291" t="inlineStr">
        <is>
          <t>SÄVSJÖ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45321</v>
      </c>
      <c r="E292" s="1" t="n">
        <v>46236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46236</v>
      </c>
      <c r="F293" t="inlineStr">
        <is>
          <t>JÖNKÖPINGS LÄN</t>
        </is>
      </c>
      <c r="G293" t="inlineStr">
        <is>
          <t>SÄVSJÖ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46236</v>
      </c>
      <c r="F294" t="inlineStr">
        <is>
          <t>JÖNKÖPINGS LÄN</t>
        </is>
      </c>
      <c r="G294" t="inlineStr">
        <is>
          <t>SÄVSJÖ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45201</v>
      </c>
      <c r="E295" s="1" t="n">
        <v>46236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12242-2026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46236</v>
      </c>
      <c r="F296" t="inlineStr">
        <is>
          <t>JÖNKÖPINGS LÄN</t>
        </is>
      </c>
      <c r="G296" t="inlineStr">
        <is>
          <t>SÄVSJÖ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46408-2023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45197</v>
      </c>
      <c r="E297" s="1" t="n">
        <v>46236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46236</v>
      </c>
      <c r="F298" t="inlineStr">
        <is>
          <t>JÖNKÖPINGS LÄN</t>
        </is>
      </c>
      <c r="G298" t="inlineStr">
        <is>
          <t>SÄVSJÖ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46236</v>
      </c>
      <c r="F299" t="inlineStr">
        <is>
          <t>JÖNKÖPINGS LÄN</t>
        </is>
      </c>
      <c r="G299" t="inlineStr">
        <is>
          <t>SÄVSJÖ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46236</v>
      </c>
      <c r="F300" t="inlineStr">
        <is>
          <t>JÖNKÖPINGS LÄN</t>
        </is>
      </c>
      <c r="G300" t="inlineStr">
        <is>
          <t>SÄVSJÖ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46236</v>
      </c>
      <c r="F301" t="inlineStr">
        <is>
          <t>JÖNKÖPINGS LÄN</t>
        </is>
      </c>
      <c r="G301" t="inlineStr">
        <is>
          <t>SÄVSJÖ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45253</v>
      </c>
      <c r="E302" s="1" t="n">
        <v>46236</v>
      </c>
      <c r="F302" t="inlineStr">
        <is>
          <t>JÖNKÖPINGS LÄN</t>
        </is>
      </c>
      <c r="G302" t="inlineStr">
        <is>
          <t>SÄVSJÖ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44872</v>
      </c>
      <c r="E303" s="1" t="n">
        <v>46236</v>
      </c>
      <c r="F303" t="inlineStr">
        <is>
          <t>JÖNKÖPINGS LÄN</t>
        </is>
      </c>
      <c r="G303" t="inlineStr">
        <is>
          <t>SÄVSJÖ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46097</v>
      </c>
      <c r="E304" s="1" t="n">
        <v>46236</v>
      </c>
      <c r="F304" t="inlineStr">
        <is>
          <t>JÖNKÖPINGS LÄN</t>
        </is>
      </c>
      <c r="G304" t="inlineStr">
        <is>
          <t>SÄVSJÖ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45238</v>
      </c>
      <c r="E305" s="1" t="n">
        <v>46236</v>
      </c>
      <c r="F305" t="inlineStr">
        <is>
          <t>JÖNKÖPINGS LÄN</t>
        </is>
      </c>
      <c r="G305" t="inlineStr">
        <is>
          <t>SÄVSJÖ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46236</v>
      </c>
      <c r="F306" t="inlineStr">
        <is>
          <t>JÖNKÖPINGS LÄN</t>
        </is>
      </c>
      <c r="G306" t="inlineStr">
        <is>
          <t>SÄVSJÖ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45747</v>
      </c>
      <c r="E307" s="1" t="n">
        <v>46236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45704</v>
      </c>
      <c r="E308" s="1" t="n">
        <v>46236</v>
      </c>
      <c r="F308" t="inlineStr">
        <is>
          <t>JÖNKÖPINGS LÄN</t>
        </is>
      </c>
      <c r="G308" t="inlineStr">
        <is>
          <t>SÄVSJÖ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14880-2022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44656</v>
      </c>
      <c r="E309" s="1" t="n">
        <v>46236</v>
      </c>
      <c r="F309" t="inlineStr">
        <is>
          <t>JÖNKÖPINGS LÄN</t>
        </is>
      </c>
      <c r="G309" t="inlineStr">
        <is>
          <t>SÄVSJÖ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7917-2024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45350</v>
      </c>
      <c r="E310" s="1" t="n">
        <v>46236</v>
      </c>
      <c r="F310" t="inlineStr">
        <is>
          <t>JÖNKÖPINGS LÄN</t>
        </is>
      </c>
      <c r="G310" t="inlineStr">
        <is>
          <t>SÄVSJÖ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46236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46236</v>
      </c>
      <c r="F312" t="inlineStr">
        <is>
          <t>JÖNKÖPINGS LÄN</t>
        </is>
      </c>
      <c r="G312" t="inlineStr">
        <is>
          <t>SÄVSJÖ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46236</v>
      </c>
      <c r="F313" t="inlineStr">
        <is>
          <t>JÖNKÖPINGS LÄN</t>
        </is>
      </c>
      <c r="G313" t="inlineStr">
        <is>
          <t>SÄVSJÖ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46236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14778-2026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46236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14779-2026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46236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45694</v>
      </c>
      <c r="E317" s="1" t="n">
        <v>46236</v>
      </c>
      <c r="F317" t="inlineStr">
        <is>
          <t>JÖNKÖPINGS LÄN</t>
        </is>
      </c>
      <c r="G317" t="inlineStr">
        <is>
          <t>SÄVSJÖ</t>
        </is>
      </c>
      <c r="I317" t="n">
        <v>9.800000000000001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46236</v>
      </c>
      <c r="F318" t="inlineStr">
        <is>
          <t>JÖNKÖPINGS LÄN</t>
        </is>
      </c>
      <c r="G318" t="inlineStr">
        <is>
          <t>SÄVSJÖ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46236</v>
      </c>
      <c r="F319" t="inlineStr">
        <is>
          <t>JÖNKÖPINGS LÄN</t>
        </is>
      </c>
      <c r="G319" t="inlineStr">
        <is>
          <t>SÄVSJÖ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46236</v>
      </c>
      <c r="F320" t="inlineStr">
        <is>
          <t>JÖNKÖPINGS LÄN</t>
        </is>
      </c>
      <c r="G320" t="inlineStr">
        <is>
          <t>SÄVSJÖ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45433</v>
      </c>
      <c r="E321" s="1" t="n">
        <v>46236</v>
      </c>
      <c r="F321" t="inlineStr">
        <is>
          <t>JÖNKÖPINGS LÄN</t>
        </is>
      </c>
      <c r="G321" t="inlineStr">
        <is>
          <t>SÄVSJÖ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46236</v>
      </c>
      <c r="F322" t="inlineStr">
        <is>
          <t>JÖNKÖPINGS LÄN</t>
        </is>
      </c>
      <c r="G322" t="inlineStr">
        <is>
          <t>SÄVSJÖ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46108</v>
      </c>
      <c r="E323" s="1" t="n">
        <v>46236</v>
      </c>
      <c r="F323" t="inlineStr">
        <is>
          <t>JÖNKÖPINGS LÄN</t>
        </is>
      </c>
      <c r="G323" t="inlineStr">
        <is>
          <t>SÄVSJÖ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46113</v>
      </c>
      <c r="E324" s="1" t="n">
        <v>46236</v>
      </c>
      <c r="F324" t="inlineStr">
        <is>
          <t>JÖNKÖPINGS LÄN</t>
        </is>
      </c>
      <c r="G324" t="inlineStr">
        <is>
          <t>SÄVSJÖ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45237</v>
      </c>
      <c r="E325" s="1" t="n">
        <v>46236</v>
      </c>
      <c r="F325" t="inlineStr">
        <is>
          <t>JÖNKÖPINGS LÄN</t>
        </is>
      </c>
      <c r="G325" t="inlineStr">
        <is>
          <t>SÄVSJÖ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44651</v>
      </c>
      <c r="E326" s="1" t="n">
        <v>46236</v>
      </c>
      <c r="F326" t="inlineStr">
        <is>
          <t>JÖNKÖPINGS LÄN</t>
        </is>
      </c>
      <c r="G326" t="inlineStr">
        <is>
          <t>SÄVSJÖ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46236</v>
      </c>
      <c r="F327" t="inlineStr">
        <is>
          <t>JÖNKÖPINGS LÄN</t>
        </is>
      </c>
      <c r="G327" t="inlineStr">
        <is>
          <t>SÄVSJÖ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18089-2026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46125</v>
      </c>
      <c r="E328" s="1" t="n">
        <v>46236</v>
      </c>
      <c r="F328" t="inlineStr">
        <is>
          <t>JÖNKÖPINGS LÄN</t>
        </is>
      </c>
      <c r="G328" t="inlineStr">
        <is>
          <t>SÄVSJÖ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46236</v>
      </c>
      <c r="F329" t="inlineStr">
        <is>
          <t>JÖNKÖPINGS LÄN</t>
        </is>
      </c>
      <c r="G329" t="inlineStr">
        <is>
          <t>SÄVSJÖ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54547-2023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45226</v>
      </c>
      <c r="E330" s="1" t="n">
        <v>46236</v>
      </c>
      <c r="F330" t="inlineStr">
        <is>
          <t>JÖNKÖPINGS LÄN</t>
        </is>
      </c>
      <c r="G330" t="inlineStr">
        <is>
          <t>SÄVSJÖ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46236</v>
      </c>
      <c r="F331" t="inlineStr">
        <is>
          <t>JÖNKÖPINGS LÄN</t>
        </is>
      </c>
      <c r="G331" t="inlineStr">
        <is>
          <t>SÄVSJÖ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46236</v>
      </c>
      <c r="F332" t="inlineStr">
        <is>
          <t>JÖNKÖPINGS LÄN</t>
        </is>
      </c>
      <c r="G332" t="inlineStr">
        <is>
          <t>SÄVSJÖ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45412</v>
      </c>
      <c r="E333" s="1" t="n">
        <v>46236</v>
      </c>
      <c r="F333" t="inlineStr">
        <is>
          <t>JÖNKÖPINGS LÄN</t>
        </is>
      </c>
      <c r="G333" t="inlineStr">
        <is>
          <t>SÄVSJÖ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45725</v>
      </c>
      <c r="E334" s="1" t="n">
        <v>46236</v>
      </c>
      <c r="F334" t="inlineStr">
        <is>
          <t>JÖNKÖPINGS LÄN</t>
        </is>
      </c>
      <c r="G334" t="inlineStr">
        <is>
          <t>SÄVSJÖ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46236</v>
      </c>
      <c r="F335" t="inlineStr">
        <is>
          <t>JÖNKÖPINGS LÄN</t>
        </is>
      </c>
      <c r="G335" t="inlineStr">
        <is>
          <t>SÄVSJÖ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46236</v>
      </c>
      <c r="F336" t="inlineStr">
        <is>
          <t>JÖNKÖPINGS LÄN</t>
        </is>
      </c>
      <c r="G336" t="inlineStr">
        <is>
          <t>SÄVSJÖ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42394-2022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46236</v>
      </c>
      <c r="F337" t="inlineStr">
        <is>
          <t>JÖNKÖPINGS LÄN</t>
        </is>
      </c>
      <c r="G337" t="inlineStr">
        <is>
          <t>SÄVSJÖ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46236</v>
      </c>
      <c r="F338" t="inlineStr">
        <is>
          <t>JÖNKÖPINGS LÄN</t>
        </is>
      </c>
      <c r="G338" t="inlineStr">
        <is>
          <t>SÄVSJÖ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45573</v>
      </c>
      <c r="E339" s="1" t="n">
        <v>46236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45879</v>
      </c>
      <c r="E340" s="1" t="n">
        <v>46236</v>
      </c>
      <c r="F340" t="inlineStr">
        <is>
          <t>JÖNKÖPINGS LÄN</t>
        </is>
      </c>
      <c r="G340" t="inlineStr">
        <is>
          <t>SÄVSJÖ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60805-2024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45644</v>
      </c>
      <c r="E341" s="1" t="n">
        <v>46236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46236</v>
      </c>
      <c r="F342" t="inlineStr">
        <is>
          <t>JÖNKÖPINGS LÄN</t>
        </is>
      </c>
      <c r="G342" t="inlineStr">
        <is>
          <t>SÄVSJÖ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45237</v>
      </c>
      <c r="E343" s="1" t="n">
        <v>46236</v>
      </c>
      <c r="F343" t="inlineStr">
        <is>
          <t>JÖNKÖPINGS LÄN</t>
        </is>
      </c>
      <c r="G343" t="inlineStr">
        <is>
          <t>SÄVSJÖ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45301</v>
      </c>
      <c r="E344" s="1" t="n">
        <v>46236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46236</v>
      </c>
      <c r="F345" t="inlineStr">
        <is>
          <t>JÖNKÖPINGS LÄN</t>
        </is>
      </c>
      <c r="G345" t="inlineStr">
        <is>
          <t>SÄVSJÖ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46236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46236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46236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46236</v>
      </c>
      <c r="F349" t="inlineStr">
        <is>
          <t>JÖNKÖPINGS LÄN</t>
        </is>
      </c>
      <c r="G349" t="inlineStr">
        <is>
          <t>SÄVSJÖ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63679-2023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45275</v>
      </c>
      <c r="E350" s="1" t="n">
        <v>46236</v>
      </c>
      <c r="F350" t="inlineStr">
        <is>
          <t>JÖNKÖPINGS LÄN</t>
        </is>
      </c>
      <c r="G350" t="inlineStr">
        <is>
          <t>SÄVSJÖ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45320</v>
      </c>
      <c r="E351" s="1" t="n">
        <v>46236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46236</v>
      </c>
      <c r="F352" t="inlineStr">
        <is>
          <t>JÖNKÖPINGS LÄN</t>
        </is>
      </c>
      <c r="G352" t="inlineStr">
        <is>
          <t>SÄVSJÖ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46236</v>
      </c>
      <c r="F353" t="inlineStr">
        <is>
          <t>JÖNKÖPINGS LÄN</t>
        </is>
      </c>
      <c r="G353" t="inlineStr">
        <is>
          <t>SÄVSJÖ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46236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23151-2025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46236</v>
      </c>
      <c r="F355" t="inlineStr">
        <is>
          <t>JÖNKÖPINGS LÄN</t>
        </is>
      </c>
      <c r="G355" t="inlineStr">
        <is>
          <t>SÄVSJÖ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38914-2024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45547</v>
      </c>
      <c r="E356" s="1" t="n">
        <v>46236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44838</v>
      </c>
      <c r="E357" s="1" t="n">
        <v>46236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55909-2024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45623</v>
      </c>
      <c r="E358" s="1" t="n">
        <v>46236</v>
      </c>
      <c r="F358" t="inlineStr">
        <is>
          <t>JÖNKÖPINGS LÄN</t>
        </is>
      </c>
      <c r="G358" t="inlineStr">
        <is>
          <t>SÄVSJÖ</t>
        </is>
      </c>
      <c r="H358" t="inlineStr">
        <is>
          <t>Kommuner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45733</v>
      </c>
      <c r="E359" s="1" t="n">
        <v>46236</v>
      </c>
      <c r="F359" t="inlineStr">
        <is>
          <t>JÖNKÖPINGS LÄN</t>
        </is>
      </c>
      <c r="G359" t="inlineStr">
        <is>
          <t>SÄVSJÖ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46236</v>
      </c>
      <c r="F360" t="inlineStr">
        <is>
          <t>JÖNKÖPINGS LÄN</t>
        </is>
      </c>
      <c r="G360" t="inlineStr">
        <is>
          <t>SÄVSJÖ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46236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46236</v>
      </c>
      <c r="F362" t="inlineStr">
        <is>
          <t>JÖNKÖPINGS LÄN</t>
        </is>
      </c>
      <c r="G362" t="inlineStr">
        <is>
          <t>SÄVSJÖ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45548</v>
      </c>
      <c r="E363" s="1" t="n">
        <v>46236</v>
      </c>
      <c r="F363" t="inlineStr">
        <is>
          <t>JÖNKÖPINGS LÄN</t>
        </is>
      </c>
      <c r="G363" t="inlineStr">
        <is>
          <t>SÄVSJÖ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45727</v>
      </c>
      <c r="E364" s="1" t="n">
        <v>46236</v>
      </c>
      <c r="F364" t="inlineStr">
        <is>
          <t>JÖNKÖPINGS LÄN</t>
        </is>
      </c>
      <c r="G364" t="inlineStr">
        <is>
          <t>SÄVSJÖ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46236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46236</v>
      </c>
      <c r="F366" t="inlineStr">
        <is>
          <t>JÖNKÖPINGS LÄN</t>
        </is>
      </c>
      <c r="G366" t="inlineStr">
        <is>
          <t>SÄVSJÖ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45832</v>
      </c>
      <c r="E367" s="1" t="n">
        <v>46236</v>
      </c>
      <c r="F367" t="inlineStr">
        <is>
          <t>JÖNKÖPINGS LÄN</t>
        </is>
      </c>
      <c r="G367" t="inlineStr">
        <is>
          <t>SÄVSJÖ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45833</v>
      </c>
      <c r="E368" s="1" t="n">
        <v>46236</v>
      </c>
      <c r="F368" t="inlineStr">
        <is>
          <t>JÖNKÖPINGS LÄN</t>
        </is>
      </c>
      <c r="G368" t="inlineStr">
        <is>
          <t>SÄVSJÖ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45833</v>
      </c>
      <c r="E369" s="1" t="n">
        <v>46236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46236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45764</v>
      </c>
      <c r="E371" s="1" t="n">
        <v>46236</v>
      </c>
      <c r="F371" t="inlineStr">
        <is>
          <t>JÖNKÖPINGS LÄN</t>
        </is>
      </c>
      <c r="G371" t="inlineStr">
        <is>
          <t>SÄVSJÖ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46236</v>
      </c>
      <c r="F372" t="inlineStr">
        <is>
          <t>JÖNKÖPINGS LÄN</t>
        </is>
      </c>
      <c r="G372" t="inlineStr">
        <is>
          <t>SÄVSJÖ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17679-2024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46236</v>
      </c>
      <c r="F373" t="inlineStr">
        <is>
          <t>JÖNKÖPINGS LÄN</t>
        </is>
      </c>
      <c r="G373" t="inlineStr">
        <is>
          <t>SÄVSJÖ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46236</v>
      </c>
      <c r="F374" t="inlineStr">
        <is>
          <t>JÖNKÖPINGS LÄN</t>
        </is>
      </c>
      <c r="G374" t="inlineStr">
        <is>
          <t>SÄVSJÖ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54827-2021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44474</v>
      </c>
      <c r="E375" s="1" t="n">
        <v>46236</v>
      </c>
      <c r="F375" t="inlineStr">
        <is>
          <t>JÖNKÖPINGS LÄN</t>
        </is>
      </c>
      <c r="G375" t="inlineStr">
        <is>
          <t>SÄVSJÖ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30162-2023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45110</v>
      </c>
      <c r="E376" s="1" t="n">
        <v>46236</v>
      </c>
      <c r="F376" t="inlineStr">
        <is>
          <t>JÖNKÖPINGS LÄN</t>
        </is>
      </c>
      <c r="G376" t="inlineStr">
        <is>
          <t>SÄVSJÖ</t>
        </is>
      </c>
      <c r="H376" t="inlineStr">
        <is>
          <t>Kommuner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43015-2022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44833</v>
      </c>
      <c r="E377" s="1" t="n">
        <v>46236</v>
      </c>
      <c r="F377" t="inlineStr">
        <is>
          <t>JÖNKÖPINGS LÄN</t>
        </is>
      </c>
      <c r="G377" t="inlineStr">
        <is>
          <t>SÄVSJÖ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10445-2021</t>
        </is>
      </c>
      <c r="B378" t="inlineStr">
        <is>
          <t>samrådsanmälan</t>
        </is>
      </c>
      <c r="C378" t="inlineStr">
        <is>
          <t>Skogsbilväg</t>
        </is>
      </c>
      <c r="D378" s="1" t="n">
        <v>44558</v>
      </c>
      <c r="E378" s="1" t="n">
        <v>46236</v>
      </c>
      <c r="F378" t="inlineStr">
        <is>
          <t>JÖNKÖPINGS LÄN</t>
        </is>
      </c>
      <c r="G378" t="inlineStr">
        <is>
          <t>SÄVSJÖ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46236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46236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46236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46236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46236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46236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2660-2023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45152</v>
      </c>
      <c r="E385" s="1" t="n">
        <v>46236</v>
      </c>
      <c r="F385" t="inlineStr">
        <is>
          <t>JÖNKÖPINGS LÄN</t>
        </is>
      </c>
      <c r="G385" t="inlineStr">
        <is>
          <t>SÄVSJÖ</t>
        </is>
      </c>
      <c r="I385" t="n">
        <v>14.2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4880-2024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45620</v>
      </c>
      <c r="E386" s="1" t="n">
        <v>46236</v>
      </c>
      <c r="F386" t="inlineStr">
        <is>
          <t>JÖNKÖPINGS LÄN</t>
        </is>
      </c>
      <c r="G386" t="inlineStr">
        <is>
          <t>SÄVSJÖ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4563-2024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45600</v>
      </c>
      <c r="E387" s="1" t="n">
        <v>46236</v>
      </c>
      <c r="F387" t="inlineStr">
        <is>
          <t>JÖNKÖPINGS LÄN</t>
        </is>
      </c>
      <c r="G387" t="inlineStr">
        <is>
          <t>SÄVSJÖ</t>
        </is>
      </c>
      <c r="I387" t="n">
        <v>7.4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2576-2023</t>
        </is>
      </c>
      <c r="B388" t="inlineStr">
        <is>
          <t>samrådsanmälan</t>
        </is>
      </c>
      <c r="C388" t="inlineStr">
        <is>
          <t>Stubbskörd</t>
        </is>
      </c>
      <c r="D388" s="1" t="n">
        <v>45141</v>
      </c>
      <c r="E388" s="1" t="n">
        <v>46236</v>
      </c>
      <c r="F388" t="inlineStr">
        <is>
          <t>JÖNKÖPINGS LÄN</t>
        </is>
      </c>
      <c r="G388" t="inlineStr">
        <is>
          <t>SÄVSJÖ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1237-2025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45762</v>
      </c>
      <c r="E389" s="1" t="n">
        <v>46236</v>
      </c>
      <c r="F389" t="inlineStr">
        <is>
          <t>JÖNKÖPINGS LÄN</t>
        </is>
      </c>
      <c r="G389" t="inlineStr">
        <is>
          <t>SÄVSJÖ</t>
        </is>
      </c>
      <c r="I389" t="n">
        <v>28.5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1374-2025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45776</v>
      </c>
      <c r="E390" s="1" t="n">
        <v>46236</v>
      </c>
      <c r="F390" t="inlineStr">
        <is>
          <t>JÖNKÖPINGS LÄN</t>
        </is>
      </c>
      <c r="G390" t="inlineStr">
        <is>
          <t>SÄVSJÖ</t>
        </is>
      </c>
      <c r="H390" t="inlineStr">
        <is>
          <t>Sveaskog</t>
        </is>
      </c>
      <c r="I390" t="n">
        <v>63.1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1459-2025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45786</v>
      </c>
      <c r="E391" s="1" t="n">
        <v>46236</v>
      </c>
      <c r="F391" t="inlineStr">
        <is>
          <t>JÖNKÖPINGS LÄN</t>
        </is>
      </c>
      <c r="G391" t="inlineStr">
        <is>
          <t>SÄVSJÖ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1457-2025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45785</v>
      </c>
      <c r="E392" s="1" t="n">
        <v>46236</v>
      </c>
      <c r="F392" t="inlineStr">
        <is>
          <t>JÖNKÖPINGS LÄN</t>
        </is>
      </c>
      <c r="G392" t="inlineStr">
        <is>
          <t>SÄVSJÖ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1570-2025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45794</v>
      </c>
      <c r="E393" s="1" t="n">
        <v>46236</v>
      </c>
      <c r="F393" t="inlineStr">
        <is>
          <t>JÖNKÖPINGS LÄN</t>
        </is>
      </c>
      <c r="G393" t="inlineStr">
        <is>
          <t>SÄVSJÖ</t>
        </is>
      </c>
      <c r="H393" t="inlineStr">
        <is>
          <t>Kyrkan</t>
        </is>
      </c>
      <c r="I393" t="n">
        <v>57.8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46236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153.1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573-2025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45712</v>
      </c>
      <c r="E395" s="1" t="n">
        <v>46236</v>
      </c>
      <c r="F395" t="inlineStr">
        <is>
          <t>JÖNKÖPINGS LÄN</t>
        </is>
      </c>
      <c r="G395" t="inlineStr">
        <is>
          <t>SÄVSJÖ</t>
        </is>
      </c>
      <c r="I395" t="n">
        <v>34.5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46236</v>
      </c>
      <c r="F396" t="inlineStr">
        <is>
          <t>JÖNKÖPINGS LÄN</t>
        </is>
      </c>
      <c r="G396" t="inlineStr">
        <is>
          <t>SÄVSJÖ</t>
        </is>
      </c>
      <c r="I396" t="n">
        <v>29.5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1812-2025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45818</v>
      </c>
      <c r="E397" s="1" t="n">
        <v>46236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2071-2025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45840</v>
      </c>
      <c r="E398" s="1" t="n">
        <v>46236</v>
      </c>
      <c r="F398" t="inlineStr">
        <is>
          <t>JÖNKÖPINGS LÄN</t>
        </is>
      </c>
      <c r="G398" t="inlineStr">
        <is>
          <t>SÄVSJÖ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3270-2025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45985</v>
      </c>
      <c r="E399" s="1" t="n">
        <v>46236</v>
      </c>
      <c r="F399" t="inlineStr">
        <is>
          <t>JÖNKÖPINGS LÄN</t>
        </is>
      </c>
      <c r="G399" t="inlineStr">
        <is>
          <t>SÄVSJÖ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46236</v>
      </c>
      <c r="F400" t="inlineStr">
        <is>
          <t>JÖNKÖPINGS LÄN</t>
        </is>
      </c>
      <c r="G400" t="inlineStr">
        <is>
          <t>SÄVSJÖ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3268-2025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46236</v>
      </c>
      <c r="F401" t="inlineStr">
        <is>
          <t>JÖNKÖPINGS LÄN</t>
        </is>
      </c>
      <c r="G401" t="inlineStr">
        <is>
          <t>SÄVSJÖ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460-2026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46073</v>
      </c>
      <c r="E402" s="1" t="n">
        <v>46236</v>
      </c>
      <c r="F402" t="inlineStr">
        <is>
          <t>JÖNKÖPINGS LÄN</t>
        </is>
      </c>
      <c r="G402" t="inlineStr">
        <is>
          <t>SÄVSJÖ</t>
        </is>
      </c>
      <c r="I402" t="n">
        <v>36.7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687-2026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46091</v>
      </c>
      <c r="E403" s="1" t="n">
        <v>46236</v>
      </c>
      <c r="F403" t="inlineStr">
        <is>
          <t>JÖNKÖPINGS LÄN</t>
        </is>
      </c>
      <c r="G403" t="inlineStr">
        <is>
          <t>SÄVSJÖ</t>
        </is>
      </c>
      <c r="I403" t="n">
        <v>46.2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690-2026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46236</v>
      </c>
      <c r="F404" t="inlineStr">
        <is>
          <t>JÖNKÖPINGS LÄN</t>
        </is>
      </c>
      <c r="G404" t="inlineStr">
        <is>
          <t>SÄVSJÖ</t>
        </is>
      </c>
      <c r="I404" t="n">
        <v>47.4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873-2026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46106</v>
      </c>
      <c r="E405" s="1" t="n">
        <v>46236</v>
      </c>
      <c r="F405" t="inlineStr">
        <is>
          <t>JÖNKÖPINGS LÄN</t>
        </is>
      </c>
      <c r="G405" t="inlineStr">
        <is>
          <t>SÄVSJÖ</t>
        </is>
      </c>
      <c r="I405" t="n">
        <v>79.8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992-2026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46119</v>
      </c>
      <c r="E406" s="1" t="n">
        <v>46236</v>
      </c>
      <c r="F406" t="inlineStr">
        <is>
          <t>JÖNKÖPINGS LÄN</t>
        </is>
      </c>
      <c r="G406" t="inlineStr">
        <is>
          <t>SÄVSJÖ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1048-2026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46236</v>
      </c>
      <c r="F407" t="inlineStr">
        <is>
          <t>JÖNKÖPINGS LÄN</t>
        </is>
      </c>
      <c r="G407" t="inlineStr">
        <is>
          <t>SÄVSJÖ</t>
        </is>
      </c>
      <c r="I407" t="n">
        <v>35.8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2026-08-02T01:56:02Z</dcterms:created>
  <dcterms:modified xmlns:dcterms="http://purl.org/dc/terms/" xmlns:xsi="http://www.w3.org/2001/XMLSchema-instance" xsi:type="dcterms:W3CDTF">2026-08-02T01:56:02Z</dcterms:modified>
</cp:coreProperties>
</file>